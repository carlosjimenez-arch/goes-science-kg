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" sheetId="2" state="visible" r:id="rId4"/>
    <sheet name="Balance_ciclo" sheetId="3" state="visible" r:id="rId5"/>
    <sheet name="Balance_grado" sheetId="4" state="visible" r:id="rId6"/>
    <sheet name="Cobertura_objetivos" sheetId="5" state="visible" r:id="rId7"/>
    <sheet name="Faltantes" sheetId="6" state="visible" r:id="rId8"/>
    <sheet name="Cognitivo_grado" sheetId="7" state="visible" r:id="rId9"/>
    <sheet name="Temas_TIMSS" sheetId="8" state="visible" r:id="rId10"/>
    <sheet name="Catalogo_TIMSS" sheetId="9" state="visible" r:id="rId11"/>
    <sheet name="Fuentes" sheetId="10" state="visible" r:id="rId12"/>
  </sheets>
  <definedNames>
    <definedName function="false" hidden="true" localSheetId="8" name="_xlnm._FilterDatabase" vbProcedure="false">Catalogo_TIMSS!$A$4:$H$105</definedName>
    <definedName function="false" hidden="true" localSheetId="4" name="_xlnm._FilterDatabase" vbProcedure="false">Cobertura_objetivos!$A$4:$T$105</definedName>
    <definedName function="false" hidden="true" localSheetId="7" name="_xlnm._FilterDatabase" vbProcedure="false">Temas_TIMSS!$A$4:$W$1264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H2" authorId="0">
      <text>
        <r>
          <rPr>
            <sz val="10"/>
            <rFont val="Arial"/>
            <family val="2"/>
          </rPr>
          <t xml:space="preserve">Supuesto editable. 5 pp = margen razonable para un conteo por temas.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H2" authorId="0">
      <text>
        <r>
          <rPr>
            <sz val="10"/>
            <rFont val="Arial"/>
            <family val="2"/>
          </rPr>
          <t xml:space="preserve">Supuesto editable. 5 pp = margen razonable para un conteo por temas.</t>
        </r>
      </text>
    </comment>
  </commentList>
</comments>
</file>

<file path=xl/sharedStrings.xml><?xml version="1.0" encoding="utf-8"?>
<sst xmlns="http://schemas.openxmlformats.org/spreadsheetml/2006/main" count="19575" uniqueCount="5578">
  <si>
    <t xml:space="preserve">Cobertura TIMSS de la malla de Ciencia y Tecnología — cómo se construyó y cómo leerla</t>
  </si>
  <si>
    <t xml:space="preserve">Versión 1 · 1 de octubre de 2026 · Elaborado con Claude (Cowork) a partir de las mallas compartidas por el equipo de Ciencias (MINED).</t>
  </si>
  <si>
    <t xml:space="preserve">Qué responde este libro</t>
  </si>
  <si>
    <t xml:space="preserve">1. Balance: ¿el reparto de temas entre Vida / Física / Química / Tierra se parece al peso que TIMSS da a cada dominio? ¿Cuántos temas faltan o sobran para llegar a la meta?</t>
  </si>
  <si>
    <t xml:space="preserve">2. Amplitud: ¿qué objetivos de contenido de TIMSS aparecen en la malla, en qué grado, con cuántos temas, y cuáles no aparecen?</t>
  </si>
  <si>
    <t xml:space="preserve">3. Profundidad cognitiva: ¿la proporción Conocer / Aplicar / Razonar se parece a la de TIMSS?</t>
  </si>
  <si>
    <t xml:space="preserve">Proceso (de dónde salen los números)</t>
  </si>
  <si>
    <t xml:space="preserve">Paso 1 · Extracción. Se leyeron las 11 mallas (2.° a 9.° y Física, Química, Biología de 10.° y 11.°). Cada fila con «Procedimental» es un TEMA: 1.260 en total. Se conservan archivo, hoja y fila de origen (hoja Temas_TIMSS, columnas D-F) para poder volver a la malla.</t>
  </si>
  <si>
    <t xml:space="preserve">Paso 2 · Catálogo de referencia. Se armó la lista de objetivos de contenido de TIMSS 2023 (4.° grado: 32 objetivos; 8.° grado: 46) y de TIMSS Advanced 2015 Física (23), con su dominio y el % que TIMSS asigna a cada dominio (hoja Catalogo_TIMSS, en azul = valores tomados del marco).</t>
  </si>
  <si>
    <t xml:space="preserve">Paso 3 · Clasificación. Cada tema de 2.° a 9.° y de Física 10.°–11.° (889 temas) se asignó a UN objetivo principal y, si aplica, uno secundario, leyendo procedimental, contenido, indicador y evidencia. Lo hicieron agentes de IA con instrucciones fijas, tema por tema, dejando confianza (alta/media/baja) y una justificación corta. Los temas sin contenido TIMSS (medición general, método científico, tecnología/diseño, gestión de riesgos, electrónica digital, mecánica de fluidos en Bachillerato, etc.) se marcan «FUERA».</t>
  </si>
  <si>
    <t xml:space="preserve">Paso 4 · Reglas de grado. 2.°–4.° se comparan con TIMSS 4.°; 5.°–9.° con TIMSS 8.° (9.° solo como referencia, porque TIMSS 8.° evalúa hasta 8.°); Física 10.°–11.° con TIMSS Advanced. Química y Biología de Bachillerato no tienen marco TIMSS de contenido: solo entran en el análisis cognitivo.</t>
  </si>
  <si>
    <t xml:space="preserve">Paso 5 · Cálculo (todo con fórmulas). % actual = temas del dominio ÷ temas evaluables (sin FUERA). Temas esperados = meta × evaluables. Brecha = esperados − actuales (+ faltan, − sobran). «Temas a agregar sin quitar»: se busca el menor total que permite cumplir todas las metas sumando temas (lo fija el dominio más sobrerrepresentado: total = máx(actual ÷ meta)), y a cada dominio se le suma meta × total − actual, redondeado hacia arriba.</t>
  </si>
  <si>
    <t xml:space="preserve">Paso 6 · Amplitud. Un objetivo está «cubierto» si al menos un tema lo trabaja como principal o secundario. Profundidad: 0 no cubierto, 1 débil, 2–3 básica, 4+ sólida.</t>
  </si>
  <si>
    <t xml:space="preserve">Paso 7 · Cognitivo. Se usa la columna «Habilidad TIMSS» de la malla. Si un tema nombra varios dominios se reparte en partes iguales. Se compara con TIMSS (4.°: 40/40/20; 8.°: 35/35/30; Advanced Física: 30/40/30).</t>
  </si>
  <si>
    <t xml:space="preserve">Hojas</t>
  </si>
  <si>
    <t xml:space="preserve">Resumen: una fila por grado y por ciclo con el dominio que más falta, el que más sobra, temas a agregar, amplitud y % Razonar.</t>
  </si>
  <si>
    <t xml:space="preserve">Balance_grado y Balance_ciclo: detalle por dominio. Celda H2 = tolerancia editable para «En meta» (5 pp).</t>
  </si>
  <si>
    <t xml:space="preserve">Cobertura_objetivos: matriz objetivo × grado (n.º de temas). Al final, resumen de amplitud por dominio.</t>
  </si>
  <si>
    <t xml:space="preserve">Faltantes: objetivos no cubiertos o débiles, con una sugerencia de dónde podrían entrar en la malla actual.</t>
  </si>
  <si>
    <t xml:space="preserve">Cognitivo_grado: Conocer / Aplicar / Razonar por grado y asignatura.</t>
  </si>
  <si>
    <t xml:space="preserve">Temas_TIMSS: trazabilidad completa. Si cambias un objetivo en las columnas K o L, todo el libro se recalcula.</t>
  </si>
  <si>
    <t xml:space="preserve">Catalogo_TIMSS y Fuentes: referencias y versiones de archivos.</t>
  </si>
  <si>
    <t xml:space="preserve">Límites que hay que decir en la reunión</t>
  </si>
  <si>
    <t xml:space="preserve">• La clasificación es asistida por IA: 406 temas con confianza alta, 364 media y 119 baja (en rojo en Temas_TIMSS). Debe validarla el equipo de Ciencias, empezando por las de confianza baja.</t>
  </si>
  <si>
    <t xml:space="preserve">• Se cuentan TEMAS, no horas. Un tema puede durar una o varias sesiones de 55 min; cuando exista la distribución de horas conviene ponderar por horas.</t>
  </si>
  <si>
    <t xml:space="preserve">• Los % de TIMSS son pesos de la prueba, no un mandato curricular. Sirven como referencia de equilibrio, no como regla obligatoria.</t>
  </si>
  <si>
    <t xml:space="preserve">• Comparar un solo grado con TIMSS es una aproximación (TIMSS mide lo acumulado). La comparación más fiel está en Balance_ciclo.</t>
  </si>
  <si>
    <t xml:space="preserve">• Los objetivos TIMSS están parafraseados; para decisiones formales, consultar el marco oficial (hoja Fuentes).</t>
  </si>
  <si>
    <t xml:space="preserve">• 1.° grado no tiene malla, así que no entra en el ciclo 2.°–4.°.</t>
  </si>
  <si>
    <t xml:space="preserve">Cobertura de la malla de Ciencias de El Salvador frente a TIMSS — resumen por grado</t>
  </si>
  <si>
    <t xml:space="preserve">Todo es fórmula sobre Temas_TIMSS. Balance = reparto de temas por dominio vs. metas TIMSS. Amplitud = objetivos TIMSS que aparecen. Profundidad cognitiva = Conocer/Aplicar/Razonar. Ver «Leeme» para el proceso completo.</t>
  </si>
  <si>
    <t xml:space="preserve">Grupo</t>
  </si>
  <si>
    <t xml:space="preserve">Marco de referencia</t>
  </si>
  <si>
    <t xml:space="preserve">Temas totales</t>
  </si>
  <si>
    <t xml:space="preserve">Temas fuera del marco</t>
  </si>
  <si>
    <t xml:space="preserve">% fuera del marco</t>
  </si>
  <si>
    <t xml:space="preserve">Dominio con mayor FALTANTE</t>
  </si>
  <si>
    <t xml:space="preserve">Faltan (temas)</t>
  </si>
  <si>
    <t xml:space="preserve">Dominio más SOBRErrepresentado</t>
  </si>
  <si>
    <t xml:space="preserve">Sobran (temas)</t>
  </si>
  <si>
    <t xml:space="preserve">Temas a agregar para cumplir todas las metas sin quitar</t>
  </si>
  <si>
    <t xml:space="preserve">Dominios en meta (±tolerancia)</t>
  </si>
  <si>
    <t xml:space="preserve">% Razonar actual</t>
  </si>
  <si>
    <t xml:space="preserve">% Razonar meta</t>
  </si>
  <si>
    <t xml:space="preserve">2°</t>
  </si>
  <si>
    <t xml:space="preserve">TIMSS 2023 4.°</t>
  </si>
  <si>
    <t xml:space="preserve">3°</t>
  </si>
  <si>
    <t xml:space="preserve">4°</t>
  </si>
  <si>
    <t xml:space="preserve">5°</t>
  </si>
  <si>
    <t xml:space="preserve">TIMSS 2023 8.°</t>
  </si>
  <si>
    <t xml:space="preserve">6°</t>
  </si>
  <si>
    <t xml:space="preserve">7°</t>
  </si>
  <si>
    <t xml:space="preserve">8°</t>
  </si>
  <si>
    <t xml:space="preserve">9°</t>
  </si>
  <si>
    <t xml:space="preserve">Física 10°</t>
  </si>
  <si>
    <t xml:space="preserve">TIMSS Advanced 2015 Física</t>
  </si>
  <si>
    <t xml:space="preserve">Física 11°</t>
  </si>
  <si>
    <t xml:space="preserve">Por ciclo (comparación acumulada)</t>
  </si>
  <si>
    <t xml:space="preserve">Ciclo</t>
  </si>
  <si>
    <t xml:space="preserve">Temas evaluables</t>
  </si>
  <si>
    <t xml:space="preserve">Temas a agregar sin quitar</t>
  </si>
  <si>
    <t xml:space="preserve">Dominios en meta</t>
  </si>
  <si>
    <t xml:space="preserve">Objetivos TIMSS del marco</t>
  </si>
  <si>
    <t xml:space="preserve">Objetivos cubiertos</t>
  </si>
  <si>
    <t xml:space="preserve">% amplitud</t>
  </si>
  <si>
    <t xml:space="preserve">Objetivos no cubiertos</t>
  </si>
  <si>
    <t xml:space="preserve">Ciclo 2°–4°</t>
  </si>
  <si>
    <t xml:space="preserve">Ciclo 5°–8°</t>
  </si>
  <si>
    <t xml:space="preserve">—</t>
  </si>
  <si>
    <t xml:space="preserve">Física 10°–11°</t>
  </si>
  <si>
    <t xml:space="preserve">Balance de contenidos por ciclo (comparación acumulada, la más fiel a TIMSS)</t>
  </si>
  <si>
    <t xml:space="preserve">Tolerancia para considerar «en meta» (± puntos porcentuales):</t>
  </si>
  <si>
    <t xml:space="preserve">TIMSS 4.° evalúa lo aprendido hasta 4.° grado → se compara con el acumulado de 2.° a 4.° (1.° grado no tiene malla). TIMSS 8.° evalúa lo aprendido hasta 8.° → acumulado de 5.° a 8.°. 9.° se muestra contra TIMSS 8.° solo como referencia. Física de Bachillerato se compara con TIMSS Advanced 2015 (Física). Química y Biología de Bachillerato no tienen marco TIMSS de contenido.</t>
  </si>
  <si>
    <t xml:space="preserve">Dominio</t>
  </si>
  <si>
    <t xml:space="preserve">Temas actuales en el dominio</t>
  </si>
  <si>
    <t xml:space="preserve">Temas evaluables del grupo (sin «fuera»)</t>
  </si>
  <si>
    <t xml:space="preserve">% actual</t>
  </si>
  <si>
    <t xml:space="preserve">Meta TIMSS (%)</t>
  </si>
  <si>
    <t xml:space="preserve">Temas esperados según meta</t>
  </si>
  <si>
    <t xml:space="preserve">Brecha (temas): + faltan / − sobran</t>
  </si>
  <si>
    <t xml:space="preserve">Brecha (pp)</t>
  </si>
  <si>
    <t xml:space="preserve">Estado</t>
  </si>
  <si>
    <t xml:space="preserve">Escala para cumplir sin quitar temas (total evaluables)</t>
  </si>
  <si>
    <t xml:space="preserve">Temas a AGREGAR para llegar a la meta sin quitar</t>
  </si>
  <si>
    <t xml:space="preserve">Temas «fuera del marco» del grupo</t>
  </si>
  <si>
    <t xml:space="preserve">Ciencias de la vida</t>
  </si>
  <si>
    <t xml:space="preserve">Ciencias físicas</t>
  </si>
  <si>
    <t xml:space="preserve">Ciencias de la Tierra</t>
  </si>
  <si>
    <t xml:space="preserve">Total del grupo</t>
  </si>
  <si>
    <t xml:space="preserve">Biología</t>
  </si>
  <si>
    <t xml:space="preserve">Química</t>
  </si>
  <si>
    <t xml:space="preserve">Física</t>
  </si>
  <si>
    <t xml:space="preserve">Mecánica y termodinámica</t>
  </si>
  <si>
    <t xml:space="preserve">Electricidad y magnetismo</t>
  </si>
  <si>
    <t xml:space="preserve">Ondas y física atómica/nuclear</t>
  </si>
  <si>
    <t xml:space="preserve">Balance de contenidos por grado frente a las metas de TIMSS</t>
  </si>
  <si>
    <t xml:space="preserve">Cómo leerlo: «% actual» = temas del dominio ÷ temas evaluables del grado (se excluyen los «fuera del marco»). «Brecha (temas)» = meta × evaluables − actuales: positivo = faltan temas en ese dominio si se redistribuye la misma carga; negativo = sobran. «Temas a AGREGAR» = cuántos temas habría que sumar a cada dominio para cumplir todas las metas SIN quitar ninguno (la escala la fija el dominio más sobrerrepresentado). Ojo: TIMSS fija pesos para la prueba acumulada (4.° y 8.°); aplicarlos a cada grado es una aproximación. La hoja Balance_ciclo hace la comparación acumulada.</t>
  </si>
  <si>
    <t xml:space="preserve">Amplitud: ¿qué objetivos TIMSS cubre la malla y en qué grado?</t>
  </si>
  <si>
    <t xml:space="preserve">Cada celda de grado = n.º de temas de ese grado que trabajan el objetivo como principal o secundario (COUNTIFS sobre Temas_TIMSS). «Total en su ciclo» suma solo los grados que evalúa cada marco: TIMSS 4.° → 2.°–4.°; TIMSS 8.° → 5.°–8.° (la columna 9.° es referencia); TIMSS Advanced → Física 10.°–11.°. «Profundidad»: 0 = no cubierto; 1 = débil; 2–3 = básica; 4+ = sólida.</t>
  </si>
  <si>
    <t xml:space="preserve">Código</t>
  </si>
  <si>
    <t xml:space="preserve">Marco</t>
  </si>
  <si>
    <t xml:space="preserve">Área temática</t>
  </si>
  <si>
    <t xml:space="preserve">Objetivo</t>
  </si>
  <si>
    <t xml:space="preserve">Total temas en su ciclo</t>
  </si>
  <si>
    <t xml:space="preserve">Como principal (todos los grados)</t>
  </si>
  <si>
    <t xml:space="preserve">Cubierto en su ciclo</t>
  </si>
  <si>
    <t xml:space="preserve">Profundidad en su ciclo</t>
  </si>
  <si>
    <t xml:space="preserve">Primer grado donde aparece</t>
  </si>
  <si>
    <t xml:space="preserve">T4-V1.1</t>
  </si>
  <si>
    <t xml:space="preserve">T4</t>
  </si>
  <si>
    <t xml:space="preserve">Características y procesos vitales de los organismos</t>
  </si>
  <si>
    <t xml:space="preserve">Distinguir seres vivos de no vivos; reconocer lo que necesitan para vivir</t>
  </si>
  <si>
    <t xml:space="preserve">T4-V1.2</t>
  </si>
  <si>
    <t xml:space="preserve">Comparar rasgos físicos y de conducta de grandes grupos de animales y plantas</t>
  </si>
  <si>
    <t xml:space="preserve">T4-V1.3</t>
  </si>
  <si>
    <t xml:space="preserve">Relacionar estructuras principales de los organismos con su función</t>
  </si>
  <si>
    <t xml:space="preserve">T4-V2.1</t>
  </si>
  <si>
    <t xml:space="preserve">Ciclos de vida, reproducción y herencia</t>
  </si>
  <si>
    <t xml:space="preserve">Etapas del ciclo de vida de plantas con flor; comparar ciclos de plantas y animales</t>
  </si>
  <si>
    <t xml:space="preserve">T4-V2.2</t>
  </si>
  <si>
    <t xml:space="preserve">Las crías se parecen a sus progenitores; rasgos heredados vs. adquiridos</t>
  </si>
  <si>
    <t xml:space="preserve">T4-V3.1</t>
  </si>
  <si>
    <t xml:space="preserve">Organismos, ambiente y sus interacciones</t>
  </si>
  <si>
    <t xml:space="preserve">Relacionar rasgos físicos y conductas con la supervivencia en un ambiente (adaptación)</t>
  </si>
  <si>
    <t xml:space="preserve">T4-V3.2</t>
  </si>
  <si>
    <t xml:space="preserve">Cómo responden los organismos a cambios en su ambiente</t>
  </si>
  <si>
    <t xml:space="preserve">T4-V3.3</t>
  </si>
  <si>
    <t xml:space="preserve">Impacto positivo y negativo del ser humano en el ambiente</t>
  </si>
  <si>
    <t xml:space="preserve">T4-V4.1</t>
  </si>
  <si>
    <t xml:space="preserve">Ecosistemas</t>
  </si>
  <si>
    <t xml:space="preserve">Relacionar plantas y animales comunes con su ecosistema</t>
  </si>
  <si>
    <t xml:space="preserve">T4-V4.2</t>
  </si>
  <si>
    <t xml:space="preserve">Cadenas alimentarias; roles de organismos; depredador-presa</t>
  </si>
  <si>
    <t xml:space="preserve">T4-V4.3</t>
  </si>
  <si>
    <t xml:space="preserve">Competencia entre organismos por recursos del ecosistema</t>
  </si>
  <si>
    <t xml:space="preserve">T4-V5.1</t>
  </si>
  <si>
    <t xml:space="preserve">Salud humana</t>
  </si>
  <si>
    <t xml:space="preserve">Conductas saludables y componentes de una dieta balanceada</t>
  </si>
  <si>
    <t xml:space="preserve">T4-V5.2</t>
  </si>
  <si>
    <t xml:space="preserve">Transmisión de enfermedades por contacto; formas de prevención</t>
  </si>
  <si>
    <t xml:space="preserve">T4-F1.1</t>
  </si>
  <si>
    <t xml:space="preserve">Clasificación y propiedades de la materia y sus cambios</t>
  </si>
  <si>
    <t xml:space="preserve">Tres estados de la materia y sus características</t>
  </si>
  <si>
    <t xml:space="preserve">T4-F1.2</t>
  </si>
  <si>
    <t xml:space="preserve">Comparar y clasificar objetos por propiedades físicas; propiedades de metales; mezclas</t>
  </si>
  <si>
    <t xml:space="preserve">T4-F1.3</t>
  </si>
  <si>
    <t xml:space="preserve">Polos de imanes se atraen/repelen; imanes atraen ciertos metales</t>
  </si>
  <si>
    <t xml:space="preserve">T4-F1.4</t>
  </si>
  <si>
    <t xml:space="preserve">Cambios físicos observables; cambios de estado por calentamiento/enfriamiento</t>
  </si>
  <si>
    <t xml:space="preserve">T4-F1.5</t>
  </si>
  <si>
    <t xml:space="preserve">Cambios químicos observables; formas de acelerar la disolución</t>
  </si>
  <si>
    <t xml:space="preserve">T4-F2.1</t>
  </si>
  <si>
    <t xml:space="preserve">Formas de energía y transferencia de energía</t>
  </si>
  <si>
    <t xml:space="preserve">Fuentes de energía y sus usos prácticos</t>
  </si>
  <si>
    <t xml:space="preserve">T4-F2.2</t>
  </si>
  <si>
    <t xml:space="preserve">Luz (sombras, reflejos, arcoíris) y sonido (vibraciones, eco)</t>
  </si>
  <si>
    <t xml:space="preserve">T4-F2.3</t>
  </si>
  <si>
    <t xml:space="preserve">Cambios de temperatura al contacto entre objetos calientes y fríos</t>
  </si>
  <si>
    <t xml:space="preserve">T4-F2.4</t>
  </si>
  <si>
    <t xml:space="preserve">Energía eléctrica se transforma en otras formas; requisitos de un circuito</t>
  </si>
  <si>
    <t xml:space="preserve">T4-F3.1</t>
  </si>
  <si>
    <t xml:space="preserve">Fuerzas y movimiento</t>
  </si>
  <si>
    <t xml:space="preserve">Gravedad; las fuerzas cambian el movimiento; efectos de la fricción</t>
  </si>
  <si>
    <t xml:space="preserve">T4-F3.2</t>
  </si>
  <si>
    <t xml:space="preserve">Máquinas simples reducen la fuerza necesaria</t>
  </si>
  <si>
    <t xml:space="preserve">T4-T1.1</t>
  </si>
  <si>
    <t xml:space="preserve">Características físicas, recursos e historia de la Tierra</t>
  </si>
  <si>
    <t xml:space="preserve">Distribución de tierra y agua; ubicación de agua dulce y salada</t>
  </si>
  <si>
    <t xml:space="preserve">T4-T1.2</t>
  </si>
  <si>
    <t xml:space="preserve">Recursos de la Tierra y su uso responsable</t>
  </si>
  <si>
    <t xml:space="preserve">T4-T1.3</t>
  </si>
  <si>
    <t xml:space="preserve">Viento y agua modelan el paisaje; fósiles en rocas</t>
  </si>
  <si>
    <t xml:space="preserve">T4-T2.1</t>
  </si>
  <si>
    <t xml:space="preserve">Tiempo atmosférico y clima</t>
  </si>
  <si>
    <t xml:space="preserve">Aplicar cambios de estado a fenómenos del tiempo atmosférico</t>
  </si>
  <si>
    <t xml:space="preserve">T4-T2.2</t>
  </si>
  <si>
    <t xml:space="preserve">Variación del tiempo atmosférico según la ubicación geográfica</t>
  </si>
  <si>
    <t xml:space="preserve">T4-T2.3</t>
  </si>
  <si>
    <t xml:space="preserve">Cambios estacionales de temperatura y lluvia; calentamiento global</t>
  </si>
  <si>
    <t xml:space="preserve">T4-T3.1</t>
  </si>
  <si>
    <t xml:space="preserve">La Tierra en el Sistema Solar</t>
  </si>
  <si>
    <t xml:space="preserve">Sistema Solar; la Luna gira alrededor de la Tierra</t>
  </si>
  <si>
    <t xml:space="preserve">T4-T3.2</t>
  </si>
  <si>
    <t xml:space="preserve">Día y noche por rotación; estaciones por inclinación del eje</t>
  </si>
  <si>
    <t xml:space="preserve">T8-B1.1</t>
  </si>
  <si>
    <t xml:space="preserve">T8</t>
  </si>
  <si>
    <t xml:space="preserve">Grupos taxonómicos: rasgos que los definen y clasificación de organismos</t>
  </si>
  <si>
    <t xml:space="preserve">T8-B1.2</t>
  </si>
  <si>
    <t xml:space="preserve">Sistemas de órganos: ubicar órganos, comparar vertebrados, explicar funciones</t>
  </si>
  <si>
    <t xml:space="preserve">T8-B1.3</t>
  </si>
  <si>
    <t xml:space="preserve">Procesos fisiológicos: respuestas que mantienen condiciones corporales estables</t>
  </si>
  <si>
    <t xml:space="preserve">T8-B2.1</t>
  </si>
  <si>
    <t xml:space="preserve">Células y sus funciones</t>
  </si>
  <si>
    <t xml:space="preserve">Estructura celular: organelos, célula vegetal vs. animal, tejidos y órganos</t>
  </si>
  <si>
    <t xml:space="preserve">T8-B2.2</t>
  </si>
  <si>
    <t xml:space="preserve">Fotosíntesis y respiración celular: entradas y salidas</t>
  </si>
  <si>
    <t xml:space="preserve">T8-B3.1</t>
  </si>
  <si>
    <t xml:space="preserve">Ciclos de vida y patrones de crecimiento</t>
  </si>
  <si>
    <t xml:space="preserve">T8-B3.2</t>
  </si>
  <si>
    <t xml:space="preserve">Reproducción sexual, material genético y herencia; rasgos heredados vs. adquiridos</t>
  </si>
  <si>
    <t xml:space="preserve">T8-B4.1</t>
  </si>
  <si>
    <t xml:space="preserve">Diversidad, adaptación y selección natural</t>
  </si>
  <si>
    <t xml:space="preserve">Variación y ventaja de supervivencia; extinción y éxito reproductivo</t>
  </si>
  <si>
    <t xml:space="preserve">T8-B4.2</t>
  </si>
  <si>
    <t xml:space="preserve">Evidencias del cambio: fósiles y ancestros comunes</t>
  </si>
  <si>
    <t xml:space="preserve">T8-B5.1</t>
  </si>
  <si>
    <t xml:space="preserve">Flujo de energía: productores, consumidores, descomponedores, redes y pirámides</t>
  </si>
  <si>
    <t xml:space="preserve">T8-B5.2</t>
  </si>
  <si>
    <t xml:space="preserve">Ciclos del agua, oxígeno y carbono en ecosistemas</t>
  </si>
  <si>
    <t xml:space="preserve">T8-B5.3</t>
  </si>
  <si>
    <t xml:space="preserve">Relaciones entre poblaciones: competencia, depredación, simbiosis</t>
  </si>
  <si>
    <t xml:space="preserve">T8-B5.4</t>
  </si>
  <si>
    <t xml:space="preserve">Factores que afectan poblaciones; factores limitantes; predicción de cambios</t>
  </si>
  <si>
    <t xml:space="preserve">T8-B5.5</t>
  </si>
  <si>
    <t xml:space="preserve">Impacto humano positivo y negativo en el ambiente</t>
  </si>
  <si>
    <t xml:space="preserve">T8-B6.1</t>
  </si>
  <si>
    <t xml:space="preserve">Enfermedades: causas, transmisión, prevención; sistema inmune</t>
  </si>
  <si>
    <t xml:space="preserve">T8-B6.2</t>
  </si>
  <si>
    <t xml:space="preserve">Dieta y ejercicio; fuentes y funciones de nutrientes</t>
  </si>
  <si>
    <t xml:space="preserve">T8-Q1.1</t>
  </si>
  <si>
    <t xml:space="preserve">Composición de la materia</t>
  </si>
  <si>
    <t xml:space="preserve">Átomos (partículas subatómicas) y moléculas; materia como partículas</t>
  </si>
  <si>
    <t xml:space="preserve">T8-Q1.2</t>
  </si>
  <si>
    <t xml:space="preserve">Elementos, compuestos y mezclas; sustancias puras vs. mezclas</t>
  </si>
  <si>
    <t xml:space="preserve">T8-Q1.3</t>
  </si>
  <si>
    <t xml:space="preserve">Tabla periódica: orden por número de protones, grupos y propiedades</t>
  </si>
  <si>
    <t xml:space="preserve">T8-Q2.1</t>
  </si>
  <si>
    <t xml:space="preserve">Propiedades de la materia</t>
  </si>
  <si>
    <t xml:space="preserve">Propiedades físicas vs. químicas; usos según propiedades</t>
  </si>
  <si>
    <t xml:space="preserve">T8-Q2.2</t>
  </si>
  <si>
    <t xml:space="preserve">Clasificar sustancias por propiedades físicas o químicas</t>
  </si>
  <si>
    <t xml:space="preserve">T8-Q2.3</t>
  </si>
  <si>
    <t xml:space="preserve">Mezclas y disoluciones: separación, disolución y factores</t>
  </si>
  <si>
    <t xml:space="preserve">T8-Q2.4</t>
  </si>
  <si>
    <t xml:space="preserve">Ácidos y bases: sustancias cotidianas, indicadores, neutralización</t>
  </si>
  <si>
    <t xml:space="preserve">T8-Q3.1</t>
  </si>
  <si>
    <t xml:space="preserve">Cambio químico</t>
  </si>
  <si>
    <t xml:space="preserve">Cambio químico vs. físico; evidencias de reacción</t>
  </si>
  <si>
    <t xml:space="preserve">T8-Q3.2</t>
  </si>
  <si>
    <t xml:space="preserve">Conservación de la materia; energía liberada/absorbida; velocidad de reacción</t>
  </si>
  <si>
    <t xml:space="preserve">T8-Q3.3</t>
  </si>
  <si>
    <t xml:space="preserve">Enlace químico como atracción entre átomos que involucra electrones</t>
  </si>
  <si>
    <t xml:space="preserve">T8-F1.1</t>
  </si>
  <si>
    <t xml:space="preserve">Estados físicos y cambios de la materia</t>
  </si>
  <si>
    <t xml:space="preserve">Movimiento de partículas y propiedades físicas</t>
  </si>
  <si>
    <t xml:space="preserve">T8-F1.2</t>
  </si>
  <si>
    <t xml:space="preserve">Cambios de estado por energía térmica; factores que afectan su rapidez</t>
  </si>
  <si>
    <t xml:space="preserve">T8-F2.1</t>
  </si>
  <si>
    <t xml:space="preserve">Transformación y transferencia de energía</t>
  </si>
  <si>
    <t xml:space="preserve">Formas de energía, transformaciones y conservación</t>
  </si>
  <si>
    <t xml:space="preserve">T8-F2.2</t>
  </si>
  <si>
    <t xml:space="preserve">Transferencia térmica, conductividad, temperatura constante en cambios de fase</t>
  </si>
  <si>
    <t xml:space="preserve">T8-F3.1</t>
  </si>
  <si>
    <t xml:space="preserve">Luz y sonido</t>
  </si>
  <si>
    <t xml:space="preserve">Propiedades de la luz; diagramas de rayos</t>
  </si>
  <si>
    <t xml:space="preserve">T8-F3.2</t>
  </si>
  <si>
    <t xml:space="preserve">Propiedades del sonido y fenómenos asociados</t>
  </si>
  <si>
    <t xml:space="preserve">T8-F4.1</t>
  </si>
  <si>
    <t xml:space="preserve">Conductores y aislantes; componentes y diagramas de circuitos</t>
  </si>
  <si>
    <t xml:space="preserve">T8-F4.2</t>
  </si>
  <si>
    <t xml:space="preserve">Imanes permanentes y electroimanes: propiedades y usos</t>
  </si>
  <si>
    <t xml:space="preserve">T8-F5.1</t>
  </si>
  <si>
    <t xml:space="preserve">Movimiento y fuerzas</t>
  </si>
  <si>
    <t xml:space="preserve">Rapidez y aceleración</t>
  </si>
  <si>
    <t xml:space="preserve">T8-F5.2</t>
  </si>
  <si>
    <t xml:space="preserve">Fuerzas mecánicas, magnitud y dirección; gravedad en distintos planetas</t>
  </si>
  <si>
    <t xml:space="preserve">T8-F5.3</t>
  </si>
  <si>
    <t xml:space="preserve">Máquinas simples, flotación, presión, predicción de cambios de movimiento</t>
  </si>
  <si>
    <t xml:space="preserve">T8-T1.1</t>
  </si>
  <si>
    <t xml:space="preserve">Estructura y rasgos físicos de la Tierra</t>
  </si>
  <si>
    <t xml:space="preserve">Capas de la Tierra y sus características</t>
  </si>
  <si>
    <t xml:space="preserve">T8-T1.2</t>
  </si>
  <si>
    <t xml:space="preserve">Composición de la atmósfera, relación con la vida y con la altitud</t>
  </si>
  <si>
    <t xml:space="preserve">T8-T2.1</t>
  </si>
  <si>
    <t xml:space="preserve">Procesos, ciclos e historia de la Tierra</t>
  </si>
  <si>
    <t xml:space="preserve">Procesos geológicos: ciclo de las rocas, eventos que cambian la superficie, fósiles</t>
  </si>
  <si>
    <t xml:space="preserve">T8-T2.2</t>
  </si>
  <si>
    <t xml:space="preserve">Ciclo del agua y papel de la energía solar</t>
  </si>
  <si>
    <t xml:space="preserve">T8-T2.3</t>
  </si>
  <si>
    <t xml:space="preserve">Tiempo atmosférico vs. clima; patrones climáticos; evidencias del cambio climático</t>
  </si>
  <si>
    <t xml:space="preserve">T8-T3.1</t>
  </si>
  <si>
    <t xml:space="preserve">Recursos de la Tierra, uso y conservación</t>
  </si>
  <si>
    <t xml:space="preserve">Recursos renovables y no renovables; fuentes de energía; conservación</t>
  </si>
  <si>
    <t xml:space="preserve">T8-T3.2</t>
  </si>
  <si>
    <t xml:space="preserve">Uso del suelo y del agua; conservación del agua</t>
  </si>
  <si>
    <t xml:space="preserve">T8-T4.1</t>
  </si>
  <si>
    <t xml:space="preserve">La Tierra en el Sistema Solar y el Universo</t>
  </si>
  <si>
    <t xml:space="preserve">Fenómenos observables: traslación, mareas, fases lunares, eclipses</t>
  </si>
  <si>
    <t xml:space="preserve">T8-T4.2</t>
  </si>
  <si>
    <t xml:space="preserve">Sol como estrella; comparar Tierra, Luna y planetas; gravedad y órbitas</t>
  </si>
  <si>
    <t xml:space="preserve">TA-M1.1</t>
  </si>
  <si>
    <t xml:space="preserve">TA</t>
  </si>
  <si>
    <t xml:space="preserve">Cinemática y leyes de Newton</t>
  </si>
  <si>
    <t xml:space="preserve">TA-M1.2</t>
  </si>
  <si>
    <t xml:space="preserve">Fuerzas sobre cuerpos y sus efectos</t>
  </si>
  <si>
    <t xml:space="preserve">TA-M1.3</t>
  </si>
  <si>
    <t xml:space="preserve">Movimiento circular: fuerza y aceleración centrípeta</t>
  </si>
  <si>
    <t xml:space="preserve">TA-M1.4</t>
  </si>
  <si>
    <t xml:space="preserve">Ley de gravitación y movimiento de cuerpos celestes</t>
  </si>
  <si>
    <t xml:space="preserve">TA-M2.1</t>
  </si>
  <si>
    <t xml:space="preserve">Leyes de conservación</t>
  </si>
  <si>
    <t xml:space="preserve">Conservación de la energía mecánica</t>
  </si>
  <si>
    <t xml:space="preserve">TA-M2.2</t>
  </si>
  <si>
    <t xml:space="preserve">Conservación del momento lineal en choques</t>
  </si>
  <si>
    <t xml:space="preserve">TA-M2.3</t>
  </si>
  <si>
    <t xml:space="preserve">Primera ley de la termodinámica</t>
  </si>
  <si>
    <t xml:space="preserve">TA-M3.1</t>
  </si>
  <si>
    <t xml:space="preserve">Calor y temperatura</t>
  </si>
  <si>
    <t xml:space="preserve">Mecanismos de transferencia de calor; capacidad calorífica y equilibrio térmico</t>
  </si>
  <si>
    <t xml:space="preserve">TA-M3.2</t>
  </si>
  <si>
    <t xml:space="preserve">Dilatación térmica; ley del gas ideal y sus límites</t>
  </si>
  <si>
    <t xml:space="preserve">TA-E1.1</t>
  </si>
  <si>
    <t xml:space="preserve">Electricidad y circuitos</t>
  </si>
  <si>
    <t xml:space="preserve">Ley de Coulomb</t>
  </si>
  <si>
    <t xml:space="preserve">TA-E1.2</t>
  </si>
  <si>
    <t xml:space="preserve">Fuerza y trayectoria de cargas en campos eléctricos</t>
  </si>
  <si>
    <t xml:space="preserve">TA-E1.3</t>
  </si>
  <si>
    <t xml:space="preserve">Circuitos: leyes de Ohm y Joule</t>
  </si>
  <si>
    <t xml:space="preserve">TA-E2.1</t>
  </si>
  <si>
    <t xml:space="preserve">Magnetismo e inducción electromagnética</t>
  </si>
  <si>
    <t xml:space="preserve">Fuerza y trayectoria de cargas en campos magnéticos</t>
  </si>
  <si>
    <t xml:space="preserve">TA-E2.2</t>
  </si>
  <si>
    <t xml:space="preserve">Relación electricidad-magnetismo; ley de Ampère; electroimanes</t>
  </si>
  <si>
    <t xml:space="preserve">TA-E2.3</t>
  </si>
  <si>
    <t xml:space="preserve">Inducción: leyes de Faraday y Lenz</t>
  </si>
  <si>
    <t xml:space="preserve">TA-O1.1</t>
  </si>
  <si>
    <t xml:space="preserve">Fenómenos ondulatorios</t>
  </si>
  <si>
    <t xml:space="preserve">Ondas mecánicas: rapidez, frecuencia, longitud de onda</t>
  </si>
  <si>
    <t xml:space="preserve">TA-O1.2</t>
  </si>
  <si>
    <t xml:space="preserve">Radiación electromagnética y espectro</t>
  </si>
  <si>
    <t xml:space="preserve">TA-O1.3</t>
  </si>
  <si>
    <t xml:space="preserve">Radiación térmica según temperatura y longitud de onda</t>
  </si>
  <si>
    <t xml:space="preserve">TA-O1.4</t>
  </si>
  <si>
    <t xml:space="preserve">Reflexión, refracción, interferencia y difracción</t>
  </si>
  <si>
    <t xml:space="preserve">TA-O2.1</t>
  </si>
  <si>
    <t xml:space="preserve">Física atómica y nuclear</t>
  </si>
  <si>
    <t xml:space="preserve">Estructura atómica y espectros de emisión/absorción</t>
  </si>
  <si>
    <t xml:space="preserve">TA-O2.2</t>
  </si>
  <si>
    <t xml:space="preserve">Dualidad onda-partícula; efecto fotoeléctrico</t>
  </si>
  <si>
    <t xml:space="preserve">TA-O2.3</t>
  </si>
  <si>
    <t xml:space="preserve">Reacciones nucleares y decaimiento radiactivo</t>
  </si>
  <si>
    <t xml:space="preserve">TA-O2.4</t>
  </si>
  <si>
    <t xml:space="preserve">Equivalencia masa-energía</t>
  </si>
  <si>
    <t xml:space="preserve">Resumen de amplitud por marco y dominio</t>
  </si>
  <si>
    <t xml:space="preserve">Objetivos en el marco</t>
  </si>
  <si>
    <t xml:space="preserve">% cubierto</t>
  </si>
  <si>
    <t xml:space="preserve">Objetivos débiles (1 tema)</t>
  </si>
  <si>
    <t xml:space="preserve">(todos)</t>
  </si>
  <si>
    <t xml:space="preserve">Qué falta: objetivos TIMSS no cubiertos o débiles, y dónde podrían entrar</t>
  </si>
  <si>
    <t xml:space="preserve">Lista generada desde Cobertura_objetivos (profundidad «No cubierto» o «Débil»). La columna «Temas hoy» es fórmula y se actualiza si cambia la clasificación. La sugerencia de ubicación es una propuesta para discutir con el equipo de Ciencias, no una decisión.</t>
  </si>
  <si>
    <t xml:space="preserve">Temas hoy</t>
  </si>
  <si>
    <t xml:space="preserve">Profundidad hoy</t>
  </si>
  <si>
    <t xml:space="preserve">Dónde aparece hoy</t>
  </si>
  <si>
    <t xml:space="preserve">Sugerencia de ubicación en la malla</t>
  </si>
  <si>
    <t xml:space="preserve">Ciclo 2°–4°: agregar en 3.° U4 «Las plantas» o U5 «Los animales» un tema de semejanza crías-progenitores y rasgos heredados vs. adquiridos (antecede a Genética de 7.°).</t>
  </si>
  <si>
    <t xml:space="preserve">4.° U3 (1 tema)</t>
  </si>
  <si>
    <t xml:space="preserve">Reforzar en 4.° U3 «Naturaleza y sus interacciones»: competencia por agua, luz y alimento con una actividad de observación.</t>
  </si>
  <si>
    <t xml:space="preserve">2.° U1 (1 tema)</t>
  </si>
  <si>
    <t xml:space="preserve">Reforzar en 2.° U1 «Materia» o 3.° U3 «El agua»: estados sólido, líquido y gaseoso con sus características (hoy solo aparece como cambio de estado del agua).</t>
  </si>
  <si>
    <t xml:space="preserve">2.° U2 (1 tema)</t>
  </si>
  <si>
    <t xml:space="preserve">Reforzar en 4.° U1 «Máquinas y energía» o 2.° U2 «Energía»: transferencia de calor entre objetos calientes y fríos (hoy se ve recién en 6.°).</t>
  </si>
  <si>
    <t xml:space="preserve">7.° U4 (1 tema)</t>
  </si>
  <si>
    <t xml:space="preserve">Reforzar en 7.° U4 «Ecología» o U5 «Recurso hídrico»: ciclos del carbono y del oxígeno además del agua.</t>
  </si>
  <si>
    <t xml:space="preserve">Ciclo 5°–8°: agregar en 8.° U7 «Anatomía y fisiología animal» o 6.° U5 «Célula» un tema de enfermedades infecciosas, transmisión, prevención y sistema inmune (hoy aparece hasta 10.° Biología).</t>
  </si>
  <si>
    <t xml:space="preserve">Ciclo 5°–8°: agregar en 8.° U3 «Ondas mecánicas» temas de luz (propagación, reflexión, refracción, diagramas de rayos). Hoy la óptica aparece hasta 10.° Física.</t>
  </si>
  <si>
    <t xml:space="preserve">Fuera del ciclo: fases de la Luna en 4.° (U4) y mareas en 9.° (U4)</t>
  </si>
  <si>
    <t xml:space="preserve">Agregar en 5.° U5 «Ciencias del espacio»: traslación y estaciones, mareas, fases lunares y eclipses dentro del ciclo 5°–8°.</t>
  </si>
  <si>
    <t xml:space="preserve">Además (balance): los faltantes/sobrantes por dominio están en Balance_ciclo (acumulado) y Balance_grado (por grado), columnas I, K y M.</t>
  </si>
  <si>
    <t xml:space="preserve">Profundidad cognitiva: Conocer / Aplicar / Razonar frente a TIMSS</t>
  </si>
  <si>
    <t xml:space="preserve">Fuente: columna «Habilidad TIMSS» de cada malla. Si un tema menciona varios dominios, se reparte en partes iguales (p. ej. «Conocer… Aplicar…» = 0,5 + 0,5). Columnas S-U de Temas_TIMSS. Química y Biología de Bachillerato se comparan con la meta de TIMSS Advanced Física solo como referencia aproximada.</t>
  </si>
  <si>
    <t xml:space="preserve">Referencia</t>
  </si>
  <si>
    <t xml:space="preserve">Temas</t>
  </si>
  <si>
    <t xml:space="preserve">Conocer (temas-eq.)</t>
  </si>
  <si>
    <t xml:space="preserve">Aplicar (temas-eq.)</t>
  </si>
  <si>
    <t xml:space="preserve">Razonar (temas-eq.)</t>
  </si>
  <si>
    <t xml:space="preserve">% Conocer</t>
  </si>
  <si>
    <t xml:space="preserve">% Aplicar</t>
  </si>
  <si>
    <t xml:space="preserve">% Razonar</t>
  </si>
  <si>
    <t xml:space="preserve">Meta Conocer</t>
  </si>
  <si>
    <t xml:space="preserve">Meta Aplicar</t>
  </si>
  <si>
    <t xml:space="preserve">Meta Razonar</t>
  </si>
  <si>
    <t xml:space="preserve">Brecha Razonar (pp)</t>
  </si>
  <si>
    <t xml:space="preserve">Lectura</t>
  </si>
  <si>
    <t xml:space="preserve">Química 10°</t>
  </si>
  <si>
    <t xml:space="preserve">TIMSS Advanced Física (ref. aprox.)</t>
  </si>
  <si>
    <t xml:space="preserve">Química 11°</t>
  </si>
  <si>
    <t xml:space="preserve">Biología 10°</t>
  </si>
  <si>
    <t xml:space="preserve">Biología 11°</t>
  </si>
  <si>
    <t xml:space="preserve">Trazabilidad: cada tema de las mallas y su clasificación contra TIMSS</t>
  </si>
  <si>
    <t xml:space="preserve">Una fila = un procedimental de la malla (un «tema»). Columnas K-L, P-Q: clasificación asistida por IA (revisable). M, N, O y S-U son fórmulas. Para auditar cualquier número del libro, filtra esta hoja por Grupo y Dominio.</t>
  </si>
  <si>
    <t xml:space="preserve">ID tema</t>
  </si>
  <si>
    <t xml:space="preserve">Grado</t>
  </si>
  <si>
    <t xml:space="preserve">Asignatura</t>
  </si>
  <si>
    <t xml:space="preserve">Archivo de origen</t>
  </si>
  <si>
    <t xml:space="preserve">Hoja</t>
  </si>
  <si>
    <t xml:space="preserve">Fila</t>
  </si>
  <si>
    <t xml:space="preserve">Unidad</t>
  </si>
  <si>
    <t xml:space="preserve">Contenido</t>
  </si>
  <si>
    <t xml:space="preserve">Procedimental (tema)</t>
  </si>
  <si>
    <t xml:space="preserve">Objetivo TIMSS principal</t>
  </si>
  <si>
    <t xml:space="preserve">Objetivo TIMSS secundario</t>
  </si>
  <si>
    <t xml:space="preserve">Dominio (principal)</t>
  </si>
  <si>
    <t xml:space="preserve">Área temática (principal)</t>
  </si>
  <si>
    <t xml:space="preserve">Dominio (secundario)</t>
  </si>
  <si>
    <t xml:space="preserve">Confianza</t>
  </si>
  <si>
    <t xml:space="preserve">Justificación de la clasificación</t>
  </si>
  <si>
    <t xml:space="preserve">Habilidad TIMSS (texto de la malla)</t>
  </si>
  <si>
    <t xml:space="preserve">Conocer (fracción)</t>
  </si>
  <si>
    <t xml:space="preserve">Aplicar (fracción)</t>
  </si>
  <si>
    <t xml:space="preserve">Razonar (fracción)</t>
  </si>
  <si>
    <t xml:space="preserve">T0639-G02-CIE</t>
  </si>
  <si>
    <t xml:space="preserve">Ciencias</t>
  </si>
  <si>
    <t xml:space="preserve">Matriz_Ciencias_2do_Grado_U1_U6_3.xlsx</t>
  </si>
  <si>
    <t xml:space="preserve">Unidad 1 - Materia</t>
  </si>
  <si>
    <t xml:space="preserve">1. Materia.</t>
  </si>
  <si>
    <t xml:space="preserve">¿Qué es medir?</t>
  </si>
  <si>
    <t xml:space="preserve">1.1. Manipulación de distintos instrumentos de medición.</t>
  </si>
  <si>
    <t xml:space="preserve">FUERA</t>
  </si>
  <si>
    <t xml:space="preserve">alta</t>
  </si>
  <si>
    <t xml:space="preserve">Procedimiento general de medición con instrumentos, sin contenido disciplinar</t>
  </si>
  <si>
    <t xml:space="preserve">Conocer: reconocer instrumentos. Aplicar: usar instrumentos sencillos</t>
  </si>
  <si>
    <t xml:space="preserve">T0640-G02-CIE</t>
  </si>
  <si>
    <t xml:space="preserve">1.2. Indagación de los conceptos de medición, magnitudes cuantitativas y cualitativas.</t>
  </si>
  <si>
    <t xml:space="preserve">Concepto de medir y magnitudes; procedimiento de indagación general</t>
  </si>
  <si>
    <t xml:space="preserve">Conocer: describir. Aplicar: comparar</t>
  </si>
  <si>
    <t xml:space="preserve">T0641-G02-CIE</t>
  </si>
  <si>
    <t xml:space="preserve">La materia y sus propiedades.</t>
  </si>
  <si>
    <t xml:space="preserve">1.3. Organización de materiales del entorno por sus propiedades físicas y procedencia.</t>
  </si>
  <si>
    <t xml:space="preserve">Clasifica materiales por propiedades físicas y procedencia</t>
  </si>
  <si>
    <t xml:space="preserve">Aplicar: clasificar</t>
  </si>
  <si>
    <t xml:space="preserve">T0642-G02-CIE</t>
  </si>
  <si>
    <t xml:space="preserve">1.4. Manipulación de materiales del entorno para identificar sus propiedades físicas.</t>
  </si>
  <si>
    <t xml:space="preserve">Identifica propiedades físicas de materiales mediante pruebas sencillas</t>
  </si>
  <si>
    <t xml:space="preserve">Conocer: identificar. Aplicar: comparar</t>
  </si>
  <si>
    <t xml:space="preserve">T0643-G02-CIE</t>
  </si>
  <si>
    <t xml:space="preserve">1.5. Relación entre las propiedades físicas y la utilidad de los materiales.</t>
  </si>
  <si>
    <t xml:space="preserve">Relaciona propiedades físicas de materiales con su utilidad</t>
  </si>
  <si>
    <t xml:space="preserve">Aplicar: relacionar. Razonar: justificar con sus palabras</t>
  </si>
  <si>
    <t xml:space="preserve">T0644-G02-CIE</t>
  </si>
  <si>
    <t xml:space="preserve">Transformaciones de la materia.</t>
  </si>
  <si>
    <t xml:space="preserve">1.6. Reconocimiento de las propiedades químicas de la materia.</t>
  </si>
  <si>
    <t xml:space="preserve">Reconoce cambios químicos observables e irreversibles en materiales cotidianos</t>
  </si>
  <si>
    <t xml:space="preserve">Conocer: reconocer y dar ejemplos</t>
  </si>
  <si>
    <t xml:space="preserve">T0645-G02-CIE</t>
  </si>
  <si>
    <t xml:space="preserve">1.7. Experimentación con las propiedades químicas de la materia.</t>
  </si>
  <si>
    <t xml:space="preserve">Experimenta un cambio químico (bicarbonato y vinagre)</t>
  </si>
  <si>
    <t xml:space="preserve">Razonar: predecir y extraer conclusiones sencillas</t>
  </si>
  <si>
    <t xml:space="preserve">T0646-G02-CIE</t>
  </si>
  <si>
    <t xml:space="preserve">Estados de la materia y sus cambios.</t>
  </si>
  <si>
    <t xml:space="preserve">1.8. Observación de los cambios de estado del agua al calentarla o enfriarla.</t>
  </si>
  <si>
    <t xml:space="preserve">Cambios de estado del agua por calentamiento o enfriamiento</t>
  </si>
  <si>
    <t xml:space="preserve">Aplicar: relacionar</t>
  </si>
  <si>
    <t xml:space="preserve">T0647-G02-CIE</t>
  </si>
  <si>
    <t xml:space="preserve">Mezclas.</t>
  </si>
  <si>
    <t xml:space="preserve">1.9. Preparación de mezclas sencillas y separación de sus componentes a mano, con colador o tamiz.</t>
  </si>
  <si>
    <t xml:space="preserve">Mezclas y separación de componentes con herramientas sencillas</t>
  </si>
  <si>
    <t xml:space="preserve">Aplicar: clasificar. Razonar: elegir un procedimiento</t>
  </si>
  <si>
    <t xml:space="preserve">T0648-G02-CIE</t>
  </si>
  <si>
    <t xml:space="preserve">¿Flota o se hunde?</t>
  </si>
  <si>
    <t xml:space="preserve">1.10. Predicción y comprobación de objetos que flotan o se hunden en el agua.</t>
  </si>
  <si>
    <t xml:space="preserve">media</t>
  </si>
  <si>
    <t xml:space="preserve">Flotación como propiedad física para comparar y clasificar objetos</t>
  </si>
  <si>
    <t xml:space="preserve">Razonar: predecir y comprobar</t>
  </si>
  <si>
    <t xml:space="preserve">T0649-G02-CIE</t>
  </si>
  <si>
    <t xml:space="preserve">Los materiales y el ambiente.</t>
  </si>
  <si>
    <t xml:space="preserve">1.11. Reutilización de materiales de desecho según sus propiedades para darles un nuevo uso.</t>
  </si>
  <si>
    <t xml:space="preserve">Reutiliza desechos según sus propiedades físicas; uso responsable de recursos</t>
  </si>
  <si>
    <t xml:space="preserve">Aplicar: relacionar propiedades y usos. Razonar: justificar con sus palabras</t>
  </si>
  <si>
    <t xml:space="preserve">T0650-G02-CIE</t>
  </si>
  <si>
    <t xml:space="preserve">Unidad 2 - Energía</t>
  </si>
  <si>
    <t xml:space="preserve">2. Energía.</t>
  </si>
  <si>
    <t xml:space="preserve">La energía</t>
  </si>
  <si>
    <t xml:space="preserve">2.1. Observación de fenómenos donde la energía es visible.</t>
  </si>
  <si>
    <t xml:space="preserve">Reconoce la energía en fenómenos cotidianos y sus manifestaciones</t>
  </si>
  <si>
    <t xml:space="preserve">Conocer: identificar y dar ejemplos</t>
  </si>
  <si>
    <t xml:space="preserve">T0651-G02-CIE</t>
  </si>
  <si>
    <t xml:space="preserve">Formas de energía.</t>
  </si>
  <si>
    <t xml:space="preserve">2.1. Experimentación con la energía mecánica, utilizando objetos de su entorno.</t>
  </si>
  <si>
    <t xml:space="preserve">Empujar o jalar más fuerte cambia el movimiento de objetos</t>
  </si>
  <si>
    <t xml:space="preserve">Aplicar: comparar. Razonar: predecir</t>
  </si>
  <si>
    <t xml:space="preserve">T0652-G02-CIE</t>
  </si>
  <si>
    <t xml:space="preserve">2.2. Indagación de los dispositivos que requieren electricidad y su fuente de energía.</t>
  </si>
  <si>
    <t xml:space="preserve">Aparatos eléctricos y sus fuentes de energía (enchufe o pilas)</t>
  </si>
  <si>
    <t xml:space="preserve">T0653-G02-CIE</t>
  </si>
  <si>
    <t xml:space="preserve">2.3. Identificación de fuentes naturales de energía eléctrica.</t>
  </si>
  <si>
    <t xml:space="preserve">Fuentes naturales para obtener electricidad (sol, agua, geotermia)</t>
  </si>
  <si>
    <t xml:space="preserve">Conocer: reconocer. Aplicar: relacionar</t>
  </si>
  <si>
    <t xml:space="preserve">T0654-G02-CIE</t>
  </si>
  <si>
    <t xml:space="preserve">2.4. Indagación de las fuentes de energía térmica del entorno.</t>
  </si>
  <si>
    <t xml:space="preserve">Fuentes de calor del entorno y su uso seguro</t>
  </si>
  <si>
    <t xml:space="preserve">T0655-G02-CIE</t>
  </si>
  <si>
    <t xml:space="preserve">2.5. Exploración de sonidos producidos al hacer vibrar objetos del entorno (ligas, vasos con agua, tambores caseros).</t>
  </si>
  <si>
    <t xml:space="preserve">Sonido producido por vibraciones; agudo y grave</t>
  </si>
  <si>
    <t xml:space="preserve">Conocer: identificar y describir. Aplicar: comparar</t>
  </si>
  <si>
    <t xml:space="preserve">T0656-G02-CIE</t>
  </si>
  <si>
    <t xml:space="preserve">Fuentes de energía.</t>
  </si>
  <si>
    <t xml:space="preserve">2.6. Comparación de objetos colocados al sol y a la sombra para observar el efecto de la energía solar.</t>
  </si>
  <si>
    <t xml:space="preserve">El Sol como fuente de calor que calienta objetos</t>
  </si>
  <si>
    <t xml:space="preserve">T0657-G02-CIE</t>
  </si>
  <si>
    <t xml:space="preserve">Uso responsable de la energía.</t>
  </si>
  <si>
    <t xml:space="preserve">2.7. Identificación de acciones sencillas para ahorrar energía eléctrica en el hogar y la escuela.</t>
  </si>
  <si>
    <t xml:space="preserve">Ahorro de energía como uso responsable de recursos</t>
  </si>
  <si>
    <t xml:space="preserve">T0658-G02-CIE</t>
  </si>
  <si>
    <t xml:space="preserve">Transformaciones de la energía.</t>
  </si>
  <si>
    <t xml:space="preserve">2.8. Experimentación con distintas transformaciones energéticas comunes.</t>
  </si>
  <si>
    <t xml:space="preserve">Transformaciones de energía eléctrica en luz o movimiento</t>
  </si>
  <si>
    <t xml:space="preserve">Aplicar: relacionar y usar modelos sencillos (secuencias)</t>
  </si>
  <si>
    <t xml:space="preserve">T0659-G02-CIE</t>
  </si>
  <si>
    <t xml:space="preserve">La luz.</t>
  </si>
  <si>
    <t xml:space="preserve">2.9. Registro de las diferentes fuentes de energía lumínica, naturales y artificiales.</t>
  </si>
  <si>
    <t xml:space="preserve">Fuentes de luz naturales y artificiales</t>
  </si>
  <si>
    <t xml:space="preserve">T0660-G02-CIE</t>
  </si>
  <si>
    <t xml:space="preserve">2.10. Experimentación con colores primarios a partir de la mezcla de pinturas.</t>
  </si>
  <si>
    <t xml:space="preserve">baja</t>
  </si>
  <si>
    <t xml:space="preserve">Mezcla de pigmentos, no óptica de la luz del marco</t>
  </si>
  <si>
    <t xml:space="preserve">T0661-G02-CIE</t>
  </si>
  <si>
    <t xml:space="preserve">2.11. Experimentación con materiales que dejan pasar la luz, la dejan pasar en parte o no la dejan pasar.</t>
  </si>
  <si>
    <t xml:space="preserve">Paso de luz por materiales opacos, transparentes, translúcidos</t>
  </si>
  <si>
    <t xml:space="preserve">T0662-G02-CIE</t>
  </si>
  <si>
    <t xml:space="preserve">Unidad 3 - Movimiento</t>
  </si>
  <si>
    <t xml:space="preserve">3. El movimiento</t>
  </si>
  <si>
    <t xml:space="preserve">¿Qué es el movimiento?</t>
  </si>
  <si>
    <t xml:space="preserve">3.1. Observación de objetos y seres vivos del entorno que se mueven o están en reposo.</t>
  </si>
  <si>
    <t xml:space="preserve">Noción de movimiento como cambio de lugar</t>
  </si>
  <si>
    <t xml:space="preserve">T0663-G02-CIE</t>
  </si>
  <si>
    <t xml:space="preserve">Las características del movimiento</t>
  </si>
  <si>
    <t xml:space="preserve">3.2. Comparación de la rapidez y la dirección del movimiento de objetos y personas.</t>
  </si>
  <si>
    <t xml:space="preserve">Rapidez y dirección del movimiento en rampas</t>
  </si>
  <si>
    <t xml:space="preserve">T0664-G02-CIE</t>
  </si>
  <si>
    <t xml:space="preserve">Los tipos de movimiento</t>
  </si>
  <si>
    <t xml:space="preserve">3.3. Clasificación de movimientos de objetos del entorno según el camino que siguen.</t>
  </si>
  <si>
    <t xml:space="preserve">Tipos de trayectoria; marco solo aborda fuerzas y movimiento</t>
  </si>
  <si>
    <t xml:space="preserve">T0665-G02-CIE</t>
  </si>
  <si>
    <t xml:space="preserve">Movimiento de rotación de la Tierra.</t>
  </si>
  <si>
    <t xml:space="preserve">3.4. Indagación de la percepción del día y la noche.</t>
  </si>
  <si>
    <t xml:space="preserve">Diferencias entre día y noche, antesala de rotación</t>
  </si>
  <si>
    <t xml:space="preserve">Conocer: describir</t>
  </si>
  <si>
    <t xml:space="preserve">T0666-G02-CIE</t>
  </si>
  <si>
    <t xml:space="preserve">3.5. Modelación de la interacción Sol-Tierra para representar la sucesión del día y la noche por la rotación de la Tierra.</t>
  </si>
  <si>
    <t xml:space="preserve">Día y noche por rotación de la Tierra con modelo</t>
  </si>
  <si>
    <t xml:space="preserve">Aplicar: usar modelos sencillos</t>
  </si>
  <si>
    <t xml:space="preserve">T0667-G02-CIE</t>
  </si>
  <si>
    <t xml:space="preserve">Movimiento de traslación de la Tierra.</t>
  </si>
  <si>
    <t xml:space="preserve">3.6. Relación del movimiento de traslación de la Tierra con el calendario.</t>
  </si>
  <si>
    <t xml:space="preserve">Traslación de la Tierra alrededor del Sol y el año</t>
  </si>
  <si>
    <t xml:space="preserve">T0668-G02-CIE</t>
  </si>
  <si>
    <t xml:space="preserve">3.7. Identificación de las características de las estaciones del año.</t>
  </si>
  <si>
    <t xml:space="preserve">Características estacionales de temperatura y lluvia según lugar</t>
  </si>
  <si>
    <t xml:space="preserve">T0669-G02-CIE</t>
  </si>
  <si>
    <t xml:space="preserve">3.8. Descripción de los fenómenos que caracterizan las estaciones del año percibidas en El Salvador.</t>
  </si>
  <si>
    <t xml:space="preserve">Época seca y lluviosa: cambios estacionales de lluvia</t>
  </si>
  <si>
    <t xml:space="preserve">Razonar: extraer conclusiones sencillas a partir de registros</t>
  </si>
  <si>
    <t xml:space="preserve">T0670-G02-CIE</t>
  </si>
  <si>
    <t xml:space="preserve">Unidad 4 - Seres vivos</t>
  </si>
  <si>
    <t xml:space="preserve">4. Seres vivos.</t>
  </si>
  <si>
    <t xml:space="preserve">¿Qué es un ser vivo?</t>
  </si>
  <si>
    <t xml:space="preserve">1.8. Comparación entre las características unificadoras de los seres vivos.</t>
  </si>
  <si>
    <t xml:space="preserve">Distingue seres vivos de objetos inertes</t>
  </si>
  <si>
    <t xml:space="preserve">T0671-G02-CIE</t>
  </si>
  <si>
    <t xml:space="preserve">Características de los seres vivos.</t>
  </si>
  <si>
    <t xml:space="preserve">1.9. Experimentación con la forma en que los seres vivos reaccionan a lo que ocurre a su alrededor (luz, tacto, calor).</t>
  </si>
  <si>
    <t xml:space="preserve">Respuesta de seres vivos a estímulos del entorno</t>
  </si>
  <si>
    <t xml:space="preserve">Aplicar: relacionar. Razonar: predecir</t>
  </si>
  <si>
    <t xml:space="preserve">T0672-G02-CIE</t>
  </si>
  <si>
    <t xml:space="preserve">1.10. Registro con dibujos de los cambios en el crecimiento de un ser vivo.</t>
  </si>
  <si>
    <t xml:space="preserve">Etapas de desarrollo de planta con flor (semilla a fruto)</t>
  </si>
  <si>
    <t xml:space="preserve">Aplicar: usar secuencias. Razonar: extraer conclusiones sencillas</t>
  </si>
  <si>
    <t xml:space="preserve">T0673-G02-CIE</t>
  </si>
  <si>
    <t xml:space="preserve">¿Dónde se encuentran los seres vivos?</t>
  </si>
  <si>
    <t xml:space="preserve">1.11. Observación de los lugares del entorno donde viven los seres vivos.</t>
  </si>
  <si>
    <t xml:space="preserve">Relaciona seres vivos con lugares donde obtienen lo necesario</t>
  </si>
  <si>
    <t xml:space="preserve">T0674-G02-CIE</t>
  </si>
  <si>
    <t xml:space="preserve">¿Cuántos tipos de organismos existen?</t>
  </si>
  <si>
    <t xml:space="preserve">4.1. Observación de la variedad de seres vivos del entorno (biodiversidad).</t>
  </si>
  <si>
    <t xml:space="preserve">Variedad de seres vivos del entorno (biodiversidad)</t>
  </si>
  <si>
    <t xml:space="preserve">Conocer: dar ejemplos</t>
  </si>
  <si>
    <t xml:space="preserve">T0675-G02-CIE</t>
  </si>
  <si>
    <t xml:space="preserve">4.2. Clasificación de seres vivos en grupos, según sus características.</t>
  </si>
  <si>
    <t xml:space="preserve">Clasifica seres vivos en grupos por rasgos observables</t>
  </si>
  <si>
    <t xml:space="preserve">T0676-G02-CIE</t>
  </si>
  <si>
    <t xml:space="preserve">Reconociendo plantas.</t>
  </si>
  <si>
    <t xml:space="preserve">4.3. Reconocimiento de las características físicas y la nutrición de las plantas.</t>
  </si>
  <si>
    <t xml:space="preserve">Partes de la planta y lo que necesita para vivir</t>
  </si>
  <si>
    <t xml:space="preserve">Conocer: identificar partes. Aplicar: relacionar</t>
  </si>
  <si>
    <t xml:space="preserve">T0677-G02-CIE</t>
  </si>
  <si>
    <t xml:space="preserve">4.4. Comparación entre plantas silvestres y de cultivo.</t>
  </si>
  <si>
    <t xml:space="preserve">Plantas silvestres y cultivadas según dónde crecen; vínculo débil</t>
  </si>
  <si>
    <t xml:space="preserve">Aplicar: comparar</t>
  </si>
  <si>
    <t xml:space="preserve">T0678-G02-CIE</t>
  </si>
  <si>
    <t xml:space="preserve">Importancia de las plantas.</t>
  </si>
  <si>
    <t xml:space="preserve">4.5. Identificación y registro de los productos de origen vegetal.</t>
  </si>
  <si>
    <t xml:space="preserve">Plantas como recurso: productos de origen vegetal</t>
  </si>
  <si>
    <t xml:space="preserve">T0679-G02-CIE</t>
  </si>
  <si>
    <t xml:space="preserve">4.6. Clasificación de plantas según su uso: alimenticias, ornamentales, medicinales y otros.</t>
  </si>
  <si>
    <t xml:space="preserve">Usos de plantas como recursos; clasificación utilitaria</t>
  </si>
  <si>
    <t xml:space="preserve">Aplicar: clasificar. Razonar: justificar</t>
  </si>
  <si>
    <t xml:space="preserve">T0680-G02-CIE</t>
  </si>
  <si>
    <t xml:space="preserve">Reconociendo animales.</t>
  </si>
  <si>
    <t xml:space="preserve">4.7. Reconocimiento de las características físicas de grupos comunes de animales.</t>
  </si>
  <si>
    <t xml:space="preserve">Rasgos físicos de grandes grupos de animales</t>
  </si>
  <si>
    <t xml:space="preserve">Conocer: describir. Aplicar: clasificar</t>
  </si>
  <si>
    <t xml:space="preserve">T0681-G02-CIE</t>
  </si>
  <si>
    <t xml:space="preserve">4.8. Relación de las características físicas de un animal con su alimentación y su hábitat.</t>
  </si>
  <si>
    <t xml:space="preserve">Rasgos físicos del animal relacionados con alimentación y hábitat</t>
  </si>
  <si>
    <t xml:space="preserve">Aplicar: relacionar. Razonar: justificar</t>
  </si>
  <si>
    <t xml:space="preserve">T0682-G02-CIE</t>
  </si>
  <si>
    <t xml:space="preserve">4.9. Clasificación de las formas de desplazamiento de los animales.</t>
  </si>
  <si>
    <t xml:space="preserve">Compara conductas de desplazamiento entre animales</t>
  </si>
  <si>
    <t xml:space="preserve">T0683-G02-CIE</t>
  </si>
  <si>
    <t xml:space="preserve">Importancia de los animales.</t>
  </si>
  <si>
    <t xml:space="preserve">4.10. Identificación y registro de los productos de origen animal.</t>
  </si>
  <si>
    <t xml:space="preserve">Animales como recurso: productos de origen animal</t>
  </si>
  <si>
    <t xml:space="preserve">T0684-G02-CIE</t>
  </si>
  <si>
    <t xml:space="preserve">4.11. Comparación entre animales silvestres y domésticos.</t>
  </si>
  <si>
    <t xml:space="preserve">Animales silvestres y domésticos según dónde viven</t>
  </si>
  <si>
    <t xml:space="preserve">T0685-G02-CIE</t>
  </si>
  <si>
    <t xml:space="preserve">4.12. Identificación de amenazas y formas de protección de los animales.</t>
  </si>
  <si>
    <t xml:space="preserve">Amenazas humanas a animales y acciones de protección</t>
  </si>
  <si>
    <t xml:space="preserve">Razonar: justificar con sus palabras</t>
  </si>
  <si>
    <t xml:space="preserve">T0686-G02-CIE</t>
  </si>
  <si>
    <t xml:space="preserve">Reconociendo los microorganismos.</t>
  </si>
  <si>
    <t xml:space="preserve">4.13. Observación, sin abrir las bolsas, del moho que aparece en el pan (efecto de los microorganismos en los alimentos).</t>
  </si>
  <si>
    <t xml:space="preserve">Microorganismos como seres vivos; descomponen alimentos y enferman</t>
  </si>
  <si>
    <t xml:space="preserve">T0687-G02-CIE</t>
  </si>
  <si>
    <t xml:space="preserve">Reconociendo hongos.</t>
  </si>
  <si>
    <t xml:space="preserve">4.14. Reconocimiento de las características físicas y el hábitat de los hongos macroscópicos.</t>
  </si>
  <si>
    <t xml:space="preserve">Rasgos de hongos y ambientes húmedos donde crecen</t>
  </si>
  <si>
    <t xml:space="preserve">T0688-G02-CIE</t>
  </si>
  <si>
    <t xml:space="preserve">Unidad 5 - Objetos técnicos</t>
  </si>
  <si>
    <t xml:space="preserve">5. Objetos técnicos.</t>
  </si>
  <si>
    <t xml:space="preserve">Equilibrio.</t>
  </si>
  <si>
    <t xml:space="preserve">5.1. Construcción de balanzas.</t>
  </si>
  <si>
    <t xml:space="preserve">Construcción de objeto técnico (balanza) para comparar pesos</t>
  </si>
  <si>
    <t xml:space="preserve">Aplicar: usar instrumentos sencillos</t>
  </si>
  <si>
    <t xml:space="preserve">T0689-G02-CIE</t>
  </si>
  <si>
    <t xml:space="preserve">5.2. Registro de valores de magnitud empleando una balanza.</t>
  </si>
  <si>
    <t xml:space="preserve">Estimación y medición de masa con unidades no convencionales</t>
  </si>
  <si>
    <t xml:space="preserve">Aplicar: medir. Razonar: estimar</t>
  </si>
  <si>
    <t xml:space="preserve">T0690-G02-CIE</t>
  </si>
  <si>
    <t xml:space="preserve">Estructuras.</t>
  </si>
  <si>
    <t xml:space="preserve">5.3. Construcción de una estructura rígida: modelo de puente o torre.</t>
  </si>
  <si>
    <t xml:space="preserve">Diseño de estructuras técnicas; sin objetivo del marco</t>
  </si>
  <si>
    <t xml:space="preserve">Aplicar: usar modelos</t>
  </si>
  <si>
    <t xml:space="preserve">T0691-G02-CIE</t>
  </si>
  <si>
    <t xml:space="preserve">5.4. Registro de valores de la máxima resistencia que soporta una estructura.</t>
  </si>
  <si>
    <t xml:space="preserve">Prueba de resistencia de estructura técnica construida</t>
  </si>
  <si>
    <t xml:space="preserve">T0692-G02-CIE</t>
  </si>
  <si>
    <t xml:space="preserve">Transformaciones.</t>
  </si>
  <si>
    <t xml:space="preserve">5.5. Construcción de un dispositivo transformador de energía (molinete de viento).</t>
  </si>
  <si>
    <t xml:space="preserve">Viento como fuente de energía que produce movimiento</t>
  </si>
  <si>
    <t xml:space="preserve">T0693-G02-CIE</t>
  </si>
  <si>
    <t xml:space="preserve">5.6. Indagación de cómo optimizar un dispositivo de transformación de energía.</t>
  </si>
  <si>
    <t xml:space="preserve">Optimización de diseño técnico de un molinete</t>
  </si>
  <si>
    <t xml:space="preserve">Razonar: evaluar y mejorar</t>
  </si>
  <si>
    <t xml:space="preserve">T0694-G02-CIE</t>
  </si>
  <si>
    <t xml:space="preserve">Cuidado de plantas y animales.</t>
  </si>
  <si>
    <t xml:space="preserve">5.7. Registro de tareas para el cuidado de un animal.</t>
  </si>
  <si>
    <t xml:space="preserve">Cuidado de animal: necesidades de agua y alimento</t>
  </si>
  <si>
    <t xml:space="preserve">T0695-G02-CIE</t>
  </si>
  <si>
    <t xml:space="preserve">5.8. Construcción de una estructura para cuidar animales silvestres (bebedero o comedero de aves).</t>
  </si>
  <si>
    <t xml:space="preserve">Acción humana positiva para ayudar a animales silvestres</t>
  </si>
  <si>
    <t xml:space="preserve">Razonar: diseñar y evaluar</t>
  </si>
  <si>
    <t xml:space="preserve">T0696-G02-CIE</t>
  </si>
  <si>
    <t xml:space="preserve">5.9. Construcción y uso de terrarios.</t>
  </si>
  <si>
    <t xml:space="preserve">Terrario: necesidades de las plantas para vivir</t>
  </si>
  <si>
    <t xml:space="preserve">Razonar: predecir</t>
  </si>
  <si>
    <t xml:space="preserve">T0697-G02-CIE</t>
  </si>
  <si>
    <t xml:space="preserve">Unidad 6 - Ambiente y salud</t>
  </si>
  <si>
    <t xml:space="preserve">6. Ambiente y salud.</t>
  </si>
  <si>
    <t xml:space="preserve">Peligros en la escuela y el hogar.</t>
  </si>
  <si>
    <t xml:space="preserve">6.1. Reconocimiento y prevención de accidentes comunes.</t>
  </si>
  <si>
    <t xml:space="preserve">Prevención de accidentes; no es contenido del marco</t>
  </si>
  <si>
    <t xml:space="preserve">T0698-G02-CIE</t>
  </si>
  <si>
    <t xml:space="preserve">6.2. Identificación de los factores de peligro en el hogar y la escuela.</t>
  </si>
  <si>
    <t xml:space="preserve">Zonas de riesgo en hogar y escuela; prevención</t>
  </si>
  <si>
    <t xml:space="preserve">Aplicar: identificar y ubicar</t>
  </si>
  <si>
    <t xml:space="preserve">T0699-G02-CIE</t>
  </si>
  <si>
    <t xml:space="preserve">Amenazas naturales.</t>
  </si>
  <si>
    <t xml:space="preserve">6.3. Reconocimiento de amenazas naturales comunes en El Salvador.</t>
  </si>
  <si>
    <t xml:space="preserve">Amenazas naturales y riesgo; fuera de objetivos T4</t>
  </si>
  <si>
    <t xml:space="preserve">Conocer: reconocer</t>
  </si>
  <si>
    <t xml:space="preserve">T0700-G02-CIE</t>
  </si>
  <si>
    <t xml:space="preserve">6.4. Clasificación de las amenazas naturales comunes en El Salvador.</t>
  </si>
  <si>
    <t xml:space="preserve">Clasificación de amenazas naturales para gestión de riesgo</t>
  </si>
  <si>
    <t xml:space="preserve">T0701-G02-CIE</t>
  </si>
  <si>
    <t xml:space="preserve">6.5. Simulación de acciones a seguir durante una emergencia (sismo).</t>
  </si>
  <si>
    <t xml:space="preserve">Simulacro de sismo; prevención de riesgos</t>
  </si>
  <si>
    <t xml:space="preserve">Aplicar: usar modelos (simulacro). Razonar: justificar</t>
  </si>
  <si>
    <t xml:space="preserve">T0702-G02-CIE</t>
  </si>
  <si>
    <t xml:space="preserve">Acciones humanas que transforman el entorno.</t>
  </si>
  <si>
    <t xml:space="preserve">6.6. Reconocimiento de acciones humanas que transforman el entorno.</t>
  </si>
  <si>
    <t xml:space="preserve">Acciones humanas que transforman el entorno</t>
  </si>
  <si>
    <t xml:space="preserve">T0703-G02-CIE</t>
  </si>
  <si>
    <t xml:space="preserve">6.7. Explicación de la procedencia y descarte de los materiales.</t>
  </si>
  <si>
    <t xml:space="preserve">Procedencia de materiales y desecho responsable</t>
  </si>
  <si>
    <t xml:space="preserve">T0704-G02-CIE</t>
  </si>
  <si>
    <t xml:space="preserve">6.8. Registro de los residuos generados en la vida diaria.</t>
  </si>
  <si>
    <t xml:space="preserve">Residuos generados y su reducción; impacto humano</t>
  </si>
  <si>
    <t xml:space="preserve">Razonar: extraer conclusiones sencillas</t>
  </si>
  <si>
    <t xml:space="preserve">T0705-G02-CIE</t>
  </si>
  <si>
    <t xml:space="preserve">Cuidado personal.</t>
  </si>
  <si>
    <t xml:space="preserve">6.9. Relación de los hábitos higiénicos con la buena salud.</t>
  </si>
  <si>
    <t xml:space="preserve">Higiene de manos previene transmisión de microbios</t>
  </si>
  <si>
    <t xml:space="preserve">T0706-G02-CIE</t>
  </si>
  <si>
    <t xml:space="preserve">6.10. Reconocimiento de las vacunas como una forma de prevenir enfermedades.</t>
  </si>
  <si>
    <t xml:space="preserve">Vacunas como forma de prevenir enfermedades</t>
  </si>
  <si>
    <t xml:space="preserve">T0707-G02-CIE</t>
  </si>
  <si>
    <t xml:space="preserve">Alimentación saludable.</t>
  </si>
  <si>
    <t xml:space="preserve">6.11. Reconocimiento de prácticas higiénicas al preparar alimentos.</t>
  </si>
  <si>
    <t xml:space="preserve">Higiene al preparar alimentos previene enfermedades</t>
  </si>
  <si>
    <t xml:space="preserve">T0708-G02-CIE</t>
  </si>
  <si>
    <t xml:space="preserve">6.12. Explicación de los beneficios del consumo variado de alimentos.</t>
  </si>
  <si>
    <t xml:space="preserve">Beneficios de una dieta variada y balanceada</t>
  </si>
  <si>
    <t xml:space="preserve">T0709-G03-CIE</t>
  </si>
  <si>
    <t xml:space="preserve">Matriz_Ciencias_3er_Grado_U1_U6.xlsx</t>
  </si>
  <si>
    <t xml:space="preserve">Unidad 1 - Medidas y fuerzas</t>
  </si>
  <si>
    <t xml:space="preserve">1. Medidas y fuerzas.</t>
  </si>
  <si>
    <t xml:space="preserve">Instrumentos de medición.</t>
  </si>
  <si>
    <t xml:space="preserve">1.1. Medición directa empleando diferentes instrumentos.</t>
  </si>
  <si>
    <t xml:space="preserve">Medición directa con instrumentos; procedimiento general</t>
  </si>
  <si>
    <t xml:space="preserve">Aplicar: medir con instrumentos. Razonar: comparar resultados</t>
  </si>
  <si>
    <t xml:space="preserve">T0710-G03-CIE</t>
  </si>
  <si>
    <t xml:space="preserve">1.2. Selección del instrumento de medición apropiado según el objeto a medir.</t>
  </si>
  <si>
    <t xml:space="preserve">Selección de instrumentos de medición; procedimiento general</t>
  </si>
  <si>
    <t xml:space="preserve">Aplicar: seleccionar instrumentos. Razonar: justificar</t>
  </si>
  <si>
    <t xml:space="preserve">T0711-G03-CIE</t>
  </si>
  <si>
    <t xml:space="preserve">Tipos de fuerza.</t>
  </si>
  <si>
    <t xml:space="preserve">1.3. Experimentación con fuerzas de contacto.</t>
  </si>
  <si>
    <t xml:space="preserve">Fuerzas de contacto y fricción en distintas superficies</t>
  </si>
  <si>
    <t xml:space="preserve">Aplicar: medir. Razonar: comparar condiciones</t>
  </si>
  <si>
    <t xml:space="preserve">T0712-G03-CIE</t>
  </si>
  <si>
    <t xml:space="preserve">1.4. Experimentación con fuerzas a distancia.</t>
  </si>
  <si>
    <t xml:space="preserve">Imán atrae clip a distancia; fuerza magnética</t>
  </si>
  <si>
    <t xml:space="preserve">Conocer: describir. Razonar: comprobar</t>
  </si>
  <si>
    <t xml:space="preserve">T0713-G03-CIE</t>
  </si>
  <si>
    <t xml:space="preserve">1.5. Comparación del comportamiento de las fuerzas por contacto y a distancia.</t>
  </si>
  <si>
    <t xml:space="preserve">Compara fuerzas de contacto y a distancia</t>
  </si>
  <si>
    <t xml:space="preserve">Aplicar: comparar y clasificar</t>
  </si>
  <si>
    <t xml:space="preserve">T0714-G03-CIE</t>
  </si>
  <si>
    <t xml:space="preserve">Movimiento.</t>
  </si>
  <si>
    <t xml:space="preserve">1.6. Comunicación de observaciones acerca de los efectos de las fuerzas sobre el estado de movimiento de los objetos.</t>
  </si>
  <si>
    <t xml:space="preserve">Las fuerzas cambian el estado de movimiento</t>
  </si>
  <si>
    <t xml:space="preserve">Conocer: describir. Aplicar: representar</t>
  </si>
  <si>
    <t xml:space="preserve">T0715-G03-CIE</t>
  </si>
  <si>
    <t xml:space="preserve">Unidad 2 - Interacciones terres</t>
  </si>
  <si>
    <t xml:space="preserve">2. Interacciones terrestres.</t>
  </si>
  <si>
    <t xml:space="preserve">Cambios físicos y químicos.</t>
  </si>
  <si>
    <t xml:space="preserve">2.1. Identificación de cambios físicos y químicos.</t>
  </si>
  <si>
    <t xml:space="preserve">Distingue cambios físicos y químicos por señales observables</t>
  </si>
  <si>
    <t xml:space="preserve">Conocer: reconocer. Aplicar: clasificar</t>
  </si>
  <si>
    <t xml:space="preserve">T0716-G03-CIE</t>
  </si>
  <si>
    <t xml:space="preserve">2.2. Experimentación con cambios físicos y químicos reversibles e irreversibles.</t>
  </si>
  <si>
    <t xml:space="preserve">Cambios físicos y químicos reversibles e irreversibles</t>
  </si>
  <si>
    <t xml:space="preserve">Razonar: predecir, comprobar y justificar</t>
  </si>
  <si>
    <t xml:space="preserve">T0717-G03-CIE</t>
  </si>
  <si>
    <t xml:space="preserve">2.3. Preparación de distintos tipos de mezclas.</t>
  </si>
  <si>
    <t xml:space="preserve">Preparación y clasificación de mezclas</t>
  </si>
  <si>
    <t xml:space="preserve">T0718-G03-CIE</t>
  </si>
  <si>
    <t xml:space="preserve">2.4. Descripción de las principales características de los métodos de separación de mezclas.</t>
  </si>
  <si>
    <t xml:space="preserve">Métodos de separación según propiedades físicas</t>
  </si>
  <si>
    <t xml:space="preserve">Conocer: describir. Aplicar: relacionar</t>
  </si>
  <si>
    <t xml:space="preserve">T0719-G03-CIE</t>
  </si>
  <si>
    <t xml:space="preserve">2.5. Experimentación con los métodos de separación de mezclas.</t>
  </si>
  <si>
    <t xml:space="preserve">Experimenta separación de mezclas</t>
  </si>
  <si>
    <t xml:space="preserve">Razonar: diseñar, ejecutar y evaluar un procedimiento</t>
  </si>
  <si>
    <t xml:space="preserve">T0720-G03-CIE</t>
  </si>
  <si>
    <t xml:space="preserve">Las rocas.</t>
  </si>
  <si>
    <t xml:space="preserve">2.6. Identificación de rocas como elementos de uso común</t>
  </si>
  <si>
    <t xml:space="preserve">Rocas como recurso de uso común</t>
  </si>
  <si>
    <t xml:space="preserve">Conocer: dar ejemplos. Aplicar: clasificar</t>
  </si>
  <si>
    <t xml:space="preserve">T0721-G03-CIE</t>
  </si>
  <si>
    <t xml:space="preserve">2.7. Clasificación de rocas por sus características y ambientes de formación</t>
  </si>
  <si>
    <t xml:space="preserve">Tipos de rocas por formación; vínculo parcial con rocas</t>
  </si>
  <si>
    <t xml:space="preserve">Aplicar: clasificar según características observables</t>
  </si>
  <si>
    <t xml:space="preserve">T0722-G03-CIE</t>
  </si>
  <si>
    <t xml:space="preserve">Rocas y volcanes.</t>
  </si>
  <si>
    <t xml:space="preserve">2.8. Reconocimiento de los procesos responsables de la formación de las rocas.</t>
  </si>
  <si>
    <t xml:space="preserve">Ciclo de las rocas incluye erosión; nivel superior a T4</t>
  </si>
  <si>
    <t xml:space="preserve">Aplicar: usar modelos. Conocer: describir procesos</t>
  </si>
  <si>
    <t xml:space="preserve">T0723-G03-CIE</t>
  </si>
  <si>
    <t xml:space="preserve">2.9. Comparación de las características generales de los productos de origen volcánico.</t>
  </si>
  <si>
    <t xml:space="preserve">Productos volcánicos no figuran en objetivos T4</t>
  </si>
  <si>
    <t xml:space="preserve">Aplicar: comparar. Razonar: explicar</t>
  </si>
  <si>
    <t xml:space="preserve">T0724-G03-CIE</t>
  </si>
  <si>
    <t xml:space="preserve">Tipos de volcanes.</t>
  </si>
  <si>
    <t xml:space="preserve">2.10. Clasificación de los volcanes por sus formas.</t>
  </si>
  <si>
    <t xml:space="preserve">Clasificación de volcanes no figura en objetivos T4</t>
  </si>
  <si>
    <t xml:space="preserve">T0725-G03-CIE</t>
  </si>
  <si>
    <t xml:space="preserve">2.11. Clasificación de los volcanes por su tipo de erupción.</t>
  </si>
  <si>
    <t xml:space="preserve">Tipos de erupción no figuran en objetivos T4</t>
  </si>
  <si>
    <t xml:space="preserve">T0726-G03-CIE</t>
  </si>
  <si>
    <t xml:space="preserve">Capas de la Tierra.</t>
  </si>
  <si>
    <t xml:space="preserve">2.12. Comparación de las composiciones químicas y ubicación de las capas de la Tierra.</t>
  </si>
  <si>
    <t xml:space="preserve">Capas internas de la Tierra no figuran en T4</t>
  </si>
  <si>
    <t xml:space="preserve">Aplicar: usar modelos. Razonar: evaluar un modelo</t>
  </si>
  <si>
    <t xml:space="preserve">T0727-G03-CIE</t>
  </si>
  <si>
    <t xml:space="preserve">2.13. Representación de la estructura interna de la Tierra según sus propiedades físicas.</t>
  </si>
  <si>
    <t xml:space="preserve">Estructura interna terrestre no figura en objetivos T4</t>
  </si>
  <si>
    <t xml:space="preserve">T0728-G03-CIE</t>
  </si>
  <si>
    <t xml:space="preserve">Atmósfera terrestre.</t>
  </si>
  <si>
    <t xml:space="preserve">2.14. Explicación de la importancia de la atmósfera para la vida en la Tierra.</t>
  </si>
  <si>
    <t xml:space="preserve">Atmósfera como recurso para la vida y su cuidado</t>
  </si>
  <si>
    <t xml:space="preserve">T0729-G03-CIE</t>
  </si>
  <si>
    <t xml:space="preserve">2.15. Descripción de las características de las capas atmosféricas de la Tierra.</t>
  </si>
  <si>
    <t xml:space="preserve">Capas atmosféricas no figuran en objetivos T4</t>
  </si>
  <si>
    <t xml:space="preserve">Conocer: describir. Aplicar: usar modelos</t>
  </si>
  <si>
    <t xml:space="preserve">T0730-G03-CIE</t>
  </si>
  <si>
    <t xml:space="preserve">Unidad 3 - El agua</t>
  </si>
  <si>
    <t xml:space="preserve">3. El agua.</t>
  </si>
  <si>
    <t xml:space="preserve">Hidrósfera terrestre.</t>
  </si>
  <si>
    <t xml:space="preserve">3.1. Representación de las principales características e importancia de los océanos.</t>
  </si>
  <si>
    <t xml:space="preserve">Océanos: distribución del agua salada y su importancia</t>
  </si>
  <si>
    <t xml:space="preserve">T0731-G03-CIE</t>
  </si>
  <si>
    <t xml:space="preserve">3.2. Descripción de las principales características e importancia de los lagos.</t>
  </si>
  <si>
    <t xml:space="preserve">Lagos como ubicación de agua dulce e importancia</t>
  </si>
  <si>
    <t xml:space="preserve">T0732-G03-CIE</t>
  </si>
  <si>
    <t xml:space="preserve">3.3. Exploración de las principales características e importancia de los ríos.</t>
  </si>
  <si>
    <t xml:space="preserve">Ríos como agua dulce; sus partes y usos</t>
  </si>
  <si>
    <t xml:space="preserve">Conocer: describir. Razonar: evaluar información</t>
  </si>
  <si>
    <t xml:space="preserve">T0733-G03-CIE</t>
  </si>
  <si>
    <t xml:space="preserve">3.4. Descripción de las principales características e importancia de los glaciares.</t>
  </si>
  <si>
    <t xml:space="preserve">Glaciares como reserva de agua dulce</t>
  </si>
  <si>
    <t xml:space="preserve">T0734-G03-CIE</t>
  </si>
  <si>
    <t xml:space="preserve">3.5. Modelación de un acuífero para estudiar sus características e importancia.</t>
  </si>
  <si>
    <t xml:space="preserve">Acuíferos: ubicación de agua dulce subterránea</t>
  </si>
  <si>
    <t xml:space="preserve">T0735-G03-CIE</t>
  </si>
  <si>
    <t xml:space="preserve">3.6. Modelación de condiciones de sequía.</t>
  </si>
  <si>
    <t xml:space="preserve">Respuesta de plantas a la sequía en modelo</t>
  </si>
  <si>
    <t xml:space="preserve">Razonar: identificar variables y extraer conclusiones</t>
  </si>
  <si>
    <t xml:space="preserve">T0736-G03-CIE</t>
  </si>
  <si>
    <t xml:space="preserve">Propiedades del agua.</t>
  </si>
  <si>
    <t xml:space="preserve">3.7. Experimentación con las propiedades físicas del agua.</t>
  </si>
  <si>
    <t xml:space="preserve">Propiedades físicas del agua (tensión superficial)</t>
  </si>
  <si>
    <t xml:space="preserve">Aplicar: medir. Razonar: comparar resultados</t>
  </si>
  <si>
    <t xml:space="preserve">T0737-G03-CIE</t>
  </si>
  <si>
    <t xml:space="preserve">3.8. Distinción entre mezclas acuosas y disoluciones.</t>
  </si>
  <si>
    <t xml:space="preserve">Distingue mezclas acuosas y disoluciones</t>
  </si>
  <si>
    <t xml:space="preserve">T0738-G03-CIE</t>
  </si>
  <si>
    <t xml:space="preserve">Disoluciones, suspensiones y coloides.</t>
  </si>
  <si>
    <t xml:space="preserve">3.9. Identificación de disoluciones, suspensiones y coloides en el ambiente.</t>
  </si>
  <si>
    <t xml:space="preserve">Identifica tipos de mezclas en el ambiente</t>
  </si>
  <si>
    <t xml:space="preserve">T0739-G03-CIE</t>
  </si>
  <si>
    <t xml:space="preserve">3.10. Preparación de disoluciones con sustancias cotidianas.</t>
  </si>
  <si>
    <t xml:space="preserve">Condiciones que aceleran la disolución del azúcar</t>
  </si>
  <si>
    <t xml:space="preserve">Razonar: identificar variables</t>
  </si>
  <si>
    <t xml:space="preserve">T0740-G03-CIE</t>
  </si>
  <si>
    <t xml:space="preserve">3.11. Clasificación de las disoluciones por su grado de saturación.</t>
  </si>
  <si>
    <t xml:space="preserve">Disolución y saturación al agregar soluto</t>
  </si>
  <si>
    <t xml:space="preserve">Aplicar: medir. Razonar: interpretar datos</t>
  </si>
  <si>
    <t xml:space="preserve">T0741-G03-CIE</t>
  </si>
  <si>
    <t xml:space="preserve">3.12. Exploración de las propiedades de los coloides y suspensiones, empleando muestras.</t>
  </si>
  <si>
    <t xml:space="preserve">Propiedades de suspensiones y coloides como mezclas</t>
  </si>
  <si>
    <t xml:space="preserve">Razonar: comprobar y extraer conclusiones</t>
  </si>
  <si>
    <t xml:space="preserve">T0742-G03-CIE</t>
  </si>
  <si>
    <t xml:space="preserve">Tratamiento del agua.</t>
  </si>
  <si>
    <t xml:space="preserve">3.13. Experimentación con procesos de potabilización del agua.</t>
  </si>
  <si>
    <t xml:space="preserve">Potabilización mediante separación de mezclas; agua como recurso</t>
  </si>
  <si>
    <t xml:space="preserve">Aplicar: usar modelos. Razonar: evaluar</t>
  </si>
  <si>
    <t xml:space="preserve">T0743-G03-CIE</t>
  </si>
  <si>
    <t xml:space="preserve">3.14. Reconocimiento de la importancia de tratar las aguas residuales.</t>
  </si>
  <si>
    <t xml:space="preserve">Tratar aguas residuales reduce impacto humano en ambiente</t>
  </si>
  <si>
    <t xml:space="preserve">Aplicar: relacionar causas y efectos. Razonar: justificar</t>
  </si>
  <si>
    <t xml:space="preserve">T0744-G03-CIE</t>
  </si>
  <si>
    <t xml:space="preserve">Unidad 4 - Las plantas</t>
  </si>
  <si>
    <t xml:space="preserve">4. Las plantas.</t>
  </si>
  <si>
    <t xml:space="preserve">Morfología y funciones de los órganos de las plantas.</t>
  </si>
  <si>
    <t xml:space="preserve">4.1. Reconocimiento de los órganos presentes en las plantas con semilla.</t>
  </si>
  <si>
    <t xml:space="preserve">Órganos de plantas con semilla</t>
  </si>
  <si>
    <t xml:space="preserve">Conocer: identificar estructuras</t>
  </si>
  <si>
    <t xml:space="preserve">T0745-G03-CIE</t>
  </si>
  <si>
    <t xml:space="preserve">4.2. Relación de los órganos vegetales con sus funciones.</t>
  </si>
  <si>
    <t xml:space="preserve">Relaciona órganos vegetales con sus funciones</t>
  </si>
  <si>
    <t xml:space="preserve">Conocer: relacionar estructura y función</t>
  </si>
  <si>
    <t xml:space="preserve">T0746-G03-CIE</t>
  </si>
  <si>
    <t xml:space="preserve">4.3. Clasificación de órganos vegetales por sus formas.</t>
  </si>
  <si>
    <t xml:space="preserve">Compara y clasifica órganos vegetales por su forma</t>
  </si>
  <si>
    <t xml:space="preserve">T0747-G03-CIE</t>
  </si>
  <si>
    <t xml:space="preserve">4.4. Elaboración de catálogo de estructuras vegetales presentes en plantas de la comunidad.</t>
  </si>
  <si>
    <t xml:space="preserve">Catálogo de estructuras de plantas de la comunidad</t>
  </si>
  <si>
    <t xml:space="preserve">Aplicar: organizar información</t>
  </si>
  <si>
    <t xml:space="preserve">T0748-G03-CIE</t>
  </si>
  <si>
    <t xml:space="preserve">Grupos de plantas.</t>
  </si>
  <si>
    <t xml:space="preserve">4.5. Comparación de la anatomía de distintas plantas con semilla y sin semilla.</t>
  </si>
  <si>
    <t xml:space="preserve">Compara plantas con y sin semilla</t>
  </si>
  <si>
    <t xml:space="preserve">T0749-G03-CIE</t>
  </si>
  <si>
    <t xml:space="preserve">4.6. Clasificación de los grupos de plantas terrestres por su anatomía.</t>
  </si>
  <si>
    <t xml:space="preserve">Clasifica grupos de plantas por su anatomía</t>
  </si>
  <si>
    <t xml:space="preserve">T0750-G03-CIE</t>
  </si>
  <si>
    <t xml:space="preserve">Tropismos y nastias.</t>
  </si>
  <si>
    <t xml:space="preserve">4.7. Indagación de los conceptos de tropismo y nastia.</t>
  </si>
  <si>
    <t xml:space="preserve">Tropismos y nastias: respuestas de plantas al ambiente</t>
  </si>
  <si>
    <t xml:space="preserve">T0751-G03-CIE</t>
  </si>
  <si>
    <t xml:space="preserve">4.8. Experimentación con tropismos.</t>
  </si>
  <si>
    <t xml:space="preserve">Experimenta respuesta de crecimiento de plantas a estímulos</t>
  </si>
  <si>
    <t xml:space="preserve">Razonar: diseñar una investigación y predecir</t>
  </si>
  <si>
    <t xml:space="preserve">T0752-G03-CIE</t>
  </si>
  <si>
    <t xml:space="preserve">4.9. Experimentación con nastias.</t>
  </si>
  <si>
    <t xml:space="preserve">Movimientos de la dormilona como respuesta a estímulos</t>
  </si>
  <si>
    <t xml:space="preserve">T0753-G03-CIE</t>
  </si>
  <si>
    <t xml:space="preserve">Unidad 5 - Los animales</t>
  </si>
  <si>
    <t xml:space="preserve">5. Los animales.</t>
  </si>
  <si>
    <t xml:space="preserve">Características de los animales.</t>
  </si>
  <si>
    <t xml:space="preserve">5.1. Indagación sobre planos de simetría corporal en animales.</t>
  </si>
  <si>
    <t xml:space="preserve">Simetría corporal como rasgo para comparar animales</t>
  </si>
  <si>
    <t xml:space="preserve">Aplicar: clasificar según características</t>
  </si>
  <si>
    <t xml:space="preserve">T0754-G03-CIE</t>
  </si>
  <si>
    <t xml:space="preserve">5.2. Reconocimiento de etapas de desarrollo en los animales.</t>
  </si>
  <si>
    <t xml:space="preserve">Compara ciclos de vida de animales</t>
  </si>
  <si>
    <t xml:space="preserve">Conocer: describir ciclos de vida</t>
  </si>
  <si>
    <t xml:space="preserve">T0755-G03-CIE</t>
  </si>
  <si>
    <t xml:space="preserve">5.3. Observación y registro de taxismos.</t>
  </si>
  <si>
    <t xml:space="preserve">Taxismos: respuesta de animales a condiciones ambientales</t>
  </si>
  <si>
    <t xml:space="preserve">Razonar: comprobar predicciones e interpretar datos</t>
  </si>
  <si>
    <t xml:space="preserve">T0756-G03-CIE</t>
  </si>
  <si>
    <t xml:space="preserve">5.4. Clasificación de las formas de nutrición e intercambio de gases en animales.</t>
  </si>
  <si>
    <t xml:space="preserve">Estructuras de nutrición y respiración en grupos animales</t>
  </si>
  <si>
    <t xml:space="preserve">Aplicar: clasificar. Conocer: relacionar estructura y función</t>
  </si>
  <si>
    <t xml:space="preserve">T0757-G03-CIE</t>
  </si>
  <si>
    <t xml:space="preserve">5.5. Elaboración de un resumen sobre las características unificadoras de los animales.</t>
  </si>
  <si>
    <t xml:space="preserve">Características unificadoras de los animales</t>
  </si>
  <si>
    <t xml:space="preserve">Conocer: resumir características</t>
  </si>
  <si>
    <t xml:space="preserve">T0758-G03-CIE</t>
  </si>
  <si>
    <t xml:space="preserve">Grupos de animales.</t>
  </si>
  <si>
    <t xml:space="preserve">5.6. Descripción de las características distintivas de poríferos y cnidarios.</t>
  </si>
  <si>
    <t xml:space="preserve">Rasgos de poríferos y cnidarios</t>
  </si>
  <si>
    <t xml:space="preserve">T0759-G03-CIE</t>
  </si>
  <si>
    <t xml:space="preserve">5.7. Reconocimiento de las características morfológicas de invertebrados vermiformes: platelmintos, nematelmintos, anélidos y rotíferos.</t>
  </si>
  <si>
    <t xml:space="preserve">Rasgos de invertebrados vermiformes</t>
  </si>
  <si>
    <t xml:space="preserve">T0760-G03-CIE</t>
  </si>
  <si>
    <t xml:space="preserve">5.8. Observación de muestras en el microscopio estereoscópico.</t>
  </si>
  <si>
    <t xml:space="preserve">Uso del microscopio estereoscópico; procedimiento instrumental</t>
  </si>
  <si>
    <t xml:space="preserve">Aplicar: usar instrumentos</t>
  </si>
  <si>
    <t xml:space="preserve">T0761-G03-CIE</t>
  </si>
  <si>
    <t xml:space="preserve">5.9. Representación esquemática de distintos grupos de artrópodos.</t>
  </si>
  <si>
    <t xml:space="preserve">Rasgos de grupos de artrópodos</t>
  </si>
  <si>
    <t xml:space="preserve">T0762-G03-CIE</t>
  </si>
  <si>
    <t xml:space="preserve">5.10. Representación esquemática de distintos grupos de moluscos.</t>
  </si>
  <si>
    <t xml:space="preserve">Rasgos de grupos de moluscos</t>
  </si>
  <si>
    <t xml:space="preserve">T0763-G03-CIE</t>
  </si>
  <si>
    <t xml:space="preserve">5.11. Descripción de las características morfológicas de los equinodermos.</t>
  </si>
  <si>
    <t xml:space="preserve">Rasgos morfológicos de equinodermos</t>
  </si>
  <si>
    <t xml:space="preserve">T0764-G03-CIE</t>
  </si>
  <si>
    <t xml:space="preserve">Los vertebrados.</t>
  </si>
  <si>
    <t xml:space="preserve">5.12. Descripción de las características morfológicas de los vertebrados.</t>
  </si>
  <si>
    <t xml:space="preserve">Vertebrados frente a invertebrados por rasgos físicos</t>
  </si>
  <si>
    <t xml:space="preserve">T0765-G03-CIE</t>
  </si>
  <si>
    <t xml:space="preserve">5.13. Caracterización anatómica de los principales grupos de vertebrados.</t>
  </si>
  <si>
    <t xml:space="preserve">Compara grandes grupos de vertebrados</t>
  </si>
  <si>
    <t xml:space="preserve">Aplicar: comparar. Razonar: justificar</t>
  </si>
  <si>
    <t xml:space="preserve">T0766-G03-CIE</t>
  </si>
  <si>
    <t xml:space="preserve">Unidad 6 - Los microorganismos</t>
  </si>
  <si>
    <t xml:space="preserve">6. Los microorganismos.</t>
  </si>
  <si>
    <t xml:space="preserve">Agentes patógenos.</t>
  </si>
  <si>
    <t xml:space="preserve">6.1. Indagación de los conceptos de infección y enfermedad.</t>
  </si>
  <si>
    <t xml:space="preserve">Infección, contagio y prevención de enfermedades</t>
  </si>
  <si>
    <t xml:space="preserve">T0767-G03-CIE</t>
  </si>
  <si>
    <t xml:space="preserve">6.2. Observación de microorganismos en el microscopio..</t>
  </si>
  <si>
    <t xml:space="preserve">Observa microorganismos agentes de enfermedad al microscopio</t>
  </si>
  <si>
    <t xml:space="preserve">T0768-G03-CIE</t>
  </si>
  <si>
    <t xml:space="preserve">6.3. Representación de agentes patógenos.</t>
  </si>
  <si>
    <t xml:space="preserve">Agentes patógenos y su forma de transmisión</t>
  </si>
  <si>
    <t xml:space="preserve">T0769-G03-CIE</t>
  </si>
  <si>
    <t xml:space="preserve">6.4. Reconocimiento de sustancias de acción desinfectante.</t>
  </si>
  <si>
    <t xml:space="preserve">Desinfección con jabón para prevenir enfermedades</t>
  </si>
  <si>
    <t xml:space="preserve">Aplicar: relacionar. Razonar: comparar</t>
  </si>
  <si>
    <t xml:space="preserve">T0770-G03-CIE</t>
  </si>
  <si>
    <t xml:space="preserve">Tipos de microorganismos.</t>
  </si>
  <si>
    <t xml:space="preserve">6.5. Preparación de cultivos microbianos.</t>
  </si>
  <si>
    <t xml:space="preserve">Cultivo muestra que microorganismos crecen como seres vivos</t>
  </si>
  <si>
    <t xml:space="preserve">T0771-G03-CIE</t>
  </si>
  <si>
    <t xml:space="preserve">6.6. Descripción de las características de hongos, protozoos y bacterias.</t>
  </si>
  <si>
    <t xml:space="preserve">Compara rasgos de grupos de microorganismos</t>
  </si>
  <si>
    <t xml:space="preserve">T0772-G03-CIE</t>
  </si>
  <si>
    <t xml:space="preserve">Importancia de los microorganismos.</t>
  </si>
  <si>
    <t xml:space="preserve">6.7. Experimentación del tiempo de degradación de residuos y alimentos.</t>
  </si>
  <si>
    <t xml:space="preserve">Descomponedores y su papel en degradar residuos</t>
  </si>
  <si>
    <t xml:space="preserve">Aplicar: medir el tiempo. Razonar: interpretar datos</t>
  </si>
  <si>
    <t xml:space="preserve">T0773-G03-CIE</t>
  </si>
  <si>
    <t xml:space="preserve">6.8. Reconocimiento de alimentos transformados por microorganismos.</t>
  </si>
  <si>
    <t xml:space="preserve">Fermentación por levadura: cambio químico con gas</t>
  </si>
  <si>
    <t xml:space="preserve">Conocer: dar ejemplos. Razonar: explicar</t>
  </si>
  <si>
    <t xml:space="preserve">T0774-G03-CIE</t>
  </si>
  <si>
    <t xml:space="preserve">6.9. Experimentación con métodos de conservación de alimentos.</t>
  </si>
  <si>
    <t xml:space="preserve">Conservación de alimentos evita microbios y enfermedad</t>
  </si>
  <si>
    <t xml:space="preserve">T0775-G04-CIE</t>
  </si>
  <si>
    <t xml:space="preserve">Matriz_Ciencias_4to_Grado_U1_U6.xlsx</t>
  </si>
  <si>
    <t xml:space="preserve">Unidad 1 - Máquinas y energía</t>
  </si>
  <si>
    <t xml:space="preserve">1. Máquinas y energía.</t>
  </si>
  <si>
    <t xml:space="preserve">Máquinas simples.</t>
  </si>
  <si>
    <t xml:space="preserve">1.1. Indagación del concepto de máquinas simples, a partir de dispositivos del entorno.</t>
  </si>
  <si>
    <t xml:space="preserve">Máquinas simples y la tarea que facilitan</t>
  </si>
  <si>
    <t xml:space="preserve">Conocer: definir y dar ejemplos</t>
  </si>
  <si>
    <t xml:space="preserve">T0776-G04-CIE</t>
  </si>
  <si>
    <t xml:space="preserve">1.2. Clasificación de las máquinas simples, a partir de sus definiciones clásicas.</t>
  </si>
  <si>
    <t xml:space="preserve">Clasificación de los seis tipos de máquinas simples</t>
  </si>
  <si>
    <t xml:space="preserve">Aplicar: clasificar según definiciones</t>
  </si>
  <si>
    <t xml:space="preserve">T0777-G04-CIE</t>
  </si>
  <si>
    <t xml:space="preserve">1.3. Identificación de palancas de diferente clase en dispositivos cotidianos.</t>
  </si>
  <si>
    <t xml:space="preserve">Palancas: apoyo, fuerza y carga en dispositivos cotidianos</t>
  </si>
  <si>
    <t xml:space="preserve">T0778-G04-CIE</t>
  </si>
  <si>
    <t xml:space="preserve">Máquinas complejas.</t>
  </si>
  <si>
    <t xml:space="preserve">1.4. Indagación del concepto de máquinas complejas, a partir de dispositivos del entorno.</t>
  </si>
  <si>
    <t xml:space="preserve">Máquinas complejas como combinación de máquinas simples</t>
  </si>
  <si>
    <t xml:space="preserve">T0779-G04-CIE</t>
  </si>
  <si>
    <t xml:space="preserve">1.5. Identificación de tipos de máquinas simples dentro de máquinas complejas.</t>
  </si>
  <si>
    <t xml:space="preserve">Identifica máquinas simples dentro de máquinas complejas</t>
  </si>
  <si>
    <t xml:space="preserve">Aplicar: analizar un sistema en sus partes</t>
  </si>
  <si>
    <t xml:space="preserve">T0780-G04-CIE</t>
  </si>
  <si>
    <t xml:space="preserve">1.6. Construcción de una máquina compleja.</t>
  </si>
  <si>
    <t xml:space="preserve">Construcción técnica; contenido disciplinar limitado a máquinas simples</t>
  </si>
  <si>
    <t xml:space="preserve">Razonar: diseñar, construir y evaluar</t>
  </si>
  <si>
    <t xml:space="preserve">T0781-G04-CIE</t>
  </si>
  <si>
    <t xml:space="preserve">Tecnología en el entorno.</t>
  </si>
  <si>
    <t xml:space="preserve">1.7. Elaboración de inventario de los objetos tecnológicos de uso diario.</t>
  </si>
  <si>
    <t xml:space="preserve">Inventario de objetos tecnológicos; tecnología sin contenido del catálogo</t>
  </si>
  <si>
    <t xml:space="preserve">T0782-G04-CIE</t>
  </si>
  <si>
    <t xml:space="preserve">1.8. Identificación de las fuentes de energía en objetos tecnológicos de uso diario.</t>
  </si>
  <si>
    <t xml:space="preserve">Fuentes de energía de objetos de uso diario</t>
  </si>
  <si>
    <t xml:space="preserve">T0783-G04-CIE</t>
  </si>
  <si>
    <t xml:space="preserve">1.9. Relación entre la forma de energía empleada por un dispositivo y su utilidad.</t>
  </si>
  <si>
    <t xml:space="preserve">Transformación de energía en aparatos, mayormente eléctricos, y su utilidad</t>
  </si>
  <si>
    <t xml:space="preserve">Aplicar: relacionar forma de energía y utilidad</t>
  </si>
  <si>
    <t xml:space="preserve">T0784-G04-CIE</t>
  </si>
  <si>
    <t xml:space="preserve">1.10. Cálculo de las transformaciones de energía en electrodomésticos y el cuerpo humano.</t>
  </si>
  <si>
    <t xml:space="preserve">Cálculos de transformación energética en electrodomésticos y cuerpo</t>
  </si>
  <si>
    <t xml:space="preserve">Aplicar: calcular. Razonar: comparar y justificar</t>
  </si>
  <si>
    <t xml:space="preserve">T0785-G04-CIE</t>
  </si>
  <si>
    <t xml:space="preserve">Unidad 2 - Nutrición</t>
  </si>
  <si>
    <t xml:space="preserve">2. Nutrición.</t>
  </si>
  <si>
    <t xml:space="preserve">¿Qué es un nutriente?</t>
  </si>
  <si>
    <t xml:space="preserve">2.1. Indagación sobre los conceptos de alimento y nutriente.</t>
  </si>
  <si>
    <t xml:space="preserve">Alimento y nutriente como base de dieta balanceada</t>
  </si>
  <si>
    <t xml:space="preserve">Conocer: definir</t>
  </si>
  <si>
    <t xml:space="preserve">T0786-G04-CIE</t>
  </si>
  <si>
    <t xml:space="preserve">2.2. Clasificación de los nutrientes: macronutrientes y micronutrientes.</t>
  </si>
  <si>
    <t xml:space="preserve">Componentes de la dieta: macro y micronutrientes</t>
  </si>
  <si>
    <t xml:space="preserve">T0787-G04-CIE</t>
  </si>
  <si>
    <t xml:space="preserve">Consumo y obtención de energía.</t>
  </si>
  <si>
    <t xml:space="preserve">2.3. Comparación del valor nutritivo de alimentos comunes.</t>
  </si>
  <si>
    <t xml:space="preserve">Valor nutritivo de alimentos para dieta balanceada</t>
  </si>
  <si>
    <t xml:space="preserve">Aplicar: comparar datos. Razonar: evaluar información</t>
  </si>
  <si>
    <t xml:space="preserve">T0788-G04-CIE</t>
  </si>
  <si>
    <t xml:space="preserve">2.4. Estimación de la cantidad de alimento necesaria para suplir los requerimientos nutricionales.</t>
  </si>
  <si>
    <t xml:space="preserve">Requerimientos nutricionales y porciones de dieta</t>
  </si>
  <si>
    <t xml:space="preserve">Aplicar: estimar. Razonar: justificar</t>
  </si>
  <si>
    <t xml:space="preserve">T0789-G04-CIE</t>
  </si>
  <si>
    <t xml:space="preserve">2.5. Comparación del gasto y obtención de la energía contenida en la dieta diaria.</t>
  </si>
  <si>
    <t xml:space="preserve">Balance energético de la dieta diaria</t>
  </si>
  <si>
    <t xml:space="preserve">Aplicar: comparar datos</t>
  </si>
  <si>
    <t xml:space="preserve">T0790-G04-CIE</t>
  </si>
  <si>
    <t xml:space="preserve">2.6. Clasificación de los grupos de alimentos.</t>
  </si>
  <si>
    <t xml:space="preserve">Grupos de alimentos de una dieta balanceada</t>
  </si>
  <si>
    <t xml:space="preserve">T0791-G04-CIE</t>
  </si>
  <si>
    <t xml:space="preserve">2.7. Elaboración de menús según requerimientos nutricionales.</t>
  </si>
  <si>
    <t xml:space="preserve">Elaboración de menú balanceado</t>
  </si>
  <si>
    <t xml:space="preserve">Aplicar: planificar. Razonar: justificar</t>
  </si>
  <si>
    <t xml:space="preserve">T0792-G04-CIE</t>
  </si>
  <si>
    <t xml:space="preserve">2.8. Identificación de métodos de preparación y almacenamiento adecuado de alimentos.</t>
  </si>
  <si>
    <t xml:space="preserve">Prácticas higiénicas de alimentos como conducta saludable</t>
  </si>
  <si>
    <t xml:space="preserve">T0793-G04-CIE</t>
  </si>
  <si>
    <t xml:space="preserve">Antropometría.</t>
  </si>
  <si>
    <t xml:space="preserve">2.9. Medición de variables útiles para conocer el estado nutricional del ser humano.</t>
  </si>
  <si>
    <t xml:space="preserve">Mediciones antropométricas del estado nutricional; énfasis en medición</t>
  </si>
  <si>
    <t xml:space="preserve">Aplicar: medir con técnica correcta</t>
  </si>
  <si>
    <t xml:space="preserve">T0794-G04-CIE</t>
  </si>
  <si>
    <t xml:space="preserve">2.10. Ejercitación con el uso y la representación de datos antropométricos.</t>
  </si>
  <si>
    <t xml:space="preserve">Representación de datos; procedimiento sin contenido disciplinar del catálogo</t>
  </si>
  <si>
    <t xml:space="preserve">Aplicar: representar datos. Razonar: interpretar gráficas</t>
  </si>
  <si>
    <t xml:space="preserve">T0795-G04-CIE</t>
  </si>
  <si>
    <t xml:space="preserve">Cultivos.</t>
  </si>
  <si>
    <t xml:space="preserve">2.11. Práctica de técnicas básicas para cultivo en huertos.</t>
  </si>
  <si>
    <t xml:space="preserve">Huerto: necesidades de las plantas para crecer</t>
  </si>
  <si>
    <t xml:space="preserve">Aplicar: usar técnicas. Razonar: evaluar</t>
  </si>
  <si>
    <t xml:space="preserve">T0796-G04-CIE</t>
  </si>
  <si>
    <t xml:space="preserve">2.12. Clasificación de tipos de cultivos vegetales según su propósito e intensidad.</t>
  </si>
  <si>
    <t xml:space="preserve">Tipos de cultivo como uso del suelo y recursos</t>
  </si>
  <si>
    <t xml:space="preserve">T0797-G04-CIE</t>
  </si>
  <si>
    <t xml:space="preserve">2.13. Exploración de la procedencia de los alimentos consumidos en el hogar.</t>
  </si>
  <si>
    <t xml:space="preserve">Procedencia de alimentos; tema ciencia-sociedad sin objetivo del catálogo</t>
  </si>
  <si>
    <t xml:space="preserve">Aplicar: organizar información. Razonar: justificar</t>
  </si>
  <si>
    <t xml:space="preserve">T0798-G04-CIE</t>
  </si>
  <si>
    <t xml:space="preserve">Unidad 3 - Naturaleza y sus int</t>
  </si>
  <si>
    <t xml:space="preserve">3. Naturaleza y sus interacciones.</t>
  </si>
  <si>
    <t xml:space="preserve">Introducción a la ecología.</t>
  </si>
  <si>
    <t xml:space="preserve">3.1. Indagación de los conceptos de interacciones biológicas, condiciones ambientales y requerimientos ecológicos.</t>
  </si>
  <si>
    <t xml:space="preserve">Requerimientos e interacciones de seres vivos en su ambiente</t>
  </si>
  <si>
    <t xml:space="preserve">Conocer: definir y diferenciar</t>
  </si>
  <si>
    <t xml:space="preserve">T0799-G04-CIE</t>
  </si>
  <si>
    <t xml:space="preserve">3.2. Reconocimiento y clasificación de factores bióticos y abióticos.</t>
  </si>
  <si>
    <t xml:space="preserve">Factores bióticos/abióticos: distinguir vivo y no vivo en ecosistema</t>
  </si>
  <si>
    <t xml:space="preserve">T0800-G04-CIE</t>
  </si>
  <si>
    <t xml:space="preserve">Niveles de organización ecológica.</t>
  </si>
  <si>
    <t xml:space="preserve">3.3. Caracterización de los niveles de organización ecológica.</t>
  </si>
  <si>
    <t xml:space="preserve">Niveles de organización ecológica; poca correspondencia directa</t>
  </si>
  <si>
    <t xml:space="preserve">T0801-G04-CIE</t>
  </si>
  <si>
    <t xml:space="preserve">Ecosistemas.</t>
  </si>
  <si>
    <t xml:space="preserve">3.4. Reconocimiento de la diversidad ecosistémica.</t>
  </si>
  <si>
    <t xml:space="preserve">Tipos de ecosistemas y sus organismos</t>
  </si>
  <si>
    <t xml:space="preserve">Conocer: reconocer. Aplicar: comparar</t>
  </si>
  <si>
    <t xml:space="preserve">T0802-G04-CIE</t>
  </si>
  <si>
    <t xml:space="preserve">3.5. Reconocimiento de tipos de formaciones vegetales de El Salvador.</t>
  </si>
  <si>
    <t xml:space="preserve">Formaciones vegetales salvadoreñas como ecosistemas</t>
  </si>
  <si>
    <t xml:space="preserve">Conocer: reconocer. Razonar: evaluar información</t>
  </si>
  <si>
    <t xml:space="preserve">T0803-G04-CIE</t>
  </si>
  <si>
    <t xml:space="preserve">3.6. Representación de las interacciones ecológicas de un ecosistema.</t>
  </si>
  <si>
    <t xml:space="preserve">Interacciones ecológicas: alimentación y competencia en ecosistema</t>
  </si>
  <si>
    <t xml:space="preserve">Aplicar: usar modelos. Razonar: predecir efectos</t>
  </si>
  <si>
    <t xml:space="preserve">T0804-G04-CIE</t>
  </si>
  <si>
    <t xml:space="preserve">3.7. Representación de cadenas tróficas acuáticas y terrestres.</t>
  </si>
  <si>
    <t xml:space="preserve">Cadenas tróficas acuáticas y terrestres</t>
  </si>
  <si>
    <t xml:space="preserve">Aplicar: usar modelos. Razonar: comparar y predecir</t>
  </si>
  <si>
    <t xml:space="preserve">T0805-G04-CIE</t>
  </si>
  <si>
    <t xml:space="preserve">3.8. Indagación de los conceptos de hábitat y nicho ecológico.</t>
  </si>
  <si>
    <t xml:space="preserve">Hábitat y nicho relacionan organismos con su ecosistema</t>
  </si>
  <si>
    <t xml:space="preserve">T0806-G04-CIE</t>
  </si>
  <si>
    <t xml:space="preserve">Fenómenos hidrometeorológicos.</t>
  </si>
  <si>
    <t xml:space="preserve">3.9. Indagación sobre la diversidad de fenómenos naturales de tipo hidrometeorológico.</t>
  </si>
  <si>
    <t xml:space="preserve">Nubes y precipitación como cambios de estado del agua</t>
  </si>
  <si>
    <t xml:space="preserve">Conocer: dar ejemplos. Aplicar: observar y registrar</t>
  </si>
  <si>
    <t xml:space="preserve">T0807-G04-CIE</t>
  </si>
  <si>
    <t xml:space="preserve">3.10. Explicación del origen y comportamiento de ciclones y tormentas.</t>
  </si>
  <si>
    <t xml:space="preserve">Origen de ciclones y tormentas; fenómeno atmosférico</t>
  </si>
  <si>
    <t xml:space="preserve">Conocer: describir procesos. Razonar: evaluar información</t>
  </si>
  <si>
    <t xml:space="preserve">T0808-G04-CIE</t>
  </si>
  <si>
    <t xml:space="preserve">3.11. Descripción de las características de los climas tropicales</t>
  </si>
  <si>
    <t xml:space="preserve">Climograma: variación estacional de temperatura y lluvia</t>
  </si>
  <si>
    <t xml:space="preserve">Aplicar: interpretar gráficas</t>
  </si>
  <si>
    <t xml:space="preserve">T0809-G04-CIE</t>
  </si>
  <si>
    <t xml:space="preserve">Fenómenos geológicos.</t>
  </si>
  <si>
    <t xml:space="preserve">3.12. Indagación de la diversidad de fenómenos geológicos.</t>
  </si>
  <si>
    <t xml:space="preserve">Fenómenos geológicos que modifican el paisaje</t>
  </si>
  <si>
    <t xml:space="preserve">T0810-G04-CIE</t>
  </si>
  <si>
    <t xml:space="preserve">3.13. Simulación del origen y comportamiento de algunos fenómenos geológicos.</t>
  </si>
  <si>
    <t xml:space="preserve">Simulación de fenómenos geológicos que cambian la superficie</t>
  </si>
  <si>
    <t xml:space="preserve">T0811-G04-CIE</t>
  </si>
  <si>
    <t xml:space="preserve">3.14. Recopilación histórica de los principales eventos geológicos con impacto en la sociedad salvadoreña.</t>
  </si>
  <si>
    <t xml:space="preserve">Historia de eventos geológicos e impacto social</t>
  </si>
  <si>
    <t xml:space="preserve">Aplicar: organizar información. Razonar: evaluar fuentes</t>
  </si>
  <si>
    <t xml:space="preserve">T0812-G04-CIE</t>
  </si>
  <si>
    <t xml:space="preserve">Vulnerabilidad y riesgos.</t>
  </si>
  <si>
    <t xml:space="preserve">3.15. Identificación de amenazas naturales y antrópicas comunes en El Salvador y la comunidad.</t>
  </si>
  <si>
    <t xml:space="preserve">Amenazas y gestión de riesgo; sin objetivo del catálogo</t>
  </si>
  <si>
    <t xml:space="preserve">T0813-G04-CIE</t>
  </si>
  <si>
    <t xml:space="preserve">3.16. Indagación de los conceptos de vulnerabilidad y capacidad.</t>
  </si>
  <si>
    <t xml:space="preserve">Vulnerabilidad y capacidad: gestión de riesgo</t>
  </si>
  <si>
    <t xml:space="preserve">Conocer: definir y ejemplificar</t>
  </si>
  <si>
    <t xml:space="preserve">T0814-G04-CIE</t>
  </si>
  <si>
    <t xml:space="preserve">3.17. Reconocimiento de los principales riesgos presentes en El Salvador.</t>
  </si>
  <si>
    <t xml:space="preserve">Caracterización de riesgos municipales: gestión de riesgo</t>
  </si>
  <si>
    <t xml:space="preserve">Aplicar: interpretar mapas. Razonar: justificar</t>
  </si>
  <si>
    <t xml:space="preserve">T0815-G04-CIE</t>
  </si>
  <si>
    <t xml:space="preserve">3.18. Práctica de un simulacro de emergencia.</t>
  </si>
  <si>
    <t xml:space="preserve">Simulacro de emergencia</t>
  </si>
  <si>
    <t xml:space="preserve">Aplicar: seguir protocolos. Razonar: evaluar</t>
  </si>
  <si>
    <t xml:space="preserve">T0816-G04-CIE</t>
  </si>
  <si>
    <t xml:space="preserve">Unidad 4 - Sistema solar</t>
  </si>
  <si>
    <t xml:space="preserve">4. Sistema solar.</t>
  </si>
  <si>
    <t xml:space="preserve">El Sol.</t>
  </si>
  <si>
    <t xml:space="preserve">4.1. Descripción de los diferentes modelos del sistema solar.</t>
  </si>
  <si>
    <t xml:space="preserve">Modelos geocéntrico y heliocéntrico del Sistema Solar</t>
  </si>
  <si>
    <t xml:space="preserve">Aplicar: comparar modelos. Razonar: evaluar</t>
  </si>
  <si>
    <t xml:space="preserve">T0817-G04-CIE</t>
  </si>
  <si>
    <t xml:space="preserve">4.2. Modelación de la estructura del Sol.</t>
  </si>
  <si>
    <t xml:space="preserve">Estructura del Sol, centro del Sistema Solar</t>
  </si>
  <si>
    <t xml:space="preserve">T0818-G04-CIE</t>
  </si>
  <si>
    <t xml:space="preserve">La Luna.</t>
  </si>
  <si>
    <t xml:space="preserve">4.3. Representación de las propiedades físicas de la Luna y su interacción con la Tierra.</t>
  </si>
  <si>
    <t xml:space="preserve">Propiedades de la Luna y relación con la Tierra</t>
  </si>
  <si>
    <t xml:space="preserve">Aplicar: usar modelos. Razonar: comparar</t>
  </si>
  <si>
    <t xml:space="preserve">T0819-G04-CIE</t>
  </si>
  <si>
    <t xml:space="preserve">4.4. Descripción de hipótesis sobre la formación de la Luna.</t>
  </si>
  <si>
    <t xml:space="preserve">Hipótesis de formación de la Luna</t>
  </si>
  <si>
    <t xml:space="preserve">Conocer: describir hipótesis</t>
  </si>
  <si>
    <t xml:space="preserve">T0820-G04-CIE</t>
  </si>
  <si>
    <t xml:space="preserve">4.5. Explicación de las fases de la Luna.</t>
  </si>
  <si>
    <t xml:space="preserve">Fases lunares por órbita de la Luna alrededor de Tierra</t>
  </si>
  <si>
    <t xml:space="preserve">Aplicar: usar modelos. Razonar: predecir</t>
  </si>
  <si>
    <t xml:space="preserve">T0821-G04-CIE</t>
  </si>
  <si>
    <t xml:space="preserve">La Tierra.</t>
  </si>
  <si>
    <t xml:space="preserve">4.6. Modelación del eje de inclinación de la Tierra.</t>
  </si>
  <si>
    <t xml:space="preserve">Inclinación del eje terrestre</t>
  </si>
  <si>
    <t xml:space="preserve">T0822-G04-CIE</t>
  </si>
  <si>
    <t xml:space="preserve">4.7. Identificación de los movimientos de precesión y nutación.</t>
  </si>
  <si>
    <t xml:space="preserve">Movimientos terrestres; precesión y nutación exceden el marco</t>
  </si>
  <si>
    <t xml:space="preserve">Conocer: identificar. Aplicar: usar modelos</t>
  </si>
  <si>
    <t xml:space="preserve">T0823-G04-CIE</t>
  </si>
  <si>
    <t xml:space="preserve">Eclipses.</t>
  </si>
  <si>
    <t xml:space="preserve">4.8. Representación de la interacción de la Tierra, el Sol y la Luna, durante la formación de eclipses.</t>
  </si>
  <si>
    <t xml:space="preserve">Posiciones relativas Sol-Tierra-Luna en eclipses</t>
  </si>
  <si>
    <t xml:space="preserve">T0824-G04-CIE</t>
  </si>
  <si>
    <t xml:space="preserve">Planetas.</t>
  </si>
  <si>
    <t xml:space="preserve">4.9. Descripción de las características físicas y químicas de los planetas que forman el sistema solar.</t>
  </si>
  <si>
    <t xml:space="preserve">Características de los planetas del Sistema Solar</t>
  </si>
  <si>
    <t xml:space="preserve">Aplicar: organizar datos. Razonar: comparar</t>
  </si>
  <si>
    <t xml:space="preserve">T0825-G04-CIE</t>
  </si>
  <si>
    <t xml:space="preserve">Satélites y asteroides.</t>
  </si>
  <si>
    <t xml:space="preserve">4.10. Indagación de los conceptos de satélite natural, satélite artificial y asteroides.</t>
  </si>
  <si>
    <t xml:space="preserve">Satélites y asteroides como cuerpos del Sistema Solar</t>
  </si>
  <si>
    <t xml:space="preserve">T0826-G04-CIE</t>
  </si>
  <si>
    <t xml:space="preserve">4.11. Reconocimiento de algunos satélites naturales del sistema solar.</t>
  </si>
  <si>
    <t xml:space="preserve">Satélites naturales de los planetas</t>
  </si>
  <si>
    <t xml:space="preserve">T0827-G04-CIE</t>
  </si>
  <si>
    <t xml:space="preserve">4.12. Caracterización de otros objetos astronómicos del sistema solar.</t>
  </si>
  <si>
    <t xml:space="preserve">Cinturón de asteroides y modelo del Sistema Solar</t>
  </si>
  <si>
    <t xml:space="preserve">Aplicar: usar modelos a escala</t>
  </si>
  <si>
    <t xml:space="preserve">T0828-G04-CIE</t>
  </si>
  <si>
    <t xml:space="preserve">Unidad 5 - C. humano materia y </t>
  </si>
  <si>
    <t xml:space="preserve">5. Cuerpo humano: materia y energía.</t>
  </si>
  <si>
    <t xml:space="preserve">Sistema digestivo.</t>
  </si>
  <si>
    <t xml:space="preserve">5.1. Descripción de las funciones, la importancia y los cuidados del sistema digestivo.</t>
  </si>
  <si>
    <t xml:space="preserve">Estructura y función del sistema digestivo; cuidados</t>
  </si>
  <si>
    <t xml:space="preserve">Conocer: describir funciones</t>
  </si>
  <si>
    <t xml:space="preserve">T0829-G04-CIE</t>
  </si>
  <si>
    <t xml:space="preserve">5.2. Construcción de modelo del sistema digestivo.</t>
  </si>
  <si>
    <t xml:space="preserve">Modelo de partes del sistema digestivo</t>
  </si>
  <si>
    <t xml:space="preserve">Aplicar: construir modelos. Razonar: evaluar</t>
  </si>
  <si>
    <t xml:space="preserve">T0830-G04-CIE</t>
  </si>
  <si>
    <t xml:space="preserve">Sistema respiratorio.</t>
  </si>
  <si>
    <t xml:space="preserve">5.3. Descripción de las funciones, la importancia y los cuidados del sistema respiratorio..</t>
  </si>
  <si>
    <t xml:space="preserve">Estructura y función del sistema respiratorio</t>
  </si>
  <si>
    <t xml:space="preserve">Conocer: describir. Aplicar: medir</t>
  </si>
  <si>
    <t xml:space="preserve">T0831-G04-CIE</t>
  </si>
  <si>
    <t xml:space="preserve">5.4. Construcción de modelo del sistema respiratorio.</t>
  </si>
  <si>
    <t xml:space="preserve">Modelo de pulmón y sus partes</t>
  </si>
  <si>
    <t xml:space="preserve">Aplicar: construir y usar modelos</t>
  </si>
  <si>
    <t xml:space="preserve">T0832-G04-CIE</t>
  </si>
  <si>
    <t xml:space="preserve">Sistema circulatorio.</t>
  </si>
  <si>
    <t xml:space="preserve">5.5. Manipulación de simulaciones para explicar la estructura y las funciones sistémicas.</t>
  </si>
  <si>
    <t xml:space="preserve">Simulación de estructura y función circulatoria</t>
  </si>
  <si>
    <t xml:space="preserve">Aplicar: usar simulaciones. Razonar: evaluar</t>
  </si>
  <si>
    <t xml:space="preserve">T0833-G04-CIE</t>
  </si>
  <si>
    <t xml:space="preserve">5.6. Descripción del funcionamiento y los cuidados del sistema circulatorio.</t>
  </si>
  <si>
    <t xml:space="preserve">Funcionamiento del sistema circulatorio</t>
  </si>
  <si>
    <t xml:space="preserve">T0834-G04-CIE</t>
  </si>
  <si>
    <t xml:space="preserve">5.7. Vinculación del sistema circulatorio con los demás sistemas del cuerpo humano.</t>
  </si>
  <si>
    <t xml:space="preserve">Relación funcional del circulatorio con otros sistemas</t>
  </si>
  <si>
    <t xml:space="preserve">Aplicar: relacionar sistemas</t>
  </si>
  <si>
    <t xml:space="preserve">T0835-G04-CIE</t>
  </si>
  <si>
    <t xml:space="preserve">Sistema excretor.</t>
  </si>
  <si>
    <t xml:space="preserve">5.8. Uso de simulación para explicar las partes y funciones principales del sistema excretor.</t>
  </si>
  <si>
    <t xml:space="preserve">Partes y funciones del sistema excretor</t>
  </si>
  <si>
    <t xml:space="preserve">T0836-G04-CIE</t>
  </si>
  <si>
    <t xml:space="preserve">5.9. Descripción de la importancia y los cuidados del sistema excretor.</t>
  </si>
  <si>
    <t xml:space="preserve">Cuidados del sistema excretor como conductas saludables</t>
  </si>
  <si>
    <t xml:space="preserve">Aplicar: relacionar. Razonar: evaluar información</t>
  </si>
  <si>
    <t xml:space="preserve">T0837-G04-CIE</t>
  </si>
  <si>
    <t xml:space="preserve">Unidad 6 - C. humano movimiento</t>
  </si>
  <si>
    <t xml:space="preserve">6. Cuerpo humano: movimiento e interacciones.</t>
  </si>
  <si>
    <t xml:space="preserve">Sistema musculoesquelético.</t>
  </si>
  <si>
    <t xml:space="preserve">6.1. Indagación de las estructuras musculares, óseas y articulaciones del cuerpo humano.</t>
  </si>
  <si>
    <t xml:space="preserve">Músculos, huesos y articulaciones del cuerpo</t>
  </si>
  <si>
    <t xml:space="preserve">T0838-G04-CIE</t>
  </si>
  <si>
    <t xml:space="preserve">6.2. Práctica con el funcionamiento de músculos y articulaciones.</t>
  </si>
  <si>
    <t xml:space="preserve">Función de articulaciones y movimientos posibles</t>
  </si>
  <si>
    <t xml:space="preserve">Aplicar: observar y registrar</t>
  </si>
  <si>
    <t xml:space="preserve">T0839-G04-CIE</t>
  </si>
  <si>
    <t xml:space="preserve">6.3. Modelación de la contracción muscular para generar movimiento.</t>
  </si>
  <si>
    <t xml:space="preserve">Contracción muscular produce movimiento: estructura-función</t>
  </si>
  <si>
    <t xml:space="preserve">Aplicar: construir modelos</t>
  </si>
  <si>
    <t xml:space="preserve">T0840-G04-CIE</t>
  </si>
  <si>
    <t xml:space="preserve">6.4. Descripción de la morfología, las funciones y formas de protección de huesos y cartílagos.</t>
  </si>
  <si>
    <t xml:space="preserve">Morfología y funciones de huesos y cartílagos</t>
  </si>
  <si>
    <t xml:space="preserve">T0841-G04-CIE</t>
  </si>
  <si>
    <t xml:space="preserve">6.5. Representación de los principales músculos esqueléticos y huesos del cuerpo humano.</t>
  </si>
  <si>
    <t xml:space="preserve">Principales músculos y huesos del cuerpo</t>
  </si>
  <si>
    <t xml:space="preserve">Aplicar: representar</t>
  </si>
  <si>
    <t xml:space="preserve">T0842-G04-CIE</t>
  </si>
  <si>
    <t xml:space="preserve">Sistemas sensorial y nervioso.</t>
  </si>
  <si>
    <t xml:space="preserve">6.6. Experimentación con los sistemas sensoriales del cuerpo humano.</t>
  </si>
  <si>
    <t xml:space="preserve">Órganos de los sentidos y su función perceptiva</t>
  </si>
  <si>
    <t xml:space="preserve">Razonar: predecir, comprobar e interpretar</t>
  </si>
  <si>
    <t xml:space="preserve">T0843-G04-CIE</t>
  </si>
  <si>
    <t xml:space="preserve">6.7. Explicación de las funciones, la importancia y los cuidados del sistema nervioso.</t>
  </si>
  <si>
    <t xml:space="preserve">Funciones del sistema nervioso</t>
  </si>
  <si>
    <t xml:space="preserve">T0844-G04-CIE</t>
  </si>
  <si>
    <t xml:space="preserve">6.8. Representación de las partes principales del sistema nervioso humano.</t>
  </si>
  <si>
    <t xml:space="preserve">Partes y funciones del sistema nervioso</t>
  </si>
  <si>
    <t xml:space="preserve">T0845-G04-CIE</t>
  </si>
  <si>
    <t xml:space="preserve">Sistema reproductor.</t>
  </si>
  <si>
    <t xml:space="preserve">6.9. Descripción de la estructura del sistema reproductor femenino y masculino.</t>
  </si>
  <si>
    <t xml:space="preserve">Estructura del sistema reproductor humano</t>
  </si>
  <si>
    <t xml:space="preserve">T0846-G04-CIE</t>
  </si>
  <si>
    <t xml:space="preserve">6.10. Explicación de la importancia y cuidados del sistema reproductor.</t>
  </si>
  <si>
    <t xml:space="preserve">Cuidados del sistema reproductor y autoprotección</t>
  </si>
  <si>
    <t xml:space="preserve">T0847-G05-CIE</t>
  </si>
  <si>
    <t xml:space="preserve">Matriz_Ciencias_5to_Grado_U1_U6.xlsx</t>
  </si>
  <si>
    <t xml:space="preserve">Unidad 1 - Magnitudes físicas</t>
  </si>
  <si>
    <t xml:space="preserve">1. Magnitudes físicas.</t>
  </si>
  <si>
    <t xml:space="preserve">Sistema Internacional de Unidades.</t>
  </si>
  <si>
    <t xml:space="preserve">1.1. Medición directa de magnitudes físicas en las unidades fundamentales del SI.</t>
  </si>
  <si>
    <t xml:space="preserve">Medición de magnitudes en SI; procedimiento general sin contenido disciplinar.</t>
  </si>
  <si>
    <t xml:space="preserve">Aplicar: medir con instrumentos y unidades del SI</t>
  </si>
  <si>
    <t xml:space="preserve">T0848-G05-CIE</t>
  </si>
  <si>
    <t xml:space="preserve">1.2. Medición directa de magnitudes físicas en las unidades derivadas del SI.</t>
  </si>
  <si>
    <t xml:space="preserve">Medición de magnitudes derivadas; habilidad de medición general.</t>
  </si>
  <si>
    <t xml:space="preserve">Aplicar: medir magnitudes derivadas</t>
  </si>
  <si>
    <t xml:space="preserve">T0849-G05-CIE</t>
  </si>
  <si>
    <t xml:space="preserve">1.3. Cálculo de magnitudes físicas derivadas a partir de unidades fundamentales del SI.</t>
  </si>
  <si>
    <t xml:space="preserve">Cálculo de área, volumen y rapidez como ejercicio de unidades.</t>
  </si>
  <si>
    <t xml:space="preserve">Aplicar: calcular a partir de mediciones</t>
  </si>
  <si>
    <t xml:space="preserve">T0850-G05-CIE</t>
  </si>
  <si>
    <t xml:space="preserve">1.4. Representación de cantidades y unidades bajo los lineamientos del SI y el Reglamento Técnico Salvadoreño (RTS) de metrología.</t>
  </si>
  <si>
    <t xml:space="preserve">Notación de unidades según SI y RTS; metrología.</t>
  </si>
  <si>
    <t xml:space="preserve">Conocer: aplicar normas de escritura</t>
  </si>
  <si>
    <t xml:space="preserve">T0851-G05-CIE</t>
  </si>
  <si>
    <t xml:space="preserve">Cifras y conversiones.</t>
  </si>
  <si>
    <t xml:space="preserve">1.5. Uso de cifras significativas, técnicas de redondeo y notación científica.</t>
  </si>
  <si>
    <t xml:space="preserve">Cifras significativas, redondeo y notación científica.</t>
  </si>
  <si>
    <t xml:space="preserve">Aplicar: redondear y usar notación científica</t>
  </si>
  <si>
    <t xml:space="preserve">T0852-G05-CIE</t>
  </si>
  <si>
    <t xml:space="preserve">1.6. Conversión de unidades de medida empleando factores de conversión.</t>
  </si>
  <si>
    <t xml:space="preserve">Conversión de unidades con factores; procedimiento matemático.</t>
  </si>
  <si>
    <t xml:space="preserve">Aplicar: convertir unidades</t>
  </si>
  <si>
    <t xml:space="preserve">T0853-G05-CIE</t>
  </si>
  <si>
    <t xml:space="preserve">Error en la medida.</t>
  </si>
  <si>
    <t xml:space="preserve">1.7. Comparación entre precisión y exactitud de un instrumento de medida.</t>
  </si>
  <si>
    <t xml:space="preserve">Precisión y exactitud de instrumentos; método de medición.</t>
  </si>
  <si>
    <t xml:space="preserve">Aplicar: comparar. Razonar: evaluar instrumentos</t>
  </si>
  <si>
    <t xml:space="preserve">T0854-G05-CIE</t>
  </si>
  <si>
    <t xml:space="preserve">1.8. Identificación de fuentes de error al utilizar instrumentos de medición.</t>
  </si>
  <si>
    <t xml:space="preserve">Fuentes de error en la medición.</t>
  </si>
  <si>
    <t xml:space="preserve">Razonar: evaluar procedimientos</t>
  </si>
  <si>
    <t xml:space="preserve">T0855-G05-CIE</t>
  </si>
  <si>
    <t xml:space="preserve">1.9. Estimación de la propagación del error al momento de manipular varias mediciones.</t>
  </si>
  <si>
    <t xml:space="preserve">Propagación del error en mediciones.</t>
  </si>
  <si>
    <t xml:space="preserve">Aplicar: calcular. Razonar: estimar</t>
  </si>
  <si>
    <t xml:space="preserve">T0856-G05-CIE</t>
  </si>
  <si>
    <t xml:space="preserve">Unidad 2 - Mecánica</t>
  </si>
  <si>
    <t xml:space="preserve">2. Mecánica.</t>
  </si>
  <si>
    <t xml:space="preserve">Magnitudes físicas del movimiento.</t>
  </si>
  <si>
    <t xml:space="preserve">2.1. Determinación de la posición de un objeto respecto a un punto de referencia.</t>
  </si>
  <si>
    <t xml:space="preserve">Posición respecto a referencia, base para describir movimiento.</t>
  </si>
  <si>
    <t xml:space="preserve">Aplicar: ubicar con coordenadas</t>
  </si>
  <si>
    <t xml:space="preserve">T0857-G05-CIE</t>
  </si>
  <si>
    <t xml:space="preserve">2.2. Uso de un sistema de geoposicionamiento.</t>
  </si>
  <si>
    <t xml:space="preserve">Coordenadas geográficas y geoposicionamiento; no es contenido del marco.</t>
  </si>
  <si>
    <t xml:space="preserve">Aplicar: usar coordenadas geográficas</t>
  </si>
  <si>
    <t xml:space="preserve">T0858-G05-CIE</t>
  </si>
  <si>
    <t xml:space="preserve">2.3. Explicación de la diferencia entre desplazamiento, trayectoria y distancia recorrida.</t>
  </si>
  <si>
    <t xml:space="preserve">Desplazamiento, trayectoria y distancia describen el movimiento.</t>
  </si>
  <si>
    <t xml:space="preserve">Aplicar: medir y representar</t>
  </si>
  <si>
    <t xml:space="preserve">T0859-G05-CIE</t>
  </si>
  <si>
    <t xml:space="preserve">2.4. Discriminación entre una magnitud escalar y vectorial.</t>
  </si>
  <si>
    <t xml:space="preserve">Magnitudes escalares y vectoriales: rapidez/velocidad, fuerza con dirección.</t>
  </si>
  <si>
    <t xml:space="preserve">T0860-G05-CIE</t>
  </si>
  <si>
    <t xml:space="preserve">2.5. Diferenciación de los conceptos: rapidez y velocidad.</t>
  </si>
  <si>
    <t xml:space="preserve">Diferencia rapidez y velocidad en contexto cotidiano.</t>
  </si>
  <si>
    <t xml:space="preserve">Aplicar: medir y calcular</t>
  </si>
  <si>
    <t xml:space="preserve">T0861-G05-CIE</t>
  </si>
  <si>
    <t xml:space="preserve">Tipos de movimiento.</t>
  </si>
  <si>
    <t xml:space="preserve">2.6. Caracterización del movimiento en trayectoria recta sin aceleración.</t>
  </si>
  <si>
    <t xml:space="preserve">Movimiento rectilíneo uniforme: rapidez constante, gráfica posición-tiempo.</t>
  </si>
  <si>
    <t xml:space="preserve">T0862-G05-CIE</t>
  </si>
  <si>
    <t xml:space="preserve">2.7. Reconocimiento del movimiento en trayectoria circular.</t>
  </si>
  <si>
    <t xml:space="preserve">Movimiento circular uniforme: rapidez y cambio de dirección.</t>
  </si>
  <si>
    <t xml:space="preserve">Aplicar: medir. Razonar: comparar</t>
  </si>
  <si>
    <t xml:space="preserve">T0863-G05-CIE</t>
  </si>
  <si>
    <t xml:space="preserve">Fuerza para trasladar y torque para rotar.</t>
  </si>
  <si>
    <t xml:space="preserve">2.8. Experimentación con el principio de inercia.</t>
  </si>
  <si>
    <t xml:space="preserve">Inercia: predecir cambios de movimiento según fuerzas en equilibrio.</t>
  </si>
  <si>
    <t xml:space="preserve">Aplicar: relacionar. Razonar: explicar</t>
  </si>
  <si>
    <t xml:space="preserve">T0864-G05-CIE</t>
  </si>
  <si>
    <t xml:space="preserve">2.9. Experimentación de la aceleración como consecuencia de una fuerza neta.</t>
  </si>
  <si>
    <t xml:space="preserve">Fuerza neta produce aceleración; predicción de cambios de movimiento.</t>
  </si>
  <si>
    <t xml:space="preserve">Razonar: identificar variables y concluir</t>
  </si>
  <si>
    <t xml:space="preserve">T0865-G05-CIE</t>
  </si>
  <si>
    <t xml:space="preserve">2.10. Indagación del efecto del par de fuerzas acción y reacción en sistema de fuerzas.</t>
  </si>
  <si>
    <t xml:space="preserve">Pares de fuerzas acción-reacción, magnitud y dirección.</t>
  </si>
  <si>
    <t xml:space="preserve">Aplicar: identificar pares de fuerzas</t>
  </si>
  <si>
    <t xml:space="preserve">T0866-G05-CIE</t>
  </si>
  <si>
    <t xml:space="preserve">Fuerza para trasladar y torque para rotar</t>
  </si>
  <si>
    <t xml:space="preserve">2.11. Aplicación del concepto torque a objetos que rotan.</t>
  </si>
  <si>
    <t xml:space="preserve">Torque en objetos que rotan; relacionado con palancas y máquinas simples.</t>
  </si>
  <si>
    <t xml:space="preserve">T0867-G05-CIE</t>
  </si>
  <si>
    <t xml:space="preserve">Energía mecánica.</t>
  </si>
  <si>
    <t xml:space="preserve">2.12. Relación del movimiento con la energía cinética.</t>
  </si>
  <si>
    <t xml:space="preserve">Energía cinética como forma de energía ligada al movimiento.</t>
  </si>
  <si>
    <t xml:space="preserve">Aplicar: relacionar. Razonar: interpretar datos</t>
  </si>
  <si>
    <t xml:space="preserve">T0868-G05-CIE</t>
  </si>
  <si>
    <t xml:space="preserve">2.13. Experimentación con resortes para evidenciar fuerza restaurativa y energía potencial.</t>
  </si>
  <si>
    <t xml:space="preserve">Energía potencial elástica y fuerza restauradora de resortes.</t>
  </si>
  <si>
    <t xml:space="preserve">Aplicar: medir y graficar. Razonar: identificar patrones</t>
  </si>
  <si>
    <t xml:space="preserve">T0869-G05-CIE</t>
  </si>
  <si>
    <t xml:space="preserve">2.14. Experimentación con objetos en caída libre para evidenciar relación entre la altura y la energía potencial gravitatoria.</t>
  </si>
  <si>
    <t xml:space="preserve">Energía potencial gravitatoria según altura.</t>
  </si>
  <si>
    <t xml:space="preserve">T0870-G05-CIE</t>
  </si>
  <si>
    <t xml:space="preserve">2.15. Experimentación con transformaciones energéticas en un sistema mecánico.</t>
  </si>
  <si>
    <t xml:space="preserve">Transformaciones y conservación de la energía mecánica.</t>
  </si>
  <si>
    <t xml:space="preserve">Aplicar: usar modelos. Razonar: explicar</t>
  </si>
  <si>
    <t xml:space="preserve">T0871-G05-CIE</t>
  </si>
  <si>
    <t xml:space="preserve">Unidad 3 - Estructura atómica</t>
  </si>
  <si>
    <t xml:space="preserve">3. Estructura atómica.</t>
  </si>
  <si>
    <t xml:space="preserve">Teoría atómica.</t>
  </si>
  <si>
    <t xml:space="preserve">3.2. Interpretación histórica de la estructura del átomo y del posicionamiento de partículas subatómicas.</t>
  </si>
  <si>
    <t xml:space="preserve">Definición de átomo y partículas subatómicas.</t>
  </si>
  <si>
    <t xml:space="preserve">T0872-G05-CIE</t>
  </si>
  <si>
    <t xml:space="preserve">[Sin procedimental en la malla oficial: ver hoja Notas]</t>
  </si>
  <si>
    <t xml:space="preserve">Modelos atómicos históricos y estructura del átomo.</t>
  </si>
  <si>
    <t xml:space="preserve">T0873-G05-CIE</t>
  </si>
  <si>
    <t xml:space="preserve">3.3. Construcción e identificación de un modelo atómico.</t>
  </si>
  <si>
    <t xml:space="preserve">Modelo atómico con protones, neutrones y electrones.</t>
  </si>
  <si>
    <t xml:space="preserve">T0874-G05-CIE</t>
  </si>
  <si>
    <t xml:space="preserve">3.4. Modelación del comportamiento de las partículas subatómicas.</t>
  </si>
  <si>
    <t xml:space="preserve">Comportamiento de partículas subatómicas en un modelo.</t>
  </si>
  <si>
    <t xml:space="preserve">Aplicar: usar modelos y simulaciones</t>
  </si>
  <si>
    <t xml:space="preserve">T0875-G05-CIE</t>
  </si>
  <si>
    <t xml:space="preserve">3.5. Determinación de los números atómico y másico.</t>
  </si>
  <si>
    <t xml:space="preserve">Número atómico (protones) y másico de elementos.</t>
  </si>
  <si>
    <t xml:space="preserve">Aplicar: calcular</t>
  </si>
  <si>
    <t xml:space="preserve">T0876-G05-CIE</t>
  </si>
  <si>
    <t xml:space="preserve">Tipos de transferencia de carga.</t>
  </si>
  <si>
    <t xml:space="preserve">3.6. Identificación de los tipos de transferencia de carga.</t>
  </si>
  <si>
    <t xml:space="preserve">Electrización por transferencia de electrones; electrostática no figura explícitamente.</t>
  </si>
  <si>
    <t xml:space="preserve">Aplicar: identificar. Razonar: comprobar</t>
  </si>
  <si>
    <t xml:space="preserve">T0877-G05-CIE</t>
  </si>
  <si>
    <t xml:space="preserve">3.7. Deducción de la formación de iones monoatómicos.</t>
  </si>
  <si>
    <t xml:space="preserve">Formación de iones por ganancia o pérdida de electrones.</t>
  </si>
  <si>
    <t xml:space="preserve">Aplicar: usar modelos. Razonar: deducir</t>
  </si>
  <si>
    <t xml:space="preserve">T0878-G05-CIE</t>
  </si>
  <si>
    <t xml:space="preserve">Isótopos.</t>
  </si>
  <si>
    <t xml:space="preserve">3.8. Construcción del concepto de isótopo y sus aplicaciones.</t>
  </si>
  <si>
    <t xml:space="preserve">Isótopos: átomos con distinto número de neutrones.</t>
  </si>
  <si>
    <t xml:space="preserve">Conocer: definir. Razonar: evaluar información</t>
  </si>
  <si>
    <t xml:space="preserve">T0879-G05-CIE</t>
  </si>
  <si>
    <t xml:space="preserve">3.9. Cuantificación de la masa atómica relativa de isótopos.</t>
  </si>
  <si>
    <t xml:space="preserve">Masa atómica relativa a partir de isótopos y partículas.</t>
  </si>
  <si>
    <t xml:space="preserve">Aplicar: calcular. Razonar: usar modelos</t>
  </si>
  <si>
    <t xml:space="preserve">T0880-G05-CIE</t>
  </si>
  <si>
    <t xml:space="preserve">Números cuánticos.</t>
  </si>
  <si>
    <t xml:space="preserve">3.10. Representación de la estructura atómica con su conjunto de números cuánticos.</t>
  </si>
  <si>
    <t xml:space="preserve">Números cuánticos describen electrones del átomo; nivel superior a TIMSS.</t>
  </si>
  <si>
    <t xml:space="preserve">T0881-G05-CIE</t>
  </si>
  <si>
    <t xml:space="preserve">Configuración electrónica.</t>
  </si>
  <si>
    <t xml:space="preserve">3.11. Representación de distintos tipos de configuraciones electrónicas.</t>
  </si>
  <si>
    <t xml:space="preserve">Configuración electrónica: organización de electrones en el átomo.</t>
  </si>
  <si>
    <t xml:space="preserve">T0882-G05-CIE</t>
  </si>
  <si>
    <t xml:space="preserve">Unidad 4 - Tabla periódica</t>
  </si>
  <si>
    <t xml:space="preserve">4. Tabla periódica.</t>
  </si>
  <si>
    <t xml:space="preserve">Desarrollo de la Tabla Periódica.</t>
  </si>
  <si>
    <t xml:space="preserve">4.1. Elaboración de una línea de tiempo del proceso de construcción de la Tabla Periódica.</t>
  </si>
  <si>
    <t xml:space="preserve">Historia de la construcción de la tabla periódica.</t>
  </si>
  <si>
    <t xml:space="preserve">T0883-G05-CIE</t>
  </si>
  <si>
    <t xml:space="preserve">4.2. Representación gráfica de la Tabla Periódica actual, con ejemplificaciones del empleo industrial de los elementos químicos.</t>
  </si>
  <si>
    <t xml:space="preserve">Tabla periódica con usos industriales según propiedades de elementos.</t>
  </si>
  <si>
    <t xml:space="preserve">T0884-G05-CIE</t>
  </si>
  <si>
    <t xml:space="preserve">Estructura de la Tabla Periódica.</t>
  </si>
  <si>
    <t xml:space="preserve">4.3. Descripción de los criterios de organización presentes en la Tabla Periódica actual.</t>
  </si>
  <si>
    <t xml:space="preserve">Organización de la tabla: grupos, periodos, metales y no metales.</t>
  </si>
  <si>
    <t xml:space="preserve">T0885-G05-CIE</t>
  </si>
  <si>
    <t xml:space="preserve">Propiedades periódicas.</t>
  </si>
  <si>
    <t xml:space="preserve">4.4. Interpretación de las propiedades periódicas de los elementos químicos.</t>
  </si>
  <si>
    <t xml:space="preserve">Propiedades periódicas y tendencias en grupos y periodos.</t>
  </si>
  <si>
    <t xml:space="preserve">Aplicar: interpretar gráficas. Razonar: predecir</t>
  </si>
  <si>
    <t xml:space="preserve">T0886-G05-CIE</t>
  </si>
  <si>
    <t xml:space="preserve">Formulación química.</t>
  </si>
  <si>
    <t xml:space="preserve">4.5. Reconocimiento de los principios que llevan a la formulación química.</t>
  </si>
  <si>
    <t xml:space="preserve">Fórmulas químicas representan compuestos y átomos que los forman.</t>
  </si>
  <si>
    <t xml:space="preserve">Conocer: interpretar fórmulas</t>
  </si>
  <si>
    <t xml:space="preserve">T0887-G05-CIE</t>
  </si>
  <si>
    <t xml:space="preserve">4.6. Interpretación de la interacción iónica para la deducción de fórmulas químicas.</t>
  </si>
  <si>
    <t xml:space="preserve">Interacción iónica entre átomos para deducir fórmulas de compuestos.</t>
  </si>
  <si>
    <t xml:space="preserve">T0888-G05-CIE</t>
  </si>
  <si>
    <t xml:space="preserve">4.7. Identificación de los números de oxidación.</t>
  </si>
  <si>
    <t xml:space="preserve">Números de oxidación vinculados a electrones en enlaces; nivel superior.</t>
  </si>
  <si>
    <t xml:space="preserve">Aplicar: identificar</t>
  </si>
  <si>
    <t xml:space="preserve">T0889-G05-CIE</t>
  </si>
  <si>
    <t xml:space="preserve">Unidad 5 - Ciencias del espacio</t>
  </si>
  <si>
    <t xml:space="preserve">5. Ciencias del espacio.</t>
  </si>
  <si>
    <t xml:space="preserve">El Big Bang.</t>
  </si>
  <si>
    <t xml:space="preserve">5.1. Exploración sobre la hipótesis del Big Bang.</t>
  </si>
  <si>
    <t xml:space="preserve">Origen del universo (Big Bang); cosmología fuera del marco.</t>
  </si>
  <si>
    <t xml:space="preserve">T0890-G05-CIE</t>
  </si>
  <si>
    <t xml:space="preserve">5.2. Visualización de las escalas astronómicas de tiempo y distancia astronómica.</t>
  </si>
  <si>
    <t xml:space="preserve">Escalas astronómicas de tiempo y distancia; cosmología general.</t>
  </si>
  <si>
    <t xml:space="preserve">Aplicar: usar escalas</t>
  </si>
  <si>
    <t xml:space="preserve">T0891-G05-CIE</t>
  </si>
  <si>
    <t xml:space="preserve">Formación del sistema solar.</t>
  </si>
  <si>
    <t xml:space="preserve">5.3. Modelación de la formación del sistema solar.</t>
  </si>
  <si>
    <t xml:space="preserve">Formación del sistema solar; relaciona Sol, planetas y gravedad.</t>
  </si>
  <si>
    <t xml:space="preserve">T0892-G05-CIE</t>
  </si>
  <si>
    <t xml:space="preserve">Evolución estelar.</t>
  </si>
  <si>
    <t xml:space="preserve">5.4. Caracterización de tipos de galaxias: tamaño y formas.</t>
  </si>
  <si>
    <t xml:space="preserve">Tipos de galaxias; no corresponde a objetivos del marco.</t>
  </si>
  <si>
    <t xml:space="preserve">T0893-G05-CIE</t>
  </si>
  <si>
    <t xml:space="preserve">5.5. Explicación de la interacción entre nebulosas y estrellas.</t>
  </si>
  <si>
    <t xml:space="preserve">Estrellas y nebulosas; vínculo con el Sol como estrella.</t>
  </si>
  <si>
    <t xml:space="preserve">Conocer: describir procesos</t>
  </si>
  <si>
    <t xml:space="preserve">T0894-G05-CIE</t>
  </si>
  <si>
    <t xml:space="preserve">5.6. Clasificación de la evolución estelar.</t>
  </si>
  <si>
    <t xml:space="preserve">Evolución estelar; vínculo débil con el Sol como estrella.</t>
  </si>
  <si>
    <t xml:space="preserve">T0895-G05-CIE</t>
  </si>
  <si>
    <t xml:space="preserve">Misiones espaciales.</t>
  </si>
  <si>
    <t xml:space="preserve">5.7. Exposición sobre misiones de exploración del sistema solar.</t>
  </si>
  <si>
    <t xml:space="preserve">Misiones de exploración; conocimiento de planetas del sistema solar.</t>
  </si>
  <si>
    <t xml:space="preserve">T0896-G05-CIE</t>
  </si>
  <si>
    <t xml:space="preserve">Formación de la Tierra.</t>
  </si>
  <si>
    <t xml:space="preserve">5.8. Modelación de la formación de la corteza terrestre.</t>
  </si>
  <si>
    <t xml:space="preserve">Formación de la corteza y capas de la Tierra.</t>
  </si>
  <si>
    <t xml:space="preserve">T0897-G05-CIE</t>
  </si>
  <si>
    <t xml:space="preserve">5.9. Indagación sobre el campo magnético de la Tierra.</t>
  </si>
  <si>
    <t xml:space="preserve">Campo magnético terrestre y brújula como imán.</t>
  </si>
  <si>
    <t xml:space="preserve">Aplicar: construir y comprobar</t>
  </si>
  <si>
    <t xml:space="preserve">T0898-G05-CIE</t>
  </si>
  <si>
    <t xml:space="preserve">Unidad 6 - Ciencias de la Tierr</t>
  </si>
  <si>
    <t xml:space="preserve">6. Ciencias de la Tierra.</t>
  </si>
  <si>
    <t xml:space="preserve">Tiempo geológico.</t>
  </si>
  <si>
    <t xml:space="preserve">6.1. Categorización del tiempo geológico: eones, eras, períodos.</t>
  </si>
  <si>
    <t xml:space="preserve">Escala de tiempo geológico; historia de la Tierra.</t>
  </si>
  <si>
    <t xml:space="preserve">Aplicar: organizar y usar escalas</t>
  </si>
  <si>
    <t xml:space="preserve">T0899-G05-CIE</t>
  </si>
  <si>
    <t xml:space="preserve">6.2. Modelación del proceso de formación de fósiles.</t>
  </si>
  <si>
    <t xml:space="preserve">Condiciones de formación de fósiles.</t>
  </si>
  <si>
    <t xml:space="preserve">T0900-G05-CIE</t>
  </si>
  <si>
    <t xml:space="preserve">6.3. Explicación del proceso de datación de fósiles.</t>
  </si>
  <si>
    <t xml:space="preserve">Datación de fósiles por capas de roca.</t>
  </si>
  <si>
    <t xml:space="preserve">T0901-G05-CIE</t>
  </si>
  <si>
    <t xml:space="preserve">6.4. Reconocimiento de fósiles en El Salvador.</t>
  </si>
  <si>
    <t xml:space="preserve">Fósiles salvadoreños como evidencia de la historia terrestre.</t>
  </si>
  <si>
    <t xml:space="preserve">Conocer: reconocer. Razonar: evaluar fuentes</t>
  </si>
  <si>
    <t xml:space="preserve">T0902-G05-CIE</t>
  </si>
  <si>
    <t xml:space="preserve">6.5. Reconocimiento de los principales eventos de explosión y extinción de biodiversidad en la historia natural.</t>
  </si>
  <si>
    <t xml:space="preserve">Extinciones y explosiones de biodiversidad en la historia natural.</t>
  </si>
  <si>
    <t xml:space="preserve">T0903-G05-CIE</t>
  </si>
  <si>
    <t xml:space="preserve">Tectónica.</t>
  </si>
  <si>
    <t xml:space="preserve">6.6. Modelación de la deriva continental.</t>
  </si>
  <si>
    <t xml:space="preserve">Deriva continental: procesos que cambian la superficie terrestre.</t>
  </si>
  <si>
    <t xml:space="preserve">T0904-G05-CIE</t>
  </si>
  <si>
    <t xml:space="preserve">6.7. Identificación de las placas tectónicas con influencia en el istmo centroamericano.</t>
  </si>
  <si>
    <t xml:space="preserve">Placas tectónicas y bordes; procesos geológicos de la corteza.</t>
  </si>
  <si>
    <t xml:space="preserve">Aplicar: interpretar mapas</t>
  </si>
  <si>
    <t xml:space="preserve">T0905-G05-CIE</t>
  </si>
  <si>
    <t xml:space="preserve">Sismos.</t>
  </si>
  <si>
    <t xml:space="preserve">6.8. Identificación de eventos naturales relacionados con la actividad tectónica.</t>
  </si>
  <si>
    <t xml:space="preserve">Sismos como eventos tectónicos que cambian la superficie.</t>
  </si>
  <si>
    <t xml:space="preserve">Aplicar: clasificar y relacionar</t>
  </si>
  <si>
    <t xml:space="preserve">T0906-G05-CIE</t>
  </si>
  <si>
    <t xml:space="preserve">6.9. Discriminación entre las escalas de intensidad y magnitud sísmica.</t>
  </si>
  <si>
    <t xml:space="preserve">Escalas de magnitud e intensidad de sismos.</t>
  </si>
  <si>
    <t xml:space="preserve">Aplicar: comparar. Razonar: interpretar</t>
  </si>
  <si>
    <t xml:space="preserve">T0907-G05-CIE</t>
  </si>
  <si>
    <t xml:space="preserve">6.10. Reconocimiento de sismos precursores y réplicas.</t>
  </si>
  <si>
    <t xml:space="preserve">Sismos precursores y réplicas; evidencia orientada a prevención.</t>
  </si>
  <si>
    <t xml:space="preserve">T0908-G05-CIE</t>
  </si>
  <si>
    <t xml:space="preserve">Actividad volcánica.</t>
  </si>
  <si>
    <t xml:space="preserve">6.11. Explicación de las causas de la actividad volcánica en El Salvador.</t>
  </si>
  <si>
    <t xml:space="preserve">Causas del vulcanismo por subducción en El Salvador.</t>
  </si>
  <si>
    <t xml:space="preserve">T0909-G05-CIE</t>
  </si>
  <si>
    <t xml:space="preserve">6.12. Identificación de parámetros físicos y químicos que se monitorean en los volcanes.</t>
  </si>
  <si>
    <t xml:space="preserve">Monitoreo de parámetros de actividad volcánica.</t>
  </si>
  <si>
    <t xml:space="preserve">Aplicar: interpretar datos</t>
  </si>
  <si>
    <t xml:space="preserve">T0910-G05-CIE</t>
  </si>
  <si>
    <t xml:space="preserve">6.13. Descripción de las principales acciones a tomar ante la ocurrencia de una erupción volcánica.</t>
  </si>
  <si>
    <t xml:space="preserve">Medidas de protección ante erupción; prevención de riesgos.</t>
  </si>
  <si>
    <t xml:space="preserve">Aplicar: planificar</t>
  </si>
  <si>
    <t xml:space="preserve">T0911-G05-CIE</t>
  </si>
  <si>
    <t xml:space="preserve">El suelo.</t>
  </si>
  <si>
    <t xml:space="preserve">6.14. Identificación de los procesos químicos que ocurren en el suelo.</t>
  </si>
  <si>
    <t xml:space="preserve">Procesos químicos del suelo; meteorización química y reacciones.</t>
  </si>
  <si>
    <t xml:space="preserve">Razonar: comprobar y concluir</t>
  </si>
  <si>
    <t xml:space="preserve">T0912-G05-CIE</t>
  </si>
  <si>
    <t xml:space="preserve">6.15. Indagación de la estructura del suelo y concepto de meteorización.</t>
  </si>
  <si>
    <t xml:space="preserve">Formación del suelo por meteorización de rocas.</t>
  </si>
  <si>
    <t xml:space="preserve">Aplicar: observar y representar</t>
  </si>
  <si>
    <t xml:space="preserve">T0913-G05-CIE</t>
  </si>
  <si>
    <t xml:space="preserve">6.16. Caracterización física de los suelos: clases y tipos.</t>
  </si>
  <si>
    <t xml:space="preserve">Características físicas de suelos y drenaje; base para su uso.</t>
  </si>
  <si>
    <t xml:space="preserve">Razonar: diseñar prueba justa</t>
  </si>
  <si>
    <t xml:space="preserve">T0914-G05-CIE</t>
  </si>
  <si>
    <t xml:space="preserve">6.17. Demostración de la erosión ocasionada por la acción del agua y el viento.</t>
  </si>
  <si>
    <t xml:space="preserve">Erosión por agua y viento modifica la superficie.</t>
  </si>
  <si>
    <t xml:space="preserve">T0915-G05-CIE</t>
  </si>
  <si>
    <t xml:space="preserve">6.18. Indagación de los efectos de la actividad humana en la degradación del suelo.</t>
  </si>
  <si>
    <t xml:space="preserve">Degradación del suelo por actividad humana y conservación.</t>
  </si>
  <si>
    <t xml:space="preserve">Razonar: argumentar</t>
  </si>
  <si>
    <t xml:space="preserve">T0916-G05-CIE</t>
  </si>
  <si>
    <t xml:space="preserve">6.19. Descripción de los principales suelos de El Salvador.</t>
  </si>
  <si>
    <t xml:space="preserve">Suelos de El Salvador; recurso suelo y su aprovechamiento.</t>
  </si>
  <si>
    <t xml:space="preserve">T0917-G05-CIE</t>
  </si>
  <si>
    <t xml:space="preserve">Usos del suelo.</t>
  </si>
  <si>
    <t xml:space="preserve">6.20. Observación de los usos actuales del suelo en la comunidad.</t>
  </si>
  <si>
    <t xml:space="preserve">Usos actuales del suelo en la comunidad.</t>
  </si>
  <si>
    <t xml:space="preserve">T0918-G05-CIE</t>
  </si>
  <si>
    <t xml:space="preserve">6.21. Análisis de cambio de cobertura y uso del suelo en El Salvador.</t>
  </si>
  <si>
    <t xml:space="preserve">Cambios de cobertura y uso del suelo; impacto humano.</t>
  </si>
  <si>
    <t xml:space="preserve">Razonar: analizar e interpretar datos</t>
  </si>
  <si>
    <t xml:space="preserve">T0919-G06-CIE</t>
  </si>
  <si>
    <t xml:space="preserve">Matriz_Ciencias_6to_Grado_U1_U6.xlsx</t>
  </si>
  <si>
    <t xml:space="preserve">Unidad 1 - Fluidos</t>
  </si>
  <si>
    <t xml:space="preserve">1. Fluidos.</t>
  </si>
  <si>
    <t xml:space="preserve">Fluidos estáticos.</t>
  </si>
  <si>
    <t xml:space="preserve">1.1. Experimentación con objetos de diferentes densidades.</t>
  </si>
  <si>
    <t xml:space="preserve">Densidad como propiedad física; relacionada con flotación.</t>
  </si>
  <si>
    <t xml:space="preserve">Aplicar: medir y calcular. Razonar: comparar</t>
  </si>
  <si>
    <t xml:space="preserve">T0920-G06-CIE</t>
  </si>
  <si>
    <t xml:space="preserve">1.2. Experimentación con la flotación de un cuerpo.</t>
  </si>
  <si>
    <t xml:space="preserve">Fuerza de empuje y flotación.</t>
  </si>
  <si>
    <t xml:space="preserve">T0921-G06-CIE</t>
  </si>
  <si>
    <t xml:space="preserve">1.3. Experimentación con presión en sólidos, gases y líquidos.</t>
  </si>
  <si>
    <t xml:space="preserve">Presión en sólidos, líquidos y gases.</t>
  </si>
  <si>
    <t xml:space="preserve">Aplicar: relacionar. Razonar: interpretar</t>
  </si>
  <si>
    <t xml:space="preserve">T0922-G06-CIE</t>
  </si>
  <si>
    <t xml:space="preserve">1.4. Vinculación entre capilaridad y tensión superficial.</t>
  </si>
  <si>
    <t xml:space="preserve">Tensión superficial y capilaridad como propiedades físicas de líquidos.</t>
  </si>
  <si>
    <t xml:space="preserve">Conocer: relacionar conceptos</t>
  </si>
  <si>
    <t xml:space="preserve">T0923-G06-CIE</t>
  </si>
  <si>
    <t xml:space="preserve">1.5. Demostración experimental de la capilaridad.</t>
  </si>
  <si>
    <t xml:space="preserve">Capilaridad como propiedad física de líquidos.</t>
  </si>
  <si>
    <t xml:space="preserve">T0924-G06-CIE</t>
  </si>
  <si>
    <t xml:space="preserve">Dinámica de fluidos.</t>
  </si>
  <si>
    <t xml:space="preserve">1.6. Medición del caudal de un fluido.</t>
  </si>
  <si>
    <t xml:space="preserve">Caudal de fluidos; aplicado a pérdida de agua por goteo.</t>
  </si>
  <si>
    <t xml:space="preserve">T0925-G06-CIE</t>
  </si>
  <si>
    <t xml:space="preserve">1.7. Indagación del principio de Bernoulli.</t>
  </si>
  <si>
    <t xml:space="preserve">Principio de Bernoulli: presión en fluidos en movimiento.</t>
  </si>
  <si>
    <t xml:space="preserve">Conocer: describir. Razonar: explicar</t>
  </si>
  <si>
    <t xml:space="preserve">T0926-G06-CIE</t>
  </si>
  <si>
    <t xml:space="preserve">1.8. Aplicación del principio de Bernoulli.</t>
  </si>
  <si>
    <t xml:space="preserve">Aplicación del principio de Bernoulli y presión en fluidos.</t>
  </si>
  <si>
    <t xml:space="preserve">T0927-G06-CIE</t>
  </si>
  <si>
    <t xml:space="preserve">Unidad 2 - Calor y temperatura</t>
  </si>
  <si>
    <t xml:space="preserve">2. Calor y temperatura.</t>
  </si>
  <si>
    <t xml:space="preserve">Temperatura.</t>
  </si>
  <si>
    <t xml:space="preserve">2.1. Uso de simulación para visualizar el movimiento de las partículas en función de la temperatura.</t>
  </si>
  <si>
    <t xml:space="preserve">Movimiento de partículas en función de la temperatura.</t>
  </si>
  <si>
    <t xml:space="preserve">Aplicar: usar simulaciones</t>
  </si>
  <si>
    <t xml:space="preserve">T0928-G06-CIE</t>
  </si>
  <si>
    <t xml:space="preserve">2.2. Construcción de un termoscopio funcional.</t>
  </si>
  <si>
    <t xml:space="preserve">Termoscopio: temperatura y dilatación de sustancias.</t>
  </si>
  <si>
    <t xml:space="preserve">Aplicar: construir y usar instrumentos</t>
  </si>
  <si>
    <t xml:space="preserve">T0929-G06-CIE</t>
  </si>
  <si>
    <t xml:space="preserve">2.3. Comparación entre escalas de temperatura.</t>
  </si>
  <si>
    <t xml:space="preserve">Escalas de temperatura; magnitud asociada a transferencia térmica.</t>
  </si>
  <si>
    <t xml:space="preserve">Aplicar: convertir</t>
  </si>
  <si>
    <t xml:space="preserve">T0930-G06-CIE</t>
  </si>
  <si>
    <t xml:space="preserve">Propiedades térmicas de los materiales.</t>
  </si>
  <si>
    <t xml:space="preserve">2.4. Experimentación con los cambios de fase en líquidos</t>
  </si>
  <si>
    <t xml:space="preserve">Cambios de fase y temperatura constante en la meseta.</t>
  </si>
  <si>
    <t xml:space="preserve">Aplicar: graficar. Razonar: interpretar</t>
  </si>
  <si>
    <t xml:space="preserve">T0931-G06-CIE</t>
  </si>
  <si>
    <t xml:space="preserve">2.5. Experimentación con la propagación de calor por conducción, convección y radiación.</t>
  </si>
  <si>
    <t xml:space="preserve">Conducción, convección y radiación de calor.</t>
  </si>
  <si>
    <t xml:space="preserve">Aplicar: clasificar ejemplos</t>
  </si>
  <si>
    <t xml:space="preserve">T0932-G06-CIE</t>
  </si>
  <si>
    <t xml:space="preserve">2.6. Experimentación con las propiedades térmicas de los materiales.</t>
  </si>
  <si>
    <t xml:space="preserve">Calentamiento distinto de arena y agua; propiedades térmicas.</t>
  </si>
  <si>
    <t xml:space="preserve">T0933-G06-CIE</t>
  </si>
  <si>
    <t xml:space="preserve">2.7. Experimentación con la dilatación térmica en sólidos, líquidos y gases.</t>
  </si>
  <si>
    <t xml:space="preserve">Dilatación térmica explicada por movimiento de partículas.</t>
  </si>
  <si>
    <t xml:space="preserve">T0934-G06-CIE</t>
  </si>
  <si>
    <t xml:space="preserve">Unidad 3 - Electricidad y magne</t>
  </si>
  <si>
    <t xml:space="preserve">3. Electricidad y magnetismo.</t>
  </si>
  <si>
    <t xml:space="preserve">Magnitudes basicas de la electricidad.</t>
  </si>
  <si>
    <t xml:space="preserve">3.1. Uso del multímetro para medir voltaje y corriente eléctrica.</t>
  </si>
  <si>
    <t xml:space="preserve">Voltaje y corriente en circuitos eléctricos.</t>
  </si>
  <si>
    <t xml:space="preserve">Aplicar: medir con instrumentos</t>
  </si>
  <si>
    <t xml:space="preserve">T0935-G06-CIE</t>
  </si>
  <si>
    <t xml:space="preserve">3.2. Identificación del valor de resistencias eléctricas según código de color y multímetro.</t>
  </si>
  <si>
    <t xml:space="preserve">Resistencias como componentes de circuitos.</t>
  </si>
  <si>
    <t xml:space="preserve">Aplicar: interpretar códigos</t>
  </si>
  <si>
    <t xml:space="preserve">T0936-G06-CIE</t>
  </si>
  <si>
    <t xml:space="preserve">Circuitos.</t>
  </si>
  <si>
    <t xml:space="preserve">3.3. Representación de circuitos eléctricos en serie y en paralelo.</t>
  </si>
  <si>
    <t xml:space="preserve">Diagramas de circuitos en serie y paralelo.</t>
  </si>
  <si>
    <t xml:space="preserve">Aplicar: representar con diagramas</t>
  </si>
  <si>
    <t xml:space="preserve">T0937-G06-CIE</t>
  </si>
  <si>
    <t xml:space="preserve">3.4. Construcción de un circuito en serie.</t>
  </si>
  <si>
    <t xml:space="preserve">Construcción de circuito en serie.</t>
  </si>
  <si>
    <t xml:space="preserve">Aplicar: construir y medir</t>
  </si>
  <si>
    <t xml:space="preserve">T0938-G06-CIE</t>
  </si>
  <si>
    <t xml:space="preserve">3.5. Cálculo de la resistencia equivalente y continuidad de la corriente eléctrica en un circuito en serie.</t>
  </si>
  <si>
    <t xml:space="preserve">Resistencia equivalente y corriente en circuito serie.</t>
  </si>
  <si>
    <t xml:space="preserve">Aplicar: calcular. Razonar: comparar</t>
  </si>
  <si>
    <t xml:space="preserve">T0939-G06-CIE</t>
  </si>
  <si>
    <t xml:space="preserve">3.6. Construcción de un circuito en paralelo.</t>
  </si>
  <si>
    <t xml:space="preserve">Construcción de circuito en paralelo.</t>
  </si>
  <si>
    <t xml:space="preserve">Aplicar: construir</t>
  </si>
  <si>
    <t xml:space="preserve">T0940-G06-CIE</t>
  </si>
  <si>
    <t xml:space="preserve">3.7. Cálculo de la resistencia equivalente y voltaje en un circuito en paralelo.</t>
  </si>
  <si>
    <t xml:space="preserve">Resistencia equivalente y voltaje en circuito paralelo.</t>
  </si>
  <si>
    <t xml:space="preserve">T0941-G06-CIE</t>
  </si>
  <si>
    <t xml:space="preserve">Magnetismo.</t>
  </si>
  <si>
    <t xml:space="preserve">3.8. Comparación experimental de la alineación de dominios magnéticos en un imán y un electroimán.</t>
  </si>
  <si>
    <t xml:space="preserve">Imanes y electroimanes: dominios y fuerza según vueltas.</t>
  </si>
  <si>
    <t xml:space="preserve">Razonar: comparar y mejorar</t>
  </si>
  <si>
    <t xml:space="preserve">T0942-G06-CIE</t>
  </si>
  <si>
    <t xml:space="preserve">3.9. Observación experimental de líneas de campo magnético.</t>
  </si>
  <si>
    <t xml:space="preserve">Líneas de campo magnético de imanes.</t>
  </si>
  <si>
    <t xml:space="preserve">T0943-G06-CIE</t>
  </si>
  <si>
    <t xml:space="preserve">Unidad 4 - Interacciones químic</t>
  </si>
  <si>
    <t xml:space="preserve">4. Interacciones químicas.</t>
  </si>
  <si>
    <t xml:space="preserve">Enlace químico.</t>
  </si>
  <si>
    <t xml:space="preserve">4.1. Aplicación de los principios de notación de Lewis.</t>
  </si>
  <si>
    <t xml:space="preserve">Notación de Lewis: electrones de valencia para enlaces.</t>
  </si>
  <si>
    <t xml:space="preserve">T0944-G06-CIE</t>
  </si>
  <si>
    <t xml:space="preserve">4.2. Descripción de las propiedades y características del enlace iónico.</t>
  </si>
  <si>
    <t xml:space="preserve">Enlace iónico y propiedades de compuestos iónicos.</t>
  </si>
  <si>
    <t xml:space="preserve">T0945-G06-CIE</t>
  </si>
  <si>
    <t xml:space="preserve">4.3. Descripción de las propiedades y características del enlace metálico.</t>
  </si>
  <si>
    <t xml:space="preserve">Enlace metálico y sus propiedades.</t>
  </si>
  <si>
    <t xml:space="preserve">T0946-G06-CIE</t>
  </si>
  <si>
    <t xml:space="preserve">Enlace covalente.</t>
  </si>
  <si>
    <t xml:space="preserve">4.4. Visualización del concepto de molécula y enlace covalente.</t>
  </si>
  <si>
    <t xml:space="preserve">Enlace covalente y concepto de molécula.</t>
  </si>
  <si>
    <t xml:space="preserve">T0947-G06-CIE</t>
  </si>
  <si>
    <t xml:space="preserve">4.5. Construcción de modelos moleculares.</t>
  </si>
  <si>
    <t xml:space="preserve">Modelos moleculares: átomos unidos formando moléculas.</t>
  </si>
  <si>
    <t xml:space="preserve">T0948-G06-CIE</t>
  </si>
  <si>
    <t xml:space="preserve">4.6. Interpretación del momento dipolar con modelos moleculares.</t>
  </si>
  <si>
    <t xml:space="preserve">Polaridad de enlaces y moléculas por distribución electrónica.</t>
  </si>
  <si>
    <t xml:space="preserve">Aplicar: interpretar modelos</t>
  </si>
  <si>
    <t xml:space="preserve">T0949-G06-CIE</t>
  </si>
  <si>
    <t xml:space="preserve">Fuerzas intermoleculares.</t>
  </si>
  <si>
    <t xml:space="preserve">4.7. Demostración experimental macroscópica de las fuerzas intermoleculares.</t>
  </si>
  <si>
    <t xml:space="preserve">Fuerzas entre partículas explican rapidez de evaporación.</t>
  </si>
  <si>
    <t xml:space="preserve">Razonar: comparar e interpretar</t>
  </si>
  <si>
    <t xml:space="preserve">T0950-G06-CIE</t>
  </si>
  <si>
    <t xml:space="preserve">4.8. Construcción del concepto de las fuerzas intermoleculares.</t>
  </si>
  <si>
    <t xml:space="preserve">Fuerzas intermoleculares y propiedades físicas de sustancias.</t>
  </si>
  <si>
    <t xml:space="preserve">Conocer: explicar</t>
  </si>
  <si>
    <t xml:space="preserve">T0951-G06-CIE</t>
  </si>
  <si>
    <t xml:space="preserve">Reacciones químicas.</t>
  </si>
  <si>
    <t xml:space="preserve">4.9. Determinación experimental de evidencias de reacción química.</t>
  </si>
  <si>
    <t xml:space="preserve">Evidencias de reacción química en experimentos.</t>
  </si>
  <si>
    <t xml:space="preserve">Aplicar: identificar. Razonar: justificar</t>
  </si>
  <si>
    <t xml:space="preserve">T0952-G06-CIE</t>
  </si>
  <si>
    <t xml:space="preserve">4.10. Clasificación de las reacciones químicas de acuerdo con diversos criterios.</t>
  </si>
  <si>
    <t xml:space="preserve">Clasificación de reacciones químicas.</t>
  </si>
  <si>
    <t xml:space="preserve">T0953-G06-CIE</t>
  </si>
  <si>
    <t xml:space="preserve">Unidad 5 - Célula</t>
  </si>
  <si>
    <t xml:space="preserve">5. Célula.</t>
  </si>
  <si>
    <t xml:space="preserve">Biomoléculas.</t>
  </si>
  <si>
    <t xml:space="preserve">5.1. Identificación experimental de los grupos de biomoléculas.</t>
  </si>
  <si>
    <t xml:space="preserve">Biomoléculas: carbohidratos, lípidos, proteínas; vínculo con nutrientes.</t>
  </si>
  <si>
    <t xml:space="preserve">T0954-G06-CIE</t>
  </si>
  <si>
    <t xml:space="preserve">5.2. Experimentación con la actividad enzimática.</t>
  </si>
  <si>
    <t xml:space="preserve">Enzimas en procesos celulares; afectan velocidad de reacción.</t>
  </si>
  <si>
    <t xml:space="preserve">Razonar: diseñar y concluir</t>
  </si>
  <si>
    <t xml:space="preserve">T0955-G06-CIE</t>
  </si>
  <si>
    <t xml:space="preserve">¿Qué es una célula?</t>
  </si>
  <si>
    <t xml:space="preserve">5.3. Construcción de línea temporal sobre el desarrollo de la teoría celular.</t>
  </si>
  <si>
    <t xml:space="preserve">Desarrollo histórico de la teoría celular.</t>
  </si>
  <si>
    <t xml:space="preserve">T0956-G06-CIE</t>
  </si>
  <si>
    <t xml:space="preserve">5.4. Mantenimiento de cultivos naturales de microorganismos en medio líquido.</t>
  </si>
  <si>
    <t xml:space="preserve">Factores que condicionan el crecimiento de poblaciones microbianas.</t>
  </si>
  <si>
    <t xml:space="preserve">T0957-G06-CIE</t>
  </si>
  <si>
    <t xml:space="preserve">5.5. Modelación de células procariota y eucariota.</t>
  </si>
  <si>
    <t xml:space="preserve">Estructura celular procariota y eucariota.</t>
  </si>
  <si>
    <t xml:space="preserve">T0958-G06-CIE</t>
  </si>
  <si>
    <t xml:space="preserve">Niveles de organización de los seres vivos.</t>
  </si>
  <si>
    <t xml:space="preserve">5.6. Deconstrucción de los niveles de organización biológica.</t>
  </si>
  <si>
    <t xml:space="preserve">Niveles de organización: células, tejidos, órganos, sistemas.</t>
  </si>
  <si>
    <t xml:space="preserve">Aplicar: organizar</t>
  </si>
  <si>
    <t xml:space="preserve">T0959-G06-CIE</t>
  </si>
  <si>
    <t xml:space="preserve">5.7. Reconocimiento de muestras de tejidos, órganos y sistemas.</t>
  </si>
  <si>
    <t xml:space="preserve">Reconocer tejidos, órganos y sistemas.</t>
  </si>
  <si>
    <t xml:space="preserve">T0960-G06-CIE</t>
  </si>
  <si>
    <t xml:space="preserve">Membranas biológicas.</t>
  </si>
  <si>
    <t xml:space="preserve">5.8. Demostración experimental de las propiedades de las membranas biológicas.</t>
  </si>
  <si>
    <t xml:space="preserve">Membrana celular y transporte; ósmosis.</t>
  </si>
  <si>
    <t xml:space="preserve">Aplicar: medir. Razonar: interpretar</t>
  </si>
  <si>
    <t xml:space="preserve">T0961-G06-CIE</t>
  </si>
  <si>
    <t xml:space="preserve">Citoplasma.</t>
  </si>
  <si>
    <t xml:space="preserve">5.9. Explicación de la composición y funciones del citosol.</t>
  </si>
  <si>
    <t xml:space="preserve">Composición y funciones del citosol.</t>
  </si>
  <si>
    <t xml:space="preserve">T0962-G06-CIE</t>
  </si>
  <si>
    <t xml:space="preserve">5.10. Simulación de la estructura y funciones principales del citoesqueleto.</t>
  </si>
  <si>
    <t xml:space="preserve">Citoesqueleto como estructura celular.</t>
  </si>
  <si>
    <t xml:space="preserve">T0963-G06-CIE</t>
  </si>
  <si>
    <t xml:space="preserve">Componentes subcelulares.</t>
  </si>
  <si>
    <t xml:space="preserve">5.11. Identificación de estructuras subcelulares eucariotas.</t>
  </si>
  <si>
    <t xml:space="preserve">Organelos eucariotas y sus funciones.</t>
  </si>
  <si>
    <t xml:space="preserve">Aplicar: identificar estructuras</t>
  </si>
  <si>
    <t xml:space="preserve">T0964-G06-CIE</t>
  </si>
  <si>
    <t xml:space="preserve">Respiración y mitocondria.</t>
  </si>
  <si>
    <t xml:space="preserve">5.12. Explicación del mecanismo general de respiración celular eucariota.</t>
  </si>
  <si>
    <t xml:space="preserve">Respiración celular con entradas y salidas.</t>
  </si>
  <si>
    <t xml:space="preserve">Conocer: explicar procesos</t>
  </si>
  <si>
    <t xml:space="preserve">T0965-G06-CIE</t>
  </si>
  <si>
    <t xml:space="preserve">5.13. Descripción de la estructura y funciones de las mitocondrias.</t>
  </si>
  <si>
    <t xml:space="preserve">Mitocondria: organelo de la respiración celular.</t>
  </si>
  <si>
    <t xml:space="preserve">T0966-G06-CIE</t>
  </si>
  <si>
    <t xml:space="preserve">Fotosíntesis y cloroplasto.</t>
  </si>
  <si>
    <t xml:space="preserve">5.14. Descripción de la estructura y funciones de los cloroplastos.</t>
  </si>
  <si>
    <t xml:space="preserve">Cloroplasto: organelo de la fotosíntesis.</t>
  </si>
  <si>
    <t xml:space="preserve">Aplicar: observar e identificar</t>
  </si>
  <si>
    <t xml:space="preserve">T0967-G06-CIE</t>
  </si>
  <si>
    <t xml:space="preserve">5.15. Demostración experimental del proceso de fotosíntesis.</t>
  </si>
  <si>
    <t xml:space="preserve">Fotosíntesis: producción de oxígeno según la luz.</t>
  </si>
  <si>
    <t xml:space="preserve">Razonar: diseñar una prueba y concluir</t>
  </si>
  <si>
    <t xml:space="preserve">T0968-G06-CIE</t>
  </si>
  <si>
    <t xml:space="preserve">5.16. Experimentación con métodos de extracción de pigmentos fotosintéticos.</t>
  </si>
  <si>
    <t xml:space="preserve">Pigmentos fotosintéticos separados por cromatografía.</t>
  </si>
  <si>
    <t xml:space="preserve">Aplicar: experimentar e interpretar</t>
  </si>
  <si>
    <t xml:space="preserve">T0969-G06-CIE</t>
  </si>
  <si>
    <t xml:space="preserve">5.17. Explicación del proceso general de fotosíntesis en plantas.</t>
  </si>
  <si>
    <t xml:space="preserve">Proceso general de fotosíntesis y relación con respiración.</t>
  </si>
  <si>
    <t xml:space="preserve">T0970-G06-CIE</t>
  </si>
  <si>
    <t xml:space="preserve">Sistema endomembranoso.</t>
  </si>
  <si>
    <t xml:space="preserve">5.18. Interpretación de la vía endocítica y secretora del sistema endomembranoso.</t>
  </si>
  <si>
    <t xml:space="preserve">Sistema endomembranoso: organelos y transporte celular.</t>
  </si>
  <si>
    <t xml:space="preserve">Aplicar: usar y evaluar modelos</t>
  </si>
  <si>
    <t xml:space="preserve">T0971-G06-CIE</t>
  </si>
  <si>
    <t xml:space="preserve">Matriz extracelular.</t>
  </si>
  <si>
    <t xml:space="preserve">5.19. Descripción general de la estructura y funciones de la matriz extracelular.</t>
  </si>
  <si>
    <t xml:space="preserve">Matriz extracelular en la organización de tejidos.</t>
  </si>
  <si>
    <t xml:space="preserve">T0972-G06-CIE</t>
  </si>
  <si>
    <t xml:space="preserve">5.20. Observación de las funciones de la matriz extracelular en tejidos secretores.</t>
  </si>
  <si>
    <t xml:space="preserve">Tejidos secretores y matriz extracelular.</t>
  </si>
  <si>
    <t xml:space="preserve">T0973-G06-CIE</t>
  </si>
  <si>
    <t xml:space="preserve">5.21. Aplicación de pruebas bacteriológicas básicas en cultivos sólidos de bacterias.</t>
  </si>
  <si>
    <t xml:space="preserve">Pruebas bacteriológicas para identificar y clasificar bacterias.</t>
  </si>
  <si>
    <t xml:space="preserve">Aplicar: interpretar resultados</t>
  </si>
  <si>
    <t xml:space="preserve">T0974-G06-CIE</t>
  </si>
  <si>
    <t xml:space="preserve">5.22. Revisión documental sobre implicaciones de la matriz extracelular en lesiones.</t>
  </si>
  <si>
    <t xml:space="preserve">Matriz extracelular en tejidos lesionados; revisión documental.</t>
  </si>
  <si>
    <t xml:space="preserve">Razonar: sintetizar información</t>
  </si>
  <si>
    <t xml:space="preserve">T0975-G06-CIE</t>
  </si>
  <si>
    <t xml:space="preserve">Unidad 6 - Biología del desarro</t>
  </si>
  <si>
    <t xml:space="preserve">6. Biología del desarrollo.</t>
  </si>
  <si>
    <t xml:space="preserve">Material genético.</t>
  </si>
  <si>
    <t xml:space="preserve">6.1. Exploración de la estructura y funciones del material genético.</t>
  </si>
  <si>
    <t xml:space="preserve">Estructura y función del material genético (ADN).</t>
  </si>
  <si>
    <t xml:space="preserve">T0976-G06-CIE</t>
  </si>
  <si>
    <t xml:space="preserve">Ciclo celular.</t>
  </si>
  <si>
    <t xml:space="preserve">6.2. Descripción de las etapas de la mitosis a partir de micrografías, muestras o esquemas.</t>
  </si>
  <si>
    <t xml:space="preserve">Mitosis: división celular, material genético y crecimiento.</t>
  </si>
  <si>
    <t xml:space="preserve">Aplicar: secuenciar e identificar</t>
  </si>
  <si>
    <t xml:space="preserve">T0977-G06-CIE</t>
  </si>
  <si>
    <t xml:space="preserve">6.3. Descripción de las etapas de la meiosis a partir de micrografías, muestras o esquemas.</t>
  </si>
  <si>
    <t xml:space="preserve">Meiosis: base de la reproducción sexual y herencia.</t>
  </si>
  <si>
    <t xml:space="preserve">T0978-G06-CIE</t>
  </si>
  <si>
    <t xml:space="preserve">6.4. Identificación de estructuras anatómicas asociadas con la apoptosis y senescencia celular.</t>
  </si>
  <si>
    <t xml:space="preserve">Apoptosis y senescencia celular en el ciclo de vida celular.</t>
  </si>
  <si>
    <t xml:space="preserve">Conocer: identificar</t>
  </si>
  <si>
    <t xml:space="preserve">T0979-G06-CIE</t>
  </si>
  <si>
    <t xml:space="preserve">Reproducción Asexual y Sexual.</t>
  </si>
  <si>
    <t xml:space="preserve">6.5. Exploración de los mecanismos de reproducción de las formas de vida unicelulares.</t>
  </si>
  <si>
    <t xml:space="preserve">Reproducción asexual de organismos unicelulares.</t>
  </si>
  <si>
    <t xml:space="preserve">T0980-G06-CIE</t>
  </si>
  <si>
    <t xml:space="preserve">6.6. Visualiza la alternancia de fases a través de muestras.</t>
  </si>
  <si>
    <t xml:space="preserve">Alternancia de fases en el ciclo de vida del helecho.</t>
  </si>
  <si>
    <t xml:space="preserve">T0981-G06-CIE</t>
  </si>
  <si>
    <t xml:space="preserve">Desarrollo Vegetal.</t>
  </si>
  <si>
    <t xml:space="preserve">6.7. Organización del ciclo de vida en plantas usando muestras vegetales.</t>
  </si>
  <si>
    <t xml:space="preserve">Ciclos de vida de plantas.</t>
  </si>
  <si>
    <t xml:space="preserve">T0982-G06-CIE</t>
  </si>
  <si>
    <t xml:space="preserve">6.8. Descripción de la fecundación y planos de división celular en plantas.</t>
  </si>
  <si>
    <t xml:space="preserve">Fecundación en plantas y partes de la flor.</t>
  </si>
  <si>
    <t xml:space="preserve">T0983-G06-CIE</t>
  </si>
  <si>
    <t xml:space="preserve">6.9. Práctica con técnicas de propagación vegetal asexual.</t>
  </si>
  <si>
    <t xml:space="preserve">Propagación vegetal asexual frente a reproducción sexual.</t>
  </si>
  <si>
    <t xml:space="preserve">Aplicar: practicar técnicas. Razonar: evaluar</t>
  </si>
  <si>
    <t xml:space="preserve">T0984-G06-CIE</t>
  </si>
  <si>
    <t xml:space="preserve">Desarrollo Animal.</t>
  </si>
  <si>
    <t xml:space="preserve">6.10. Observación de las modalidades de fecundación en animales.</t>
  </si>
  <si>
    <t xml:space="preserve">Modalidades de fecundación en animales.</t>
  </si>
  <si>
    <t xml:space="preserve">Conocer: clasificar</t>
  </si>
  <si>
    <t xml:space="preserve">T0985-G06-CIE</t>
  </si>
  <si>
    <t xml:space="preserve">6.11. Comparación de las etapas de desarrollo en diferentes grupos de animales.</t>
  </si>
  <si>
    <t xml:space="preserve">Etapas de desarrollo en vertebrados e invertebrados.</t>
  </si>
  <si>
    <t xml:space="preserve">T0986-G06-CIE</t>
  </si>
  <si>
    <t xml:space="preserve">6.12. Modelación del desarrollo embrionario de vertebrados.</t>
  </si>
  <si>
    <t xml:space="preserve">Desarrollo embrionario de vertebrados como patrón de crecimiento.</t>
  </si>
  <si>
    <t xml:space="preserve">T0987-G07-CIE</t>
  </si>
  <si>
    <t xml:space="preserve">Matriz_Ciencias_7mo_Grado_U1_U6.xlsx</t>
  </si>
  <si>
    <t xml:space="preserve">Unidad 1 - Compuestos inorgánic</t>
  </si>
  <si>
    <t xml:space="preserve">1. Compuestos inorgánicos</t>
  </si>
  <si>
    <t xml:space="preserve">Compuestos inorgánicos binarios</t>
  </si>
  <si>
    <t xml:space="preserve">1.1. Indagación de los óxidos en fenómenos y aplicaciones cotidianas.</t>
  </si>
  <si>
    <t xml:space="preserve">Óxidos como compuestos presentes en aplicaciones cotidianas</t>
  </si>
  <si>
    <t xml:space="preserve">Conocer: identificar. Aplicar: relacionar</t>
  </si>
  <si>
    <t xml:space="preserve">T0988-G07-CIE</t>
  </si>
  <si>
    <t xml:space="preserve">1.2. Formulación y balanceo de ecuaciones de reacción química para la obtención de óxidos.</t>
  </si>
  <si>
    <t xml:space="preserve">Balanceo de ecuaciones aplica conservación de la materia</t>
  </si>
  <si>
    <t xml:space="preserve">Aplicar: formular y balancear ecuaciones</t>
  </si>
  <si>
    <t xml:space="preserve">T0989-G07-CIE</t>
  </si>
  <si>
    <t xml:space="preserve">1.3. Aplicación de nomenclaturas para denominar compuestos químicos con la función óxido.</t>
  </si>
  <si>
    <t xml:space="preserve">Nomenclatura química sin contenido conceptual del marco</t>
  </si>
  <si>
    <t xml:space="preserve">Aplicar: aplicar reglas de nomenclatura</t>
  </si>
  <si>
    <t xml:space="preserve">T0990-G07-CIE</t>
  </si>
  <si>
    <t xml:space="preserve">1.4. Identificación de hidruros, hidrácidos y sales binarias en productos de uso cotidiano.</t>
  </si>
  <si>
    <t xml:space="preserve">Identificación de compuestos binarios en productos cotidianos</t>
  </si>
  <si>
    <t xml:space="preserve">Conocer: identificar. Razonar: justificar</t>
  </si>
  <si>
    <t xml:space="preserve">T0991-G07-CIE</t>
  </si>
  <si>
    <t xml:space="preserve">1.5. Formulación y balanceo de ecuaciones de reacción química para la obtención de hidruros, hidrácidos y sales binarias.</t>
  </si>
  <si>
    <t xml:space="preserve">T0992-G07-CIE</t>
  </si>
  <si>
    <t xml:space="preserve">1.6. Aplicación de nomenclaturas químicas para denominar hidruros, hidrácidos y sales binarias.</t>
  </si>
  <si>
    <t xml:space="preserve">T0993-G07-CIE</t>
  </si>
  <si>
    <t xml:space="preserve">Compuestos inorgánicos ternarios</t>
  </si>
  <si>
    <t xml:space="preserve">1.7. Identificación de hidróxidos y oxácidos en productos de uso cotidiano.</t>
  </si>
  <si>
    <t xml:space="preserve">Hidróxidos y oxácidos clasificados como ácidos/bases con indicador</t>
  </si>
  <si>
    <t xml:space="preserve">Aplicar: identificar y clasificar</t>
  </si>
  <si>
    <t xml:space="preserve">T0994-G07-CIE</t>
  </si>
  <si>
    <t xml:space="preserve">1.8. Formulación y balanceo de ecuaciones de reacción química para la obtención de hidróxidos y oxácidos.</t>
  </si>
  <si>
    <t xml:space="preserve">T0995-G07-CIE</t>
  </si>
  <si>
    <t xml:space="preserve">1.9. Aplicación de nomenclaturas químicas para denominar hidróxidos y oxácidos.</t>
  </si>
  <si>
    <t xml:space="preserve">T0996-G07-CIE</t>
  </si>
  <si>
    <t xml:space="preserve">1.10. Identificación de oxisales y sus aplicaciones cotidianas.</t>
  </si>
  <si>
    <t xml:space="preserve">Oxisales como compuestos y sus usos cotidianos</t>
  </si>
  <si>
    <t xml:space="preserve">T0997-G07-CIE</t>
  </si>
  <si>
    <t xml:space="preserve">1.11. Formulación y balanceo de ecuaciones de reacción química para la obtención de oxisales.</t>
  </si>
  <si>
    <t xml:space="preserve">T0998-G07-CIE</t>
  </si>
  <si>
    <t xml:space="preserve">1.12. Aplicación de nomenclaturas químicas para la denominar oxisales.</t>
  </si>
  <si>
    <t xml:space="preserve">T0999-G07-CIE</t>
  </si>
  <si>
    <t xml:space="preserve">Unidad 2 - Genética y evolución</t>
  </si>
  <si>
    <t xml:space="preserve">2. Genética y evolución</t>
  </si>
  <si>
    <t xml:space="preserve">Material genético</t>
  </si>
  <si>
    <t xml:space="preserve">2.1. Indagación de las funciones del material genético.</t>
  </si>
  <si>
    <t xml:space="preserve">Funciones del material genético en la herencia</t>
  </si>
  <si>
    <t xml:space="preserve">T1000-G07-CIE</t>
  </si>
  <si>
    <t xml:space="preserve">2.2. Experimentación con técnicas de extracción y tinción de ácidos nucleicos.</t>
  </si>
  <si>
    <t xml:space="preserve">Extracción práctica de ADN, material genético</t>
  </si>
  <si>
    <t xml:space="preserve">Aplicar: seguir y ejecutar un protocolo</t>
  </si>
  <si>
    <t xml:space="preserve">T1001-G07-CIE</t>
  </si>
  <si>
    <t xml:space="preserve">2.3. Explicación del funcionamiento de técnicas básicas para la extracción y tinción de ácidos nucleicos.</t>
  </si>
  <si>
    <t xml:space="preserve">Explica técnicas de extracción de material genético</t>
  </si>
  <si>
    <t xml:space="preserve">Razonar: explicar procedimientos</t>
  </si>
  <si>
    <t xml:space="preserve">T1002-G07-CIE</t>
  </si>
  <si>
    <t xml:space="preserve">Replicación</t>
  </si>
  <si>
    <t xml:space="preserve">2.4. Análisis de fenómenos cotidianos que involucran la replicación del ADN.</t>
  </si>
  <si>
    <t xml:space="preserve">Replicación del ADN, base de transmisión genética</t>
  </si>
  <si>
    <t xml:space="preserve">Razonar: analizar</t>
  </si>
  <si>
    <t xml:space="preserve">T1003-G07-CIE</t>
  </si>
  <si>
    <t xml:space="preserve">2.5. Simulación del proceso de replicación del ADN.</t>
  </si>
  <si>
    <t xml:space="preserve">Modelo de replicación del material genético</t>
  </si>
  <si>
    <t xml:space="preserve">T1004-G07-CIE</t>
  </si>
  <si>
    <t xml:space="preserve">2.6. Elaboración de recursos explicativos acerca del proceso de replicación del ADN.</t>
  </si>
  <si>
    <t xml:space="preserve">Recurso explicativo sobre replicación del ADN</t>
  </si>
  <si>
    <t xml:space="preserve">Aplicar: comunicar</t>
  </si>
  <si>
    <t xml:space="preserve">T1005-G07-CIE</t>
  </si>
  <si>
    <t xml:space="preserve">Polimorfismo y alelos</t>
  </si>
  <si>
    <t xml:space="preserve">2.7. Indagación del concepto de alelo a partir de fenómenos cotidianos.</t>
  </si>
  <si>
    <t xml:space="preserve">Concepto de alelo en la herencia de rasgos</t>
  </si>
  <si>
    <t xml:space="preserve">T1006-G07-CIE</t>
  </si>
  <si>
    <t xml:space="preserve">2.8. Visualización de polimorfismos a partir de casos.</t>
  </si>
  <si>
    <t xml:space="preserve">Polimorfismos: variantes genéticas y variación entre individuos</t>
  </si>
  <si>
    <t xml:space="preserve">Aplicar: analizar casos</t>
  </si>
  <si>
    <t xml:space="preserve">T1007-G07-CIE</t>
  </si>
  <si>
    <t xml:space="preserve">2.9. Investigación de enfermedades humanas causadas por alelos defectuosos.</t>
  </si>
  <si>
    <t xml:space="preserve">Enfermedades hereditarias por alelos defectuosos</t>
  </si>
  <si>
    <t xml:space="preserve">Razonar: evaluar información</t>
  </si>
  <si>
    <t xml:space="preserve">T1008-G07-CIE</t>
  </si>
  <si>
    <t xml:space="preserve">Genética clásica</t>
  </si>
  <si>
    <t xml:space="preserve">2.10. Relación cromosoma-alelo a partir de análisis de casos.</t>
  </si>
  <si>
    <t xml:space="preserve">Relación cromosoma-alelo en material genético</t>
  </si>
  <si>
    <t xml:space="preserve">Aplicar: analizar</t>
  </si>
  <si>
    <t xml:space="preserve">T1009-G07-CIE</t>
  </si>
  <si>
    <t xml:space="preserve">2.11. Ejercitación con leyes de Mendel mediante cruces hipotéticos.</t>
  </si>
  <si>
    <t xml:space="preserve">Leyes de Mendel y herencia de rasgos</t>
  </si>
  <si>
    <t xml:space="preserve">Aplicar: resolver problemas. Razonar: predecir</t>
  </si>
  <si>
    <t xml:space="preserve">T1010-G07-CIE</t>
  </si>
  <si>
    <t xml:space="preserve">2.12. Investigación de enfermedades humanas causadas por mutaciones cromosómicas.</t>
  </si>
  <si>
    <t xml:space="preserve">Mutaciones cromosómicas y enfermedades heredables</t>
  </si>
  <si>
    <t xml:space="preserve">T1011-G07-CIE</t>
  </si>
  <si>
    <t xml:space="preserve">Mecanismos de evolución</t>
  </si>
  <si>
    <t xml:space="preserve">2.13. Indagación de la heterogeneidad de una población a través de sus frecuencias genotípicas.</t>
  </si>
  <si>
    <t xml:space="preserve">Variación genética en poblaciones mediante frecuencias genotípicas</t>
  </si>
  <si>
    <t xml:space="preserve">Aplicar: calcular frecuencias</t>
  </si>
  <si>
    <t xml:space="preserve">T1012-G07-CIE</t>
  </si>
  <si>
    <t xml:space="preserve">2.14. Identificación de las fuerzas que incrementan y disminuyen la variabilidad genética.</t>
  </si>
  <si>
    <t xml:space="preserve">Fuerzas que modifican la variabilidad genética poblacional</t>
  </si>
  <si>
    <t xml:space="preserve">T1013-G07-CIE</t>
  </si>
  <si>
    <t xml:space="preserve">2.15. Descripción del proceso de resistencia bacteriana ante un antibiótico.</t>
  </si>
  <si>
    <t xml:space="preserve">Resistencia bacteriana como ejemplo de selección natural</t>
  </si>
  <si>
    <t xml:space="preserve">Razonar: explicar y justificar</t>
  </si>
  <si>
    <t xml:space="preserve">T1014-G07-CIE</t>
  </si>
  <si>
    <t xml:space="preserve">2.16. Simulación de la acción de las fuerzas evolutivas sobre una población.</t>
  </si>
  <si>
    <t xml:space="preserve">Simulación de selección y fuerzas evolutivas en poblaciones</t>
  </si>
  <si>
    <t xml:space="preserve">T1015-G07-CIE</t>
  </si>
  <si>
    <t xml:space="preserve">2.17. Diseño de un procedimiento para el mejoramiento genético de organismos.</t>
  </si>
  <si>
    <t xml:space="preserve">Mejoramiento genético: selección artificial de rasgos heredables</t>
  </si>
  <si>
    <t xml:space="preserve">Razonar: diseñar</t>
  </si>
  <si>
    <t xml:space="preserve">T1016-G07-CIE</t>
  </si>
  <si>
    <t xml:space="preserve">Unidad 3 - Biodiversidad</t>
  </si>
  <si>
    <t xml:space="preserve">3. Biodiversidad</t>
  </si>
  <si>
    <t xml:space="preserve">Importancia y niveles de la biodiversidad</t>
  </si>
  <si>
    <t xml:space="preserve">3.1. Indagación del concepto de biodiversidad y sus niveles.</t>
  </si>
  <si>
    <t xml:space="preserve">Biodiversidad y sus niveles; diversidad de organismos</t>
  </si>
  <si>
    <t xml:space="preserve">T1017-G07-CIE</t>
  </si>
  <si>
    <t xml:space="preserve">3.2. Reconocimiento de organismos de la localidad y sus usos.</t>
  </si>
  <si>
    <t xml:space="preserve">Reconocimiento de organismos locales; poco contenido disciplinar</t>
  </si>
  <si>
    <t xml:space="preserve">T1018-G07-CIE</t>
  </si>
  <si>
    <t xml:space="preserve">3.3. Cuantificación de la biodiversidad a nivel de especie.</t>
  </si>
  <si>
    <t xml:space="preserve">Riqueza y abundancia de especies en comunidades</t>
  </si>
  <si>
    <t xml:space="preserve">Aplicar: cuantificar. Razonar: comparar</t>
  </si>
  <si>
    <t xml:space="preserve">T1019-G07-CIE</t>
  </si>
  <si>
    <t xml:space="preserve">Agrupamiento de especies</t>
  </si>
  <si>
    <t xml:space="preserve">3.4. Indagación de los sistemas de clasificación de los seres vivos.</t>
  </si>
  <si>
    <t xml:space="preserve">Sistemas de clasificación de seres vivos</t>
  </si>
  <si>
    <t xml:space="preserve">T1020-G07-CIE</t>
  </si>
  <si>
    <t xml:space="preserve">3.5. Análisis de agrupamiento a partir de muestras biológicas.</t>
  </si>
  <si>
    <t xml:space="preserve">Criterios para agrupar organismos según rasgos</t>
  </si>
  <si>
    <t xml:space="preserve">Razonar: plantear criterios y comparar</t>
  </si>
  <si>
    <t xml:space="preserve">T1021-G07-CIE</t>
  </si>
  <si>
    <t xml:space="preserve">3.6. Identificación de sistemas de clasificación artificial.</t>
  </si>
  <si>
    <t xml:space="preserve">Clasificación artificial versus natural de organismos</t>
  </si>
  <si>
    <t xml:space="preserve">T1022-G07-CIE</t>
  </si>
  <si>
    <t xml:space="preserve">Taxonomía</t>
  </si>
  <si>
    <t xml:space="preserve">3.7. Indagación del significado y usos de los nombres científicos.</t>
  </si>
  <si>
    <t xml:space="preserve">Nombres científicos dentro de la clasificación taxonómica</t>
  </si>
  <si>
    <t xml:space="preserve">Conocer: aplicar reglas de nomenclatura</t>
  </si>
  <si>
    <t xml:space="preserve">T1023-G07-CIE</t>
  </si>
  <si>
    <t xml:space="preserve">3.8. Elaboración y uso de claves dicotómicas para la identificación taxonómica.</t>
  </si>
  <si>
    <t xml:space="preserve">Claves dicotómicas basadas en rasgos taxonómicos</t>
  </si>
  <si>
    <t xml:space="preserve">Aplicar: elaborar y usar claves</t>
  </si>
  <si>
    <t xml:space="preserve">T1024-G07-CIE</t>
  </si>
  <si>
    <t xml:space="preserve">3.9. Exploración de plataformas de biodiversidad.</t>
  </si>
  <si>
    <t xml:space="preserve">Consulta de información taxonómica en plataformas digitales</t>
  </si>
  <si>
    <t xml:space="preserve">Aplicar: usar plataformas. Razonar: evaluar información</t>
  </si>
  <si>
    <t xml:space="preserve">T1025-G07-CIE</t>
  </si>
  <si>
    <t xml:space="preserve">Sistemática y cladística</t>
  </si>
  <si>
    <t xml:space="preserve">3.10. Construcción del concepto de cladística a partir de agrupamientos.</t>
  </si>
  <si>
    <t xml:space="preserve">Cladística agrupa organismos por ancestros comunes</t>
  </si>
  <si>
    <t xml:space="preserve">Conocer: construir conceptos</t>
  </si>
  <si>
    <t xml:space="preserve">T1026-G07-CIE</t>
  </si>
  <si>
    <t xml:space="preserve">3.11. Reconocimiento de grupos a partir de cladogramas.</t>
  </si>
  <si>
    <t xml:space="preserve">Cladogramas: grupos y relaciones de ancestría común</t>
  </si>
  <si>
    <t xml:space="preserve">Aplicar: interpretar diagramas</t>
  </si>
  <si>
    <t xml:space="preserve">T1027-G07-CIE</t>
  </si>
  <si>
    <t xml:space="preserve">Sistema de los tres dominios</t>
  </si>
  <si>
    <t xml:space="preserve">3.12. Descripción de grupos taxonómicos con-templados en el sistema de los tres dominios.</t>
  </si>
  <si>
    <t xml:space="preserve">Grupos taxonómicos del sistema de tres dominios</t>
  </si>
  <si>
    <t xml:space="preserve">T1028-G07-CIE</t>
  </si>
  <si>
    <t xml:space="preserve">Unidad 4 - Ecología</t>
  </si>
  <si>
    <t xml:space="preserve">4. Ecología</t>
  </si>
  <si>
    <t xml:space="preserve">Interacciones ecológicas</t>
  </si>
  <si>
    <t xml:space="preserve">4.1. Identificación de interacciones ecológicas a partir de contextos prácticos.</t>
  </si>
  <si>
    <t xml:space="preserve">Interacciones ecológicas entre poblaciones del entorno</t>
  </si>
  <si>
    <t xml:space="preserve">T1029-G07-CIE</t>
  </si>
  <si>
    <t xml:space="preserve">4.2. Descripción de interacciones ecológicas observadas en contextos prácticos.</t>
  </si>
  <si>
    <t xml:space="preserve">Descripción de interacciones como depredación o simbiosis</t>
  </si>
  <si>
    <t xml:space="preserve">Aplicar: describir con lenguaje científico</t>
  </si>
  <si>
    <t xml:space="preserve">T1030-G07-CIE</t>
  </si>
  <si>
    <t xml:space="preserve">Ecología de poblaciones</t>
  </si>
  <si>
    <t xml:space="preserve">4.3. Indagación de los conceptos de especie y población.</t>
  </si>
  <si>
    <t xml:space="preserve">Conceptos de especie y población</t>
  </si>
  <si>
    <t xml:space="preserve">T1031-G07-CIE</t>
  </si>
  <si>
    <t xml:space="preserve">4.4. Experimentación con la dinámica y estructura de las poblaciones.</t>
  </si>
  <si>
    <t xml:space="preserve">Crecimiento y dinámica de población de levaduras</t>
  </si>
  <si>
    <t xml:space="preserve">T1032-G07-CIE</t>
  </si>
  <si>
    <t xml:space="preserve">Comunidades biológicas</t>
  </si>
  <si>
    <t xml:space="preserve">4.5. Identificación de las características y componentes de las comunidades biológicas.</t>
  </si>
  <si>
    <t xml:space="preserve">Comunidades: poblaciones interactuantes y sus componentes</t>
  </si>
  <si>
    <t xml:space="preserve">T1033-G07-CIE</t>
  </si>
  <si>
    <t xml:space="preserve">4.6. Aplicación de técnicas de muestreo de comunidades biológicas.</t>
  </si>
  <si>
    <t xml:space="preserve">Muestreo de comunidades para estimar poblaciones</t>
  </si>
  <si>
    <t xml:space="preserve">Aplicar: técnicas de muestreo. Razonar: evaluar</t>
  </si>
  <si>
    <t xml:space="preserve">T1034-G07-CIE</t>
  </si>
  <si>
    <t xml:space="preserve">4.7. Comparación de abundancia y riqueza de especies entre comunidades biológicas.</t>
  </si>
  <si>
    <t xml:space="preserve">Abundancia y riqueza de especies en comunidades</t>
  </si>
  <si>
    <t xml:space="preserve">T1035-G07-CIE</t>
  </si>
  <si>
    <t xml:space="preserve">4.8. Reconocimiento de la estructura general y las funciones principales de los ecosistemas.</t>
  </si>
  <si>
    <t xml:space="preserve">Estructura y funciones del ecosistema: energía y materia</t>
  </si>
  <si>
    <t xml:space="preserve">T1036-G07-CIE</t>
  </si>
  <si>
    <t xml:space="preserve">4.9. Identificación de contribuciones de la naturaleza a la gente (NCP) a partir de ejemplos del entorno.</t>
  </si>
  <si>
    <t xml:space="preserve">Beneficios de la naturaleza como recursos para personas</t>
  </si>
  <si>
    <t xml:space="preserve">Razonar: justificar</t>
  </si>
  <si>
    <t xml:space="preserve">T1037-G07-CIE</t>
  </si>
  <si>
    <t xml:space="preserve">4.10. Relación entre perturbaciones y sucesiones ecológicas.</t>
  </si>
  <si>
    <t xml:space="preserve">Perturbaciones y sucesión cambian poblaciones y comunidades</t>
  </si>
  <si>
    <t xml:space="preserve">Aplicar: relacionar conceptos</t>
  </si>
  <si>
    <t xml:space="preserve">T1038-G07-CIE</t>
  </si>
  <si>
    <t xml:space="preserve">Biogeografía</t>
  </si>
  <si>
    <t xml:space="preserve">4.11. Definición de biomas y sus criterios de clasificación.</t>
  </si>
  <si>
    <t xml:space="preserve">Biomas definidos por factores abióticos y clima</t>
  </si>
  <si>
    <t xml:space="preserve">T1039-G07-CIE</t>
  </si>
  <si>
    <t xml:space="preserve">4.12. Exploración de aplicaciones de las unidades biogeográficas.</t>
  </si>
  <si>
    <t xml:space="preserve">Aplicaciones de unidades biogeográficas, sin objetivo del marco</t>
  </si>
  <si>
    <t xml:space="preserve">Aplicar: ejemplificar</t>
  </si>
  <si>
    <t xml:space="preserve">T1040-G07-CIE</t>
  </si>
  <si>
    <t xml:space="preserve">Unidad 5 - Recurso hídrico</t>
  </si>
  <si>
    <t xml:space="preserve">5. Recurso hídrico</t>
  </si>
  <si>
    <t xml:space="preserve">La hidrósfera</t>
  </si>
  <si>
    <t xml:space="preserve">5.1. Indagación de las etapas y características generales del ciclo hidrológico natural y con intervención antrópica.</t>
  </si>
  <si>
    <t xml:space="preserve">Etapas del ciclo hidrológico natural y urbano</t>
  </si>
  <si>
    <t xml:space="preserve">T1041-G07-CIE</t>
  </si>
  <si>
    <t xml:space="preserve">5.2. Exploración de los tipos de cuencas hidrográficas y sus componentes principales.</t>
  </si>
  <si>
    <t xml:space="preserve">Cuencas hidrográficas como sistema de agua superficial</t>
  </si>
  <si>
    <t xml:space="preserve">T1042-G07-CIE</t>
  </si>
  <si>
    <t xml:space="preserve">5.3. Estimación de caudal y volumen de cuerpos de aguas superficiales.</t>
  </si>
  <si>
    <t xml:space="preserve">Caudal y volumen de cuerpos de agua superficiales</t>
  </si>
  <si>
    <t xml:space="preserve">T1043-G07-CIE</t>
  </si>
  <si>
    <t xml:space="preserve">5.4. Análisis de la fluctuación estacional de los principales cuerpos de agua superficiales de El Salvador.</t>
  </si>
  <si>
    <t xml:space="preserve">Fluctuación estacional de cuerpos de agua por lluvias</t>
  </si>
  <si>
    <t xml:space="preserve">T1044-G07-CIE</t>
  </si>
  <si>
    <t xml:space="preserve">5.5. Experimentación con variaciones en la infiltración y la distribución vertical del agua.</t>
  </si>
  <si>
    <t xml:space="preserve">Infiltración del agua en suelos, parte del ciclo</t>
  </si>
  <si>
    <t xml:space="preserve">Razonar: diseñar prueba justa y concluir</t>
  </si>
  <si>
    <t xml:space="preserve">T1045-G07-CIE</t>
  </si>
  <si>
    <t xml:space="preserve">5.6. Construcción de un modelo para representar los tipos de acuíferos.</t>
  </si>
  <si>
    <t xml:space="preserve">Acuíferos como reservorios de agua subterránea</t>
  </si>
  <si>
    <t xml:space="preserve">T1046-G07-CIE</t>
  </si>
  <si>
    <t xml:space="preserve">Recursos hídricos de El Salvador</t>
  </si>
  <si>
    <t xml:space="preserve">5.7. Identificación de las regiones hidrogeológicas de El Salvador a partir de mapas.</t>
  </si>
  <si>
    <t xml:space="preserve">Regiones hidrogeológicas del país y disponibilidad de agua</t>
  </si>
  <si>
    <t xml:space="preserve">T1047-G07-CIE</t>
  </si>
  <si>
    <t xml:space="preserve">Calidad del agua</t>
  </si>
  <si>
    <t xml:space="preserve">5.8. Reconocimiento de parámetros biológicos de calidad del agua.</t>
  </si>
  <si>
    <t xml:space="preserve">Bioindicadores revelan contaminación e impacto en el agua</t>
  </si>
  <si>
    <t xml:space="preserve">Aplicar: identificar. Razonar: interpretar</t>
  </si>
  <si>
    <t xml:space="preserve">T1048-G07-CIE</t>
  </si>
  <si>
    <t xml:space="preserve">5.9. Medición experimental de parámetros fisicoquímicos de calidad de agua.</t>
  </si>
  <si>
    <t xml:space="preserve">Parámetros fisicoquímicos (pH, etc.) de calidad del agua</t>
  </si>
  <si>
    <t xml:space="preserve">T1049-G07-CIE</t>
  </si>
  <si>
    <t xml:space="preserve">5.10. Reconocimiento de los usos potenciales del agua de acuerdo con su índice de calidad (ICA).</t>
  </si>
  <si>
    <t xml:space="preserve">Usos del agua según su índice de calidad</t>
  </si>
  <si>
    <t xml:space="preserve">Razonar: interpretar índices y justificar</t>
  </si>
  <si>
    <t xml:space="preserve">T1050-G07-CIE</t>
  </si>
  <si>
    <t xml:space="preserve">Atmósfera</t>
  </si>
  <si>
    <t xml:space="preserve">5.11. Reconocimiento de las características físicas de las capas atmosféricas.</t>
  </si>
  <si>
    <t xml:space="preserve">Capas atmosféricas y sus características físicas</t>
  </si>
  <si>
    <t xml:space="preserve">T1051-G07-CIE</t>
  </si>
  <si>
    <t xml:space="preserve">5.12. Reconocimiento de los principales parámetros que inciden en la calidad del aire.</t>
  </si>
  <si>
    <t xml:space="preserve">Contaminantes del aire, fuentes humanas y efectos</t>
  </si>
  <si>
    <t xml:space="preserve">T1052-G07-CIE</t>
  </si>
  <si>
    <t xml:space="preserve">5.13. Clasificación de la calidad del aire de acuerdo con el Índice Centroamericano de Calidad del Aire (ICCA).</t>
  </si>
  <si>
    <t xml:space="preserve">Interpretación de índice de calidad del aire</t>
  </si>
  <si>
    <t xml:space="preserve">Razonar: interpretar índices</t>
  </si>
  <si>
    <t xml:space="preserve">T1053-G07-CIE</t>
  </si>
  <si>
    <t xml:space="preserve">Dinámica atmosférica</t>
  </si>
  <si>
    <t xml:space="preserve">5.14. Manipulación de aplicaciones para la consulta y registro de parámetros meteorológicos.</t>
  </si>
  <si>
    <t xml:space="preserve">Registro de parámetros del tiempo atmosférico</t>
  </si>
  <si>
    <t xml:space="preserve">Aplicar: usar aplicaciones y registrar</t>
  </si>
  <si>
    <t xml:space="preserve">T1054-G07-CIE</t>
  </si>
  <si>
    <t xml:space="preserve">5.15. Construcción de dispositivos para la medición de parámetros meteorológicos.</t>
  </si>
  <si>
    <t xml:space="preserve">Medición de parámetros meteorológicos con instrumento propio</t>
  </si>
  <si>
    <t xml:space="preserve">Aplicar: construir. Razonar: evaluar</t>
  </si>
  <si>
    <t xml:space="preserve">T1055-G07-CIE</t>
  </si>
  <si>
    <t xml:space="preserve">5.16. Análisis de gráficos de registro de parámetros meteorológicos.</t>
  </si>
  <si>
    <t xml:space="preserve">Interpretación de gráficos de tiempo atmosférico</t>
  </si>
  <si>
    <t xml:space="preserve">T1056-G07-CIE</t>
  </si>
  <si>
    <t xml:space="preserve">5.17. Reconocimiento de las causas y características generales de los ciclones tropicales.</t>
  </si>
  <si>
    <t xml:space="preserve">Ciclones tropicales como fenómeno atmosférico</t>
  </si>
  <si>
    <t xml:space="preserve">T1057-G07-CIE</t>
  </si>
  <si>
    <t xml:space="preserve">5.18. Descripción de los parámetros meteorológicos empleados para clasificar los ciclones tropicales.</t>
  </si>
  <si>
    <t xml:space="preserve">Parámetros meteorológicos para clasificar ciclones</t>
  </si>
  <si>
    <t xml:space="preserve">Aplicar: clasificar con escalas</t>
  </si>
  <si>
    <t xml:space="preserve">T1058-G07-CIE</t>
  </si>
  <si>
    <t xml:space="preserve">Unidad 6 - Ambiente y energía</t>
  </si>
  <si>
    <t xml:space="preserve">6. Ambiente y energía</t>
  </si>
  <si>
    <t xml:space="preserve">Recursos y energía</t>
  </si>
  <si>
    <t xml:space="preserve">6.1. Indagación del concepto y las características fundamentales de los recursos naturales.</t>
  </si>
  <si>
    <t xml:space="preserve">Concepto y características de recursos naturales</t>
  </si>
  <si>
    <t xml:space="preserve">T1059-G07-CIE</t>
  </si>
  <si>
    <t xml:space="preserve">6.2. Demostración práctica de eficiencia y suministro de diferentes recursos energéticos.</t>
  </si>
  <si>
    <t xml:space="preserve">Comparación de eficiencia de fuentes de energía</t>
  </si>
  <si>
    <t xml:space="preserve">Razonar: comparar y justificar</t>
  </si>
  <si>
    <t xml:space="preserve">T1060-G07-CIE</t>
  </si>
  <si>
    <t xml:space="preserve">6.3. Exploración de los recursos energéticos utilizados en la comunidad.</t>
  </si>
  <si>
    <t xml:space="preserve">Fuentes de energía utilizadas en la comunidad</t>
  </si>
  <si>
    <t xml:space="preserve">Aplicar: recolectar y analizar datos</t>
  </si>
  <si>
    <t xml:space="preserve">T1061-G07-CIE</t>
  </si>
  <si>
    <t xml:space="preserve">Energías no renovables</t>
  </si>
  <si>
    <t xml:space="preserve">6.4. Indagación del aprovechamiento de los combustibles como energías no renovables.</t>
  </si>
  <si>
    <t xml:space="preserve">Combustibles como recursos energéticos no renovables</t>
  </si>
  <si>
    <t xml:space="preserve">T1062-G07-CIE</t>
  </si>
  <si>
    <t xml:space="preserve">6.5. Construcción de dispositivos de combustión para el aprovechamiento de energías no renovables.</t>
  </si>
  <si>
    <t xml:space="preserve">Combustión transforma energía química en térmica</t>
  </si>
  <si>
    <t xml:space="preserve">Razonar: evaluar</t>
  </si>
  <si>
    <t xml:space="preserve">T1063-G07-CIE</t>
  </si>
  <si>
    <t xml:space="preserve">6.6. Generalización del proceso de transformación de combustibles en energía eléctrica.</t>
  </si>
  <si>
    <t xml:space="preserve">Transformación de energía de combustibles en electricidad</t>
  </si>
  <si>
    <t xml:space="preserve">Aplicar: esquematizar</t>
  </si>
  <si>
    <t xml:space="preserve">T1064-G07-CIE</t>
  </si>
  <si>
    <t xml:space="preserve">Energías renovables</t>
  </si>
  <si>
    <t xml:space="preserve">6.7. Reconocimiento de la diversidad de procesos de aprovechamiento de las energías renovables.</t>
  </si>
  <si>
    <t xml:space="preserve">Procesos de aprovechamiento de energías renovables</t>
  </si>
  <si>
    <t xml:space="preserve">T1065-G07-CIE</t>
  </si>
  <si>
    <t xml:space="preserve">Energias renovables</t>
  </si>
  <si>
    <t xml:space="preserve">6.8. Construcción de dispositivos para el aprovechamiento de energías renovables.</t>
  </si>
  <si>
    <t xml:space="preserve">Dispositivo que transforma energía renovable</t>
  </si>
  <si>
    <t xml:space="preserve">T1066-G07-CIE</t>
  </si>
  <si>
    <t xml:space="preserve">6.9. Comparación entre los procesos de obtención y aprovechamiento de las energías renovables y no renovables.</t>
  </si>
  <si>
    <t xml:space="preserve">Comparación de fuentes renovables y no renovables</t>
  </si>
  <si>
    <t xml:space="preserve">T1067-G07-CIE</t>
  </si>
  <si>
    <t xml:space="preserve">Impacto ambiental</t>
  </si>
  <si>
    <t xml:space="preserve">6.10. Indagación de las perturbaciones ecosistémicas derivadas de la explotación energética.</t>
  </si>
  <si>
    <t xml:space="preserve">Impacto ecosistémico de la explotación energética</t>
  </si>
  <si>
    <t xml:space="preserve">Razonar: analizar casos</t>
  </si>
  <si>
    <t xml:space="preserve">T1068-G07-CIE</t>
  </si>
  <si>
    <t xml:space="preserve">6.11. Reconocimiento de las principales actividades humanas que impactan los ecosistemas naturales.</t>
  </si>
  <si>
    <t xml:space="preserve">Actividades humanas que impactan ecosistemas</t>
  </si>
  <si>
    <t xml:space="preserve">T1069-G07-CIE</t>
  </si>
  <si>
    <t xml:space="preserve">6.12. Cuantificación de impactos ambientales.</t>
  </si>
  <si>
    <t xml:space="preserve">Estimación cuantitativa de impactos ambientales humanos</t>
  </si>
  <si>
    <t xml:space="preserve">Aplicar: cuantificar</t>
  </si>
  <si>
    <t xml:space="preserve">T1070-G07-CIE</t>
  </si>
  <si>
    <t xml:space="preserve">Cambio climático</t>
  </si>
  <si>
    <t xml:space="preserve">6.13. Simulación de los fenómenos de efecto invernadero y lluvia ácida.</t>
  </si>
  <si>
    <t xml:space="preserve">Efecto invernadero y lluvia ácida simulados</t>
  </si>
  <si>
    <t xml:space="preserve">Aplicar: usar modelos. Razonar: interpretar</t>
  </si>
  <si>
    <t xml:space="preserve">T1071-G07-CIE</t>
  </si>
  <si>
    <t xml:space="preserve">6.14. Reconocimiento de acciones que impulsan el cambio climático antropogénico.</t>
  </si>
  <si>
    <t xml:space="preserve">Acciones humanas que impulsan el cambio climático</t>
  </si>
  <si>
    <t xml:space="preserve">T1072-G07-CIE</t>
  </si>
  <si>
    <t xml:space="preserve">6.15. Análisis de los efectos generales del cambio climático antropogénico.</t>
  </si>
  <si>
    <t xml:space="preserve">Efectos del cambio climático antropogénico</t>
  </si>
  <si>
    <t xml:space="preserve">T1073-G07-CIE</t>
  </si>
  <si>
    <t xml:space="preserve">Seguridad alimentaria y nutricional (SAN)</t>
  </si>
  <si>
    <t xml:space="preserve">6.16. Reconocimiento del uso actual y del potencial de los suelos para producción alimentaria en El Salvador.</t>
  </si>
  <si>
    <t xml:space="preserve">Uso actual y potencial del suelo para alimentos</t>
  </si>
  <si>
    <t xml:space="preserve">Aplicar: comparar mapas. Razonar: argumentar</t>
  </si>
  <si>
    <t xml:space="preserve">T1074-G07-CIE</t>
  </si>
  <si>
    <t xml:space="preserve">6.17. Comparación del rendimiento calórico de los cultivos alimenticios contra el consumo medio de estos.</t>
  </si>
  <si>
    <t xml:space="preserve">Aporte calórico de alimentos frente a consumo</t>
  </si>
  <si>
    <t xml:space="preserve">Aplicar: calcular. Razonar: interpretar</t>
  </si>
  <si>
    <t xml:space="preserve">T1075-G07-CIE</t>
  </si>
  <si>
    <t xml:space="preserve">6.18. Investigación de la cadena de suministro y almacenamiento de alimentos.</t>
  </si>
  <si>
    <t xml:space="preserve">Cadena de suministro de alimentos, tema ciencia-sociedad</t>
  </si>
  <si>
    <t xml:space="preserve">T1076-G07-CIE</t>
  </si>
  <si>
    <t xml:space="preserve">Introducción al desarrollo sostenible</t>
  </si>
  <si>
    <t xml:space="preserve">6.19. Indagación del concepto de sostenibilidad.</t>
  </si>
  <si>
    <t xml:space="preserve">Sostenibilidad ligada a conservación de recursos</t>
  </si>
  <si>
    <t xml:space="preserve">T1077-G07-CIE</t>
  </si>
  <si>
    <t xml:space="preserve">6.20. Determinación de prácticas que promueven la sostenibilidad ambiental.</t>
  </si>
  <si>
    <t xml:space="preserve">Prácticas humanas positivas para el ambiente</t>
  </si>
  <si>
    <t xml:space="preserve">Razonar: proponer y justificar</t>
  </si>
  <si>
    <t xml:space="preserve">T1078-G08-CIE</t>
  </si>
  <si>
    <t xml:space="preserve">Matriz_Ciencias_8vo_Grado_U1_U7.xlsx</t>
  </si>
  <si>
    <t xml:space="preserve">Unidad 1 - Mecánica</t>
  </si>
  <si>
    <t xml:space="preserve">1. Mecánica</t>
  </si>
  <si>
    <t xml:space="preserve">Instrumentos de medición</t>
  </si>
  <si>
    <t xml:space="preserve">1.1. Construcción y calibración de un instrumento de medición.</t>
  </si>
  <si>
    <t xml:space="preserve">Calibra dinamómetro: medición de fuerzas; énfasis procedimental de medición</t>
  </si>
  <si>
    <t xml:space="preserve">Aplicar: construir y calibrar. Razonar: evaluar</t>
  </si>
  <si>
    <t xml:space="preserve">T1079-G08-CIE</t>
  </si>
  <si>
    <t xml:space="preserve">1.2. Identificación de la técnica de medición de una magnitud física.</t>
  </si>
  <si>
    <t xml:space="preserve">Técnicas de medición directa/indirecta, procedimiento general sin contenido disciplinar</t>
  </si>
  <si>
    <t xml:space="preserve">Aplicar: seleccionar técnicas. Razonar: comparar</t>
  </si>
  <si>
    <t xml:space="preserve">T1080-G08-CIE</t>
  </si>
  <si>
    <t xml:space="preserve">1.3. Interpretación de las características de los gráficos.</t>
  </si>
  <si>
    <t xml:space="preserve">Análisis gráfico genérico (pendiente, área), herramienta matemática sin contenido específico</t>
  </si>
  <si>
    <t xml:space="preserve">T1081-G08-CIE</t>
  </si>
  <si>
    <t xml:space="preserve">Vectores</t>
  </si>
  <si>
    <t xml:space="preserve">1.4. Medición de las componentes de un vector en un par de ejes perpendiculares.</t>
  </si>
  <si>
    <t xml:space="preserve">Componentes vectoriales; base para magnitud y dirección de fuerzas</t>
  </si>
  <si>
    <t xml:space="preserve">T1082-G08-CIE</t>
  </si>
  <si>
    <t xml:space="preserve">1.5. Adición y sustracción de vectores por el método de las componentes rectangulares.</t>
  </si>
  <si>
    <t xml:space="preserve">Suma de vectores, aplicable a fuerzas con magnitud y dirección</t>
  </si>
  <si>
    <t xml:space="preserve">Aplicar: resolver problemas</t>
  </si>
  <si>
    <t xml:space="preserve">T1083-G08-CIE</t>
  </si>
  <si>
    <t xml:space="preserve">1.6. Aplicación de la técnica de diagrama de cuerpo libre a partir de la identificación experimental de fuerzas que actúan sobre un objeto.</t>
  </si>
  <si>
    <t xml:space="preserve">Diagrama de cuerpo libre: identificar fuerzas, magnitud y dirección</t>
  </si>
  <si>
    <t xml:space="preserve">T1084-G08-CIE</t>
  </si>
  <si>
    <t xml:space="preserve">Movimiento en una y dos dimensiones</t>
  </si>
  <si>
    <t xml:space="preserve">1.7. Resolución de problemas empleando las leyes del movimiento de Newton.</t>
  </si>
  <si>
    <t xml:space="preserve">Leyes de Newton para predecir cambios de movimiento por fuerzas</t>
  </si>
  <si>
    <t xml:space="preserve">T1085-G08-CIE</t>
  </si>
  <si>
    <t xml:space="preserve">1.8. Resolución de problemas acerca del movimiento rectilíneo emplendo interpretación de gráficas.</t>
  </si>
  <si>
    <t xml:space="preserve">MRU y MRUV: rapidez y aceleración con gráficas</t>
  </si>
  <si>
    <t xml:space="preserve">Aplicar: interpretar gráficas y resolver</t>
  </si>
  <si>
    <t xml:space="preserve">T1086-G08-CIE</t>
  </si>
  <si>
    <t xml:space="preserve">1.9. Resolución de problemas acerca del movimiento parabólico emplendo interpretación de gráficas.</t>
  </si>
  <si>
    <t xml:space="preserve">Movimiento parabólico: velocidad y aceleración en dos dimensiones</t>
  </si>
  <si>
    <t xml:space="preserve">T1087-G08-CIE</t>
  </si>
  <si>
    <t xml:space="preserve">Movimiento de rotación</t>
  </si>
  <si>
    <t xml:space="preserve">1.10. Reconocimiento del torque como la causa del equilbrio rotacional.</t>
  </si>
  <si>
    <t xml:space="preserve">Torque y equilibrio rotacional, base de palancas y máquinas simples</t>
  </si>
  <si>
    <t xml:space="preserve">Aplicar: calcular. Razonar: explicar</t>
  </si>
  <si>
    <t xml:space="preserve">T1088-G08-CIE</t>
  </si>
  <si>
    <t xml:space="preserve">1.11. Cálculo de magnitudes cinemáticas del movimiento circular uniforme a partir de resultados experimentales.</t>
  </si>
  <si>
    <t xml:space="preserve">Magnitudes cinemáticas del movimiento circular: rapidez, aceleración</t>
  </si>
  <si>
    <t xml:space="preserve">T1089-G08-CIE</t>
  </si>
  <si>
    <t xml:space="preserve">Momento lineal</t>
  </si>
  <si>
    <t xml:space="preserve">1.12. Indagación del cambio del momento lineal en objetos a partir de la experimentación con fuerza y tiempo.</t>
  </si>
  <si>
    <t xml:space="preserve">Cambio de momento por fuerza y tiempo: predecir cambios de movimiento</t>
  </si>
  <si>
    <t xml:space="preserve">T1090-G08-CIE</t>
  </si>
  <si>
    <t xml:space="preserve">1.13. Experimentación con el cambio del momento lineal de objetos.</t>
  </si>
  <si>
    <t xml:space="preserve">Impulso y cambio de movimiento de objetos</t>
  </si>
  <si>
    <t xml:space="preserve">T1091-G08-CIE</t>
  </si>
  <si>
    <t xml:space="preserve">1.14. Cálculo del momento lineal total.</t>
  </si>
  <si>
    <t xml:space="preserve">Conservación del momento lineal; predicción de movimiento tras interacción</t>
  </si>
  <si>
    <t xml:space="preserve">T1092-G08-CIE</t>
  </si>
  <si>
    <t xml:space="preserve">2. Energía</t>
  </si>
  <si>
    <t xml:space="preserve">Teorema del trabajo y la energía cinética</t>
  </si>
  <si>
    <t xml:space="preserve">2.1. Indagación del concepto de trabajo utilizando máquinas simples.</t>
  </si>
  <si>
    <t xml:space="preserve">Trabajo explorado con máquinas simples</t>
  </si>
  <si>
    <t xml:space="preserve">Conocer: definir. Aplicar: medir</t>
  </si>
  <si>
    <t xml:space="preserve">T1093-G08-CIE</t>
  </si>
  <si>
    <t xml:space="preserve">2.2. Resolución de problemas empleando el teorema del trabajo y la energía cinética.</t>
  </si>
  <si>
    <t xml:space="preserve">Teorema trabajo-energía cinética: transferencia y transformación de energía</t>
  </si>
  <si>
    <t xml:space="preserve">T1094-G08-CIE</t>
  </si>
  <si>
    <t xml:space="preserve">2.3. Interpretación de los signos matemáticos del trabajo a partir de la experimentación.</t>
  </si>
  <si>
    <t xml:space="preserve">Signo del trabajo como energía ganada o perdida</t>
  </si>
  <si>
    <t xml:space="preserve">Aplicar: interpretar</t>
  </si>
  <si>
    <t xml:space="preserve">T1095-G08-CIE</t>
  </si>
  <si>
    <t xml:space="preserve">Tipos de energía mecánica</t>
  </si>
  <si>
    <t xml:space="preserve">2.4. Indagación del concepto de trabajo de rotación.</t>
  </si>
  <si>
    <t xml:space="preserve">Trabajo de rotación como forma de transferir energía</t>
  </si>
  <si>
    <t xml:space="preserve">Conocer: ejemplificar</t>
  </si>
  <si>
    <t xml:space="preserve">T1096-G08-CIE</t>
  </si>
  <si>
    <t xml:space="preserve">2.5. Experimentación con el momento de inercia en objetos con movimiento rotacional.</t>
  </si>
  <si>
    <t xml:space="preserve">Momento de inercia y cambios en el movimiento rotacional</t>
  </si>
  <si>
    <t xml:space="preserve">T1097-G08-CIE</t>
  </si>
  <si>
    <t xml:space="preserve">2.6. Cálculo de la energía total a partir de las energías cinética y potencial de objetos que se trasladan y rotan.</t>
  </si>
  <si>
    <t xml:space="preserve">Energías cinética y potencial; energía total</t>
  </si>
  <si>
    <t xml:space="preserve">T1098-G08-CIE</t>
  </si>
  <si>
    <t xml:space="preserve">Principio de conservacion de la energía mecánica</t>
  </si>
  <si>
    <t xml:space="preserve">2.7. Experimentación con la ley de conservación de la energía mecánica.</t>
  </si>
  <si>
    <t xml:space="preserve">Razonar: interpretar datos</t>
  </si>
  <si>
    <t xml:space="preserve">T1099-G08-CIE</t>
  </si>
  <si>
    <t xml:space="preserve">2.8. Interpretación de las características de las gráficas de energía cinética y potencial obtenidas a partir de un experimento.</t>
  </si>
  <si>
    <t xml:space="preserve">Transformación cinética-potencial en el péndulo</t>
  </si>
  <si>
    <t xml:space="preserve">T1100-G08-CIE</t>
  </si>
  <si>
    <t xml:space="preserve">Potencia mecánica</t>
  </si>
  <si>
    <t xml:space="preserve">2.9. Indagación del concepto de potencia mecánica.</t>
  </si>
  <si>
    <t xml:space="preserve">Potencia como rapidez de transferencia de energía en máquinas simples</t>
  </si>
  <si>
    <t xml:space="preserve">Conocer: definir. Aplicar: calcular</t>
  </si>
  <si>
    <t xml:space="preserve">T1101-G08-CIE</t>
  </si>
  <si>
    <t xml:space="preserve">2.10. Cálculo experimental de la potencia mecánica de máquinas para la obtención del momento lineal.</t>
  </si>
  <si>
    <t xml:space="preserve">Potencia mecánica de máquinas: transferencia de energía</t>
  </si>
  <si>
    <t xml:space="preserve">T1102-G08-CIE</t>
  </si>
  <si>
    <t xml:space="preserve">2.11. Resolución de problemas acerca de la potencia mecánica.</t>
  </si>
  <si>
    <t xml:space="preserve">Problemas de potencia mecánica (energía por tiempo)</t>
  </si>
  <si>
    <t xml:space="preserve">T1103-G08-CIE</t>
  </si>
  <si>
    <t xml:space="preserve">Unidad 3 - Ondas mecánicas</t>
  </si>
  <si>
    <t xml:space="preserve">3. Ondas mecánicas</t>
  </si>
  <si>
    <t xml:space="preserve">Energía mecánica del movimiento armónico simple (MAS)</t>
  </si>
  <si>
    <t xml:space="preserve">3.1. Indagación de las fuerzas que realizan trabajo sobre un péndulo simple.</t>
  </si>
  <si>
    <t xml:space="preserve">Fuerzas sobre el péndulo y su trabajo</t>
  </si>
  <si>
    <t xml:space="preserve">Aplicar: analizar fuerzas</t>
  </si>
  <si>
    <t xml:space="preserve">T1104-G08-CIE</t>
  </si>
  <si>
    <t xml:space="preserve">3.2. Experimentación para identificar la transformación de la energía del péndulo simple.</t>
  </si>
  <si>
    <t xml:space="preserve">Transformación de energía en el péndulo simple</t>
  </si>
  <si>
    <t xml:space="preserve">T1105-G08-CIE</t>
  </si>
  <si>
    <t xml:space="preserve">3.3. Interpretación de las características de las gráficas de energía del oscilador armónico simple.</t>
  </si>
  <si>
    <t xml:space="preserve">Gráficas de energía del oscilador: transformación y conservación</t>
  </si>
  <si>
    <t xml:space="preserve">T1106-G08-CIE</t>
  </si>
  <si>
    <t xml:space="preserve">Medición del MAS</t>
  </si>
  <si>
    <t xml:space="preserve">3.4. Medición directa del período y de la amplitud de oscilación de un péndulo simple.</t>
  </si>
  <si>
    <t xml:space="preserve">Período y amplitud del péndulo: descripción del movimiento oscilatorio</t>
  </si>
  <si>
    <t xml:space="preserve">Aplicar: medir. Razonar: identificar variables</t>
  </si>
  <si>
    <t xml:space="preserve">T1107-G08-CIE</t>
  </si>
  <si>
    <t xml:space="preserve">3.5. Cálculo experimental de una altura empleando el período de oscilación de un péndulo simple.</t>
  </si>
  <si>
    <t xml:space="preserve">Uso del período del péndulo; movimiento oscilatorio, fuera de TIMSS estricto</t>
  </si>
  <si>
    <t xml:space="preserve">T1108-G08-CIE</t>
  </si>
  <si>
    <t xml:space="preserve">3.6. Diseño de un experimento para determinar una altura empleando un péndulo simple.</t>
  </si>
  <si>
    <t xml:space="preserve">Diseño experimental con péndulo; contenido oscilatorio poco cubierto</t>
  </si>
  <si>
    <t xml:space="preserve">T1109-G08-CIE</t>
  </si>
  <si>
    <t xml:space="preserve">Movimiento ondulatorio y sonido</t>
  </si>
  <si>
    <t xml:space="preserve">3.7. Identificación experimental del tipo de onda a partir del movimiento de la fuente de vibración de cuerdas.</t>
  </si>
  <si>
    <t xml:space="preserve">Ondas transversales/longitudinales en cuerdas que producen sonido</t>
  </si>
  <si>
    <t xml:space="preserve">T1110-G08-CIE</t>
  </si>
  <si>
    <t xml:space="preserve">3.8. Identificación experimental de las magnitudes y las condiciones que varían la frecuencia o el tono del sonido producido en cuerdas.</t>
  </si>
  <si>
    <t xml:space="preserve">Frecuencia y tono del sonido en cuerdas</t>
  </si>
  <si>
    <t xml:space="preserve">Aplicar: medir. Razonar: relacionar</t>
  </si>
  <si>
    <t xml:space="preserve">T1111-G08-CIE</t>
  </si>
  <si>
    <t xml:space="preserve">3.9. Resolución de problemas teóricos a partir de las gráficas de desplazamiento contra posición, y de desplazamiento contra tiempo de una onda transversal.</t>
  </si>
  <si>
    <t xml:space="preserve">Gráficas de ondas mecánicas relacionadas con sonido</t>
  </si>
  <si>
    <t xml:space="preserve">T1112-G08-CIE</t>
  </si>
  <si>
    <t xml:space="preserve">3.10. Identificación experimental del tipo de onda a partir del movimiento de la fuente de vibración en columnas de aire.</t>
  </si>
  <si>
    <t xml:space="preserve">Ondas sonoras en columnas de aire</t>
  </si>
  <si>
    <t xml:space="preserve">T1113-G08-CIE</t>
  </si>
  <si>
    <t xml:space="preserve">3.11. Identificación experimental de las magnitudes y las condiciones que varían la frecuencia o el tono del sonido producido en tubos de aire.</t>
  </si>
  <si>
    <t xml:space="preserve">Frecuencia y tono del sonido en tubos</t>
  </si>
  <si>
    <t xml:space="preserve">T1114-G08-CIE</t>
  </si>
  <si>
    <t xml:space="preserve">3.12. Resolución de problemas teóricos a partir de las gráficas de presión de aire contra distancia, y de densidad de aire contra distancia de una onda longitudinal.</t>
  </si>
  <si>
    <t xml:space="preserve">Ondas longitudinales de presión: naturaleza del sonido</t>
  </si>
  <si>
    <t xml:space="preserve">T1115-G08-CIE</t>
  </si>
  <si>
    <t xml:space="preserve">Unidad 4 - Estequiometría y dis</t>
  </si>
  <si>
    <t xml:space="preserve">4. Estequiometría y dispersiones</t>
  </si>
  <si>
    <t xml:space="preserve">Unidades físicas de concentración</t>
  </si>
  <si>
    <t xml:space="preserve">4.1. Identificación de las unidades físicas de concentración en sustancias de uso cotidiano.</t>
  </si>
  <si>
    <t xml:space="preserve">Concentración de disoluciones cotidianas</t>
  </si>
  <si>
    <t xml:space="preserve">T1116-G08-CIE</t>
  </si>
  <si>
    <t xml:space="preserve">4.2. Cálculo de cantidad de soluto o concentración de soluciones empleando las unidades físicas de concentración.</t>
  </si>
  <si>
    <t xml:space="preserve">Cálculo de concentración y soluto en disoluciones</t>
  </si>
  <si>
    <t xml:space="preserve">T1117-G08-CIE</t>
  </si>
  <si>
    <t xml:space="preserve">4.3. Exploración de las aplicaciones cotidianas, industriales y ambientales de las unidades físicas de concentración.</t>
  </si>
  <si>
    <t xml:space="preserve">Aplicaciones de la concentración de disoluciones</t>
  </si>
  <si>
    <t xml:space="preserve">T1118-G08-CIE</t>
  </si>
  <si>
    <t xml:space="preserve">Relaciones estequiométricas</t>
  </si>
  <si>
    <t xml:space="preserve">4.4. Reconocimiento del significado del número de Avogadro.</t>
  </si>
  <si>
    <t xml:space="preserve">Mol y Avogadro: materia compuesta de partículas</t>
  </si>
  <si>
    <t xml:space="preserve">T1119-G08-CIE</t>
  </si>
  <si>
    <t xml:space="preserve">4.5. Cálculo de la cantidad de partículas y moles de una sustancia empleando el número de Avogadro.</t>
  </si>
  <si>
    <t xml:space="preserve">Cantidad de partículas (átomos/moléculas) en una sustancia</t>
  </si>
  <si>
    <t xml:space="preserve">T1120-G08-CIE</t>
  </si>
  <si>
    <t xml:space="preserve">4.6. Uso de las masas atómicas relativas para calcular la masa molar.</t>
  </si>
  <si>
    <t xml:space="preserve">Masa molar desde masas atómicas; átomos y moléculas</t>
  </si>
  <si>
    <t xml:space="preserve">T1121-G08-CIE</t>
  </si>
  <si>
    <t xml:space="preserve">4.7. Ejecución de cálculos estequiométricos para determinar cantidades de sustancia en gramos.</t>
  </si>
  <si>
    <t xml:space="preserve">Cálculos estequiométricos basados en conservación de la masa</t>
  </si>
  <si>
    <t xml:space="preserve">T1122-G08-CIE</t>
  </si>
  <si>
    <t xml:space="preserve">4.8. Interpretación de resultados de cálculos estequiométricos.</t>
  </si>
  <si>
    <t xml:space="preserve">Interpretación estequiométrica y rendimiento; conservación de materia</t>
  </si>
  <si>
    <t xml:space="preserve">Razonar: interpretar resultados</t>
  </si>
  <si>
    <t xml:space="preserve">T1123-G08-CIE</t>
  </si>
  <si>
    <t xml:space="preserve">Unidades químicas de concentración</t>
  </si>
  <si>
    <t xml:space="preserve">4.9. Identificación de las unidades químicas de concentración en sustancias de uso cotidiano.</t>
  </si>
  <si>
    <t xml:space="preserve">Unidades químicas de concentración de disoluciones</t>
  </si>
  <si>
    <t xml:space="preserve">T1124-G08-CIE</t>
  </si>
  <si>
    <t xml:space="preserve">4.10. Cálculo de concentraciones, gramos y moles de soluto empleando unidades químicas de concentración.</t>
  </si>
  <si>
    <t xml:space="preserve">Cálculo de concentración molar de disoluciones</t>
  </si>
  <si>
    <t xml:space="preserve">Aplicar: calcular y preparar</t>
  </si>
  <si>
    <t xml:space="preserve">T1125-G08-CIE</t>
  </si>
  <si>
    <t xml:space="preserve">4.11. Reconocimiento de las aplicaciones industriales de las unidades químicas de concentración.</t>
  </si>
  <si>
    <t xml:space="preserve">Aplicaciones industriales de concentración de disoluciones</t>
  </si>
  <si>
    <t xml:space="preserve">T1126-G08-CIE</t>
  </si>
  <si>
    <t xml:space="preserve">Dispersiones químicas</t>
  </si>
  <si>
    <t xml:space="preserve">4.12. Identificación de dispersiones químicas en sustancias de uso cotidiano.</t>
  </si>
  <si>
    <t xml:space="preserve">Suspensiones, coloides y soluciones como tipos de mezclas</t>
  </si>
  <si>
    <t xml:space="preserve">T1127-G08-CIE</t>
  </si>
  <si>
    <t xml:space="preserve">4.13. Clasificación de las dispersiones químicas de acuerdo con sus propiedades.</t>
  </si>
  <si>
    <t xml:space="preserve">Clasificar dispersiones (mezclas) según propiedades</t>
  </si>
  <si>
    <t xml:space="preserve">T1128-G08-CIE</t>
  </si>
  <si>
    <t xml:space="preserve">4.14. Exploración de los diferentes tipos de dispersiones químicas y sus aplicaciones.</t>
  </si>
  <si>
    <t xml:space="preserve">Tipos de dispersiones y sus aplicaciones</t>
  </si>
  <si>
    <t xml:space="preserve">T1129-G08-CIE</t>
  </si>
  <si>
    <t xml:space="preserve">4.15. Clasificación de las soluciones químicas con base en la cantidad de soluto.</t>
  </si>
  <si>
    <t xml:space="preserve">Soluciones diluidas, concentradas, saturadas según soluto</t>
  </si>
  <si>
    <t xml:space="preserve">T1130-G08-CIE</t>
  </si>
  <si>
    <t xml:space="preserve">Dispersiones químicas.</t>
  </si>
  <si>
    <t xml:space="preserve">4.16. Experimentación con los factores que afectan la solubilidad.</t>
  </si>
  <si>
    <t xml:space="preserve">Factores que afectan la disolución</t>
  </si>
  <si>
    <t xml:space="preserve">T1131-G08-CIE</t>
  </si>
  <si>
    <t xml:space="preserve">4.17. Representación del comportamiento de las partículas según los factores que afectan la solubilidad.</t>
  </si>
  <si>
    <t xml:space="preserve">Modelo de partículas para factores de solubilidad</t>
  </si>
  <si>
    <t xml:space="preserve">T1132-G08-CIE</t>
  </si>
  <si>
    <t xml:space="preserve">Propiedades coligativas de las soluciones</t>
  </si>
  <si>
    <t xml:space="preserve">4.18. Demostración de las propiedades coligativas.</t>
  </si>
  <si>
    <t xml:space="preserve">Propiedades coligativas: soluto modifica puntos de ebullición y congelación</t>
  </si>
  <si>
    <t xml:space="preserve">T1133-G08-CIE</t>
  </si>
  <si>
    <t xml:space="preserve">Propiedades coligativas de las soluciones.</t>
  </si>
  <si>
    <t xml:space="preserve">4.19. Experimentación con las propiedades coligativas.</t>
  </si>
  <si>
    <t xml:space="preserve">Experimento: sal modifica temperatura de congelación/ebullición</t>
  </si>
  <si>
    <t xml:space="preserve">T1134-G08-CIE</t>
  </si>
  <si>
    <t xml:space="preserve">4.20. Descripción de las aplicaciones industriales de las propiedades coligativas.</t>
  </si>
  <si>
    <t xml:space="preserve">Aplicaciones de propiedades coligativas de disoluciones</t>
  </si>
  <si>
    <t xml:space="preserve">Aplicar: describir. Razonar: justificar</t>
  </si>
  <si>
    <t xml:space="preserve">T1135-G08-CIE</t>
  </si>
  <si>
    <t xml:space="preserve">Unidad 5 - Minerales</t>
  </si>
  <si>
    <t xml:space="preserve">5. Minerales</t>
  </si>
  <si>
    <t xml:space="preserve">¿Qué es un mineral?</t>
  </si>
  <si>
    <t xml:space="preserve">5.1. Indagación de la ocurrencia de minerales en la vida cotidiana.</t>
  </si>
  <si>
    <t xml:space="preserve">Minerales como recursos usados en objetos cotidianos</t>
  </si>
  <si>
    <t xml:space="preserve">T1136-G08-CIE</t>
  </si>
  <si>
    <t xml:space="preserve">Propiedades de los minerales</t>
  </si>
  <si>
    <t xml:space="preserve">5.2. Caracterización de los minerales con base en sus propiedades físicas.</t>
  </si>
  <si>
    <t xml:space="preserve">Clasificar minerales por propiedades físicas</t>
  </si>
  <si>
    <t xml:space="preserve">Aplicar: caracterizar</t>
  </si>
  <si>
    <t xml:space="preserve">T1137-G08-CIE</t>
  </si>
  <si>
    <t xml:space="preserve">5.3. Reconocimiento de las combinaciones de elementos químicos presentes en los minerales.</t>
  </si>
  <si>
    <t xml:space="preserve">Minerales como compuestos de elementos químicos</t>
  </si>
  <si>
    <t xml:space="preserve">T1138-G08-CIE</t>
  </si>
  <si>
    <t xml:space="preserve">Estructura</t>
  </si>
  <si>
    <t xml:space="preserve">5.4. Indagación del proceso de formación de cristales a partir de un experimento.</t>
  </si>
  <si>
    <t xml:space="preserve">Formación de cristales (minerales) por cristalización desde solución</t>
  </si>
  <si>
    <t xml:space="preserve">Razonar: diseñar y comprobar</t>
  </si>
  <si>
    <t xml:space="preserve">T1139-G08-CIE</t>
  </si>
  <si>
    <t xml:space="preserve">5.5. Determinación del hábito cristalino de un mineral preparado experimentalmente.</t>
  </si>
  <si>
    <t xml:space="preserve">Hábito cristalino como propiedad física para identificar minerales</t>
  </si>
  <si>
    <t xml:space="preserve">T1140-G08-CIE</t>
  </si>
  <si>
    <t xml:space="preserve">5.6. Reconocimiento de las estructuras cristalinas de los minerales.</t>
  </si>
  <si>
    <t xml:space="preserve">Red cristalina: disposición de partículas en sólidos</t>
  </si>
  <si>
    <t xml:space="preserve">T1141-G08-CIE</t>
  </si>
  <si>
    <t xml:space="preserve">Minerales y rocas</t>
  </si>
  <si>
    <t xml:space="preserve">5.7. Exploración de los minerales presentes según los tipos de roca.</t>
  </si>
  <si>
    <t xml:space="preserve">Minerales según tipo de roca; vínculo con ciclo de las rocas</t>
  </si>
  <si>
    <t xml:space="preserve">T1142-G08-CIE</t>
  </si>
  <si>
    <t xml:space="preserve">Usos de los minerales</t>
  </si>
  <si>
    <t xml:space="preserve">5.8. Ubicación de los principales yacimientos mineralógicos de El Salvador.</t>
  </si>
  <si>
    <t xml:space="preserve">Yacimientos minerales como recursos no renovables del país</t>
  </si>
  <si>
    <t xml:space="preserve">T1143-G08-CIE</t>
  </si>
  <si>
    <t xml:space="preserve">5.9. Análisis de los impactos de la minería y su regulación en El Salvador.</t>
  </si>
  <si>
    <t xml:space="preserve">Impactos ambientales de la minería y explotación de recursos</t>
  </si>
  <si>
    <t xml:space="preserve">Razonar: evaluar evidencia y argumentar</t>
  </si>
  <si>
    <t xml:space="preserve">T1144-G08-CIE</t>
  </si>
  <si>
    <t xml:space="preserve">Unidad 6 - Anatomía y fisiologí</t>
  </si>
  <si>
    <t xml:space="preserve">6. Anatomía y fisiología vegetal</t>
  </si>
  <si>
    <t xml:space="preserve">Los tejidos vegetales</t>
  </si>
  <si>
    <t xml:space="preserve">6.1. Indagación de propiedades de los tejidos vegetales a partir de pruebas físicas y químicas.</t>
  </si>
  <si>
    <t xml:space="preserve">Propiedades de tejidos vegetales</t>
  </si>
  <si>
    <t xml:space="preserve">Aplicar: experimentar</t>
  </si>
  <si>
    <t xml:space="preserve">T1145-G08-CIE</t>
  </si>
  <si>
    <t xml:space="preserve">6.2. Identificación práctica de tejidos vegetales.</t>
  </si>
  <si>
    <t xml:space="preserve">Identificación de tejidos vegetales</t>
  </si>
  <si>
    <t xml:space="preserve">T1146-G08-CIE</t>
  </si>
  <si>
    <t xml:space="preserve">6.3. Comparación de las adaptaciones estructurales de las células vegetales dentro de los tejidos.</t>
  </si>
  <si>
    <t xml:space="preserve">Adaptaciones estructurales de células vegetales en tejidos</t>
  </si>
  <si>
    <t xml:space="preserve">T1147-G08-CIE</t>
  </si>
  <si>
    <t xml:space="preserve">Transporte de sustancias</t>
  </si>
  <si>
    <t xml:space="preserve">6.4. Demostración experimental de la conducción y el almacenamiento de sustancias a través de los órganos vegetales.</t>
  </si>
  <si>
    <t xml:space="preserve">Conducción y almacenamiento en órganos vegetales</t>
  </si>
  <si>
    <t xml:space="preserve">T1148-G08-CIE</t>
  </si>
  <si>
    <t xml:space="preserve">6.5. Exploración de estructuras vegetales para la conducción y el almacenamiento de sustancias.</t>
  </si>
  <si>
    <t xml:space="preserve">Estructuras vegetales de conducción y almacenamiento y su función</t>
  </si>
  <si>
    <t xml:space="preserve">T1149-G08-CIE</t>
  </si>
  <si>
    <t xml:space="preserve">6.6. Elaboración de un catálogo histológico a partir de muestras vegetales.</t>
  </si>
  <si>
    <t xml:space="preserve">Catálogo histológico: tejidos vegetales</t>
  </si>
  <si>
    <t xml:space="preserve">T1150-G08-CIE</t>
  </si>
  <si>
    <t xml:space="preserve">Desarrollo y reproducción vegetal</t>
  </si>
  <si>
    <t xml:space="preserve">6.7. Experimentación con las condiciones de germinación y crecimiento de plantas.</t>
  </si>
  <si>
    <t xml:space="preserve">Germinación y condiciones de crecimiento de plantas</t>
  </si>
  <si>
    <t xml:space="preserve">T1151-G08-CIE</t>
  </si>
  <si>
    <t xml:space="preserve">6.8. Caracterización de las regiones meristemáticas en muestras vegetales.</t>
  </si>
  <si>
    <t xml:space="preserve">Meristemos como regiones de crecimiento vegetal</t>
  </si>
  <si>
    <t xml:space="preserve">T1152-G08-CIE</t>
  </si>
  <si>
    <t xml:space="preserve">6.9. Experimentación con las condiciones de maduración de los frutos.</t>
  </si>
  <si>
    <t xml:space="preserve">Maduración del fruto como etapa del ciclo de vida vegetal</t>
  </si>
  <si>
    <t xml:space="preserve">Razonar: plantear experimentos</t>
  </si>
  <si>
    <t xml:space="preserve">T1153-G08-CIE</t>
  </si>
  <si>
    <t xml:space="preserve">La hoja y sus funciones</t>
  </si>
  <si>
    <t xml:space="preserve">6.10. Indagación de las funciones fisiológicas de las hojas.</t>
  </si>
  <si>
    <t xml:space="preserve">Funciones de la hoja: fotosíntesis, transpiración, control estomático</t>
  </si>
  <si>
    <t xml:space="preserve">Aplicar: observar</t>
  </si>
  <si>
    <t xml:space="preserve">T1154-G08-CIE</t>
  </si>
  <si>
    <t xml:space="preserve">6.11. Experimentación con los procesos de transpiración y fotosíntesis en plantas.</t>
  </si>
  <si>
    <t xml:space="preserve">Experimento de fotosíntesis y transpiración</t>
  </si>
  <si>
    <t xml:space="preserve">Aplicar: experimentar. Razonar: interpretar</t>
  </si>
  <si>
    <t xml:space="preserve">T1155-G08-CIE</t>
  </si>
  <si>
    <t xml:space="preserve">6.12. Explicación de las principales funciones fisiológicas de las hojas.</t>
  </si>
  <si>
    <t xml:space="preserve">Funciones fisiológicas de la hoja centradas en fotosíntesis</t>
  </si>
  <si>
    <t xml:space="preserve">T1156-G08-CIE</t>
  </si>
  <si>
    <t xml:space="preserve">Unidad 7 - Anatomía y Fisiologí</t>
  </si>
  <si>
    <t xml:space="preserve">7. Anatomía y Fisiología Animal</t>
  </si>
  <si>
    <t xml:space="preserve">Tipos de tejidos animales</t>
  </si>
  <si>
    <t xml:space="preserve">7.1. Reconocimiento de las principales características estructurales y funcionales de los tejidos animales fundamentales.</t>
  </si>
  <si>
    <t xml:space="preserve">Tejidos animales: estructura y función</t>
  </si>
  <si>
    <t xml:space="preserve">T1157-G08-CIE</t>
  </si>
  <si>
    <t xml:space="preserve">7.2. Representación de los tejidos animales fundamentales.</t>
  </si>
  <si>
    <t xml:space="preserve">Modelos de tejidos animales</t>
  </si>
  <si>
    <t xml:space="preserve">T1158-G08-CIE</t>
  </si>
  <si>
    <t xml:space="preserve">7.3. Explicación de las características y funciones de los tejidos animales fundamentales.</t>
  </si>
  <si>
    <t xml:space="preserve">Características y funciones de tejidos animales</t>
  </si>
  <si>
    <t xml:space="preserve">T1159-G08-CIE</t>
  </si>
  <si>
    <t xml:space="preserve">Sistema músculoesquelético</t>
  </si>
  <si>
    <t xml:space="preserve">7.4. Reconocimiento de la morfología del sistema musculoesquelético.</t>
  </si>
  <si>
    <t xml:space="preserve">Órganos del sistema musculoesquelético</t>
  </si>
  <si>
    <t xml:space="preserve">T1160-G08-CIE</t>
  </si>
  <si>
    <t xml:space="preserve">7.5. Comprobación de las propiedades y funciones de la contracción muscular.</t>
  </si>
  <si>
    <t xml:space="preserve">Función de la contracción muscular en el sistema</t>
  </si>
  <si>
    <t xml:space="preserve">T1161-G08-CIE</t>
  </si>
  <si>
    <t xml:space="preserve">7.6. Modelaje del funcionamiento del sistema musculoesquelético.</t>
  </si>
  <si>
    <t xml:space="preserve">Modelo funcional del sistema musculoesquelético</t>
  </si>
  <si>
    <t xml:space="preserve">T1162-G08-CIE</t>
  </si>
  <si>
    <t xml:space="preserve">Sistemas respiratorio y circulatorio</t>
  </si>
  <si>
    <t xml:space="preserve">7.7. Demostración práctica del vínculo entre el intercambio de gases y la circulación.</t>
  </si>
  <si>
    <t xml:space="preserve">Respuesta cardiorrespiratoria al ejercicio; intercambio gaseoso y circulación</t>
  </si>
  <si>
    <t xml:space="preserve">Aplicar: medir y relacionar</t>
  </si>
  <si>
    <t xml:space="preserve">T1163-G08-CIE</t>
  </si>
  <si>
    <t xml:space="preserve">Sistemas respiratrio y circulatorio</t>
  </si>
  <si>
    <t xml:space="preserve">7.8. Reconocimiento de las principales características y funciones de las estructuras respiratorias y circulatorias en vertebrados.</t>
  </si>
  <si>
    <t xml:space="preserve">Comparar estructuras respiratorias y circulatorias en vertebrados</t>
  </si>
  <si>
    <t xml:space="preserve">T1164-G08-CIE</t>
  </si>
  <si>
    <t xml:space="preserve">7.9. Modelaje de una estructura respiratoria.</t>
  </si>
  <si>
    <t xml:space="preserve">Modelo de órgano respiratorio</t>
  </si>
  <si>
    <t xml:space="preserve">Aplicar: construir y evaluar modelos</t>
  </si>
  <si>
    <t xml:space="preserve">T1165-G08-CIE</t>
  </si>
  <si>
    <t xml:space="preserve">Sistemas digestivos</t>
  </si>
  <si>
    <t xml:space="preserve">7.10. Exploración de las principales características estructurales de los sistemas digestivos</t>
  </si>
  <si>
    <t xml:space="preserve">Comparación de sistemas digestivos</t>
  </si>
  <si>
    <t xml:space="preserve">T1166-G08-CIE</t>
  </si>
  <si>
    <t xml:space="preserve">7.11. Experimentación con los procesos químicos y mecánicos que intervienen en la digestión.</t>
  </si>
  <si>
    <t xml:space="preserve">Digestión mecánica y química: función del sistema digestivo</t>
  </si>
  <si>
    <t xml:space="preserve">Razonar: simular y concluir</t>
  </si>
  <si>
    <t xml:space="preserve">T1167-G08-CIE</t>
  </si>
  <si>
    <t xml:space="preserve">7.12. Modelaje de la ingestión y la digestión en diferentes grupos de vertebrados.</t>
  </si>
  <si>
    <t xml:space="preserve">Comparar ingestión y digestión en vertebrados</t>
  </si>
  <si>
    <t xml:space="preserve">T1168-G08-CIE</t>
  </si>
  <si>
    <t xml:space="preserve">Estructuras y sistemas excretores</t>
  </si>
  <si>
    <t xml:space="preserve">7.13. Indagación de los procesos generales que realizan los sistemas excretores.</t>
  </si>
  <si>
    <t xml:space="preserve">Sistemas excretores y osmorregulación (homeostasis)</t>
  </si>
  <si>
    <t xml:space="preserve">T1169-G08-CIE</t>
  </si>
  <si>
    <t xml:space="preserve">7.14. Experimentación de la función renal.</t>
  </si>
  <si>
    <t xml:space="preserve">Función renal: órgano excretor y regulación</t>
  </si>
  <si>
    <t xml:space="preserve">T1170-G08-CIE</t>
  </si>
  <si>
    <t xml:space="preserve">7.15. Reconocimiento de los diferentes mecanismos de excreción en animales.</t>
  </si>
  <si>
    <t xml:space="preserve">Mecanismos de excreción comparados en animales</t>
  </si>
  <si>
    <t xml:space="preserve">T1171-G09-CIE</t>
  </si>
  <si>
    <t xml:space="preserve">Matriz_Ciencias_9no_Grado_U1_U7.xlsx</t>
  </si>
  <si>
    <t xml:space="preserve">Unidad 1 - Mecánica de fluidos</t>
  </si>
  <si>
    <t xml:space="preserve">1. Mecánica de fluidos</t>
  </si>
  <si>
    <t xml:space="preserve">Principio de Arquímedes</t>
  </si>
  <si>
    <t xml:space="preserve">1.1. Determinación experimental de las propiedades de un fluido que ejerce empuje sobre un objeto.</t>
  </si>
  <si>
    <t xml:space="preserve">Principio de Arquímedes: empuje y flotación en fluidos</t>
  </si>
  <si>
    <t xml:space="preserve">T1172-G09-CIE</t>
  </si>
  <si>
    <t xml:space="preserve">1.2. Cálculo experimental del peso aparente de un objeto sumergido en un líquido a partir del empuje.</t>
  </si>
  <si>
    <t xml:space="preserve">Peso aparente por empuje; diagrama de fuerzas sobre cuerpo sumergido</t>
  </si>
  <si>
    <t xml:space="preserve">T1173-G09-CIE</t>
  </si>
  <si>
    <t xml:space="preserve">1.3. Presentación de resultados experimentales considerando el error de la medida.</t>
  </si>
  <si>
    <t xml:space="preserve">Reporte con error de medida dentro de experimento de Arquímedes</t>
  </si>
  <si>
    <t xml:space="preserve">Aplicar: presentar resultados</t>
  </si>
  <si>
    <t xml:space="preserve">T1174-G09-CIE</t>
  </si>
  <si>
    <t xml:space="preserve">Principio de Pascal</t>
  </si>
  <si>
    <t xml:space="preserve">1.4. Elaboración de una prensa hidráulica para la comprobación experimental del principio de Pascal.</t>
  </si>
  <si>
    <t xml:space="preserve">Principio de Pascal: presión en prensa hidráulica</t>
  </si>
  <si>
    <t xml:space="preserve">T1175-G09-CIE</t>
  </si>
  <si>
    <t xml:space="preserve">1.5. Experimentación con el principio de multiplicación de fuerzas en una prensa hidráulica.</t>
  </si>
  <si>
    <t xml:space="preserve">Prensa hidráulica como máquina que multiplica fuerzas mediante presión</t>
  </si>
  <si>
    <t xml:space="preserve">T1176-G09-CIE</t>
  </si>
  <si>
    <t xml:space="preserve">Teorema fundamental de la hidrostática</t>
  </si>
  <si>
    <t xml:space="preserve">1.6. Resolución de problemas empleando las leyes de la hidrostática.</t>
  </si>
  <si>
    <t xml:space="preserve">Presión hidrostática según profundidad y densidad del líquido</t>
  </si>
  <si>
    <t xml:space="preserve">T1177-G09-CIE</t>
  </si>
  <si>
    <t xml:space="preserve">Principio de Bernoulli</t>
  </si>
  <si>
    <t xml:space="preserve">1.7. Relación entre presión y rapidez en un fluido ideal en movimiento a partir de análisis de casos.</t>
  </si>
  <si>
    <t xml:space="preserve">Bernoulli: relación entre presión y rapidez de un fluido</t>
  </si>
  <si>
    <t xml:space="preserve">Aplicar: relacionar. Razonar: analizar</t>
  </si>
  <si>
    <t xml:space="preserve">T1178-G09-CIE</t>
  </si>
  <si>
    <t xml:space="preserve">Teorema de Torricelli</t>
  </si>
  <si>
    <t xml:space="preserve">1.8. Comprobación experimental del teorema de Torricelli empleando líquidos en recipientes perforados.</t>
  </si>
  <si>
    <t xml:space="preserve">Torricelli: presión y flujo de salida de líquidos</t>
  </si>
  <si>
    <t xml:space="preserve">T1179-G09-CIE</t>
  </si>
  <si>
    <t xml:space="preserve">1.9 Cálculo de la rapidez de salida de un líquido por un orificio a partir del teorema de Torricelli.</t>
  </si>
  <si>
    <t xml:space="preserve">Cálculo de rapidez de salida por presión del líquido</t>
  </si>
  <si>
    <t xml:space="preserve">T1180-G09-CIE</t>
  </si>
  <si>
    <t xml:space="preserve">Ley de Stokes</t>
  </si>
  <si>
    <t xml:space="preserve">1.10. Medición de magnitudes físicas que permitan calcular la viscosidad de un fluido.</t>
  </si>
  <si>
    <t xml:space="preserve">Viscosidad y fuerza de arrastre en fluidos (ley de Stokes)</t>
  </si>
  <si>
    <t xml:space="preserve">Aplicar: medir</t>
  </si>
  <si>
    <t xml:space="preserve">T1181-G09-CIE</t>
  </si>
  <si>
    <t xml:space="preserve">1.11. Comprobación experimental de la ley de Stokes.</t>
  </si>
  <si>
    <t xml:space="preserve">Ley de Stokes: fuerza resistiva sobre cuerpo en fluido</t>
  </si>
  <si>
    <t xml:space="preserve">Razonar: comparar teoría y experimento</t>
  </si>
  <si>
    <t xml:space="preserve">T1182-G09-CIE</t>
  </si>
  <si>
    <t xml:space="preserve">1.12. Resolución de problemas teóricos sobre hidrodinámica.</t>
  </si>
  <si>
    <t xml:space="preserve">Problemas de hidrodinámica: presión y movimiento de fluidos</t>
  </si>
  <si>
    <t xml:space="preserve">T1183-G09-CIE</t>
  </si>
  <si>
    <t xml:space="preserve">2. Calor y temperatura</t>
  </si>
  <si>
    <t xml:space="preserve">Cambios de temperatura y fase</t>
  </si>
  <si>
    <t xml:space="preserve">2.1. Experimentación con cambios de fase en sustancias puras.</t>
  </si>
  <si>
    <t xml:space="preserve">Cambios de fase de sustancias puras por energía térmica</t>
  </si>
  <si>
    <t xml:space="preserve">Conocer: distinguir</t>
  </si>
  <si>
    <t xml:space="preserve">T1184-G09-CIE</t>
  </si>
  <si>
    <t xml:space="preserve">2.2. Elaboración de un gráfico de temperatura versus tiempo de una sustancia a partir de datos experimentales.</t>
  </si>
  <si>
    <t xml:space="preserve">Curva de calentamiento: temperatura constante durante cambio de fase</t>
  </si>
  <si>
    <t xml:space="preserve">T1185-G09-CIE</t>
  </si>
  <si>
    <t xml:space="preserve">2.3. Cálculo del calor latente y del calor específico a partir de un gráfico de calentamiento.</t>
  </si>
  <si>
    <t xml:space="preserve">Calor específico y latente en transferencia térmica y cambios de fase</t>
  </si>
  <si>
    <t xml:space="preserve">T1186-G09-CIE</t>
  </si>
  <si>
    <t xml:space="preserve">Procesos termodinámicos</t>
  </si>
  <si>
    <t xml:space="preserve">2.4. Experimentación con procesos termodinámicos en un gas ideal.</t>
  </si>
  <si>
    <t xml:space="preserve">Gas ideal: presión, volumen y temperatura según partículas</t>
  </si>
  <si>
    <t xml:space="preserve">Aplicar: experimentar y clasificar</t>
  </si>
  <si>
    <t xml:space="preserve">T1187-G09-CIE</t>
  </si>
  <si>
    <t xml:space="preserve">2.5. Resolución de problemas a partir de gráficas de procesos termodinámicos.</t>
  </si>
  <si>
    <t xml:space="preserve">Procesos termodinámicos: intercambio de energía en gases, gráficas P-V</t>
  </si>
  <si>
    <t xml:space="preserve">Aplicar: resolver problemas con gráficas</t>
  </si>
  <si>
    <t xml:space="preserve">T1188-G09-CIE</t>
  </si>
  <si>
    <t xml:space="preserve">Ley Cero de la Termodinámica</t>
  </si>
  <si>
    <t xml:space="preserve">2.6. Indagación del concepto de equilibrio térmico entre dos cuerpos.</t>
  </si>
  <si>
    <t xml:space="preserve">Equilibrio térmico por transferencia de calor entre cuerpos</t>
  </si>
  <si>
    <t xml:space="preserve">T1189-G09-CIE</t>
  </si>
  <si>
    <t xml:space="preserve">2.7. Elaboración de dispositivos que transformen el calor en trabajo mecánico.</t>
  </si>
  <si>
    <t xml:space="preserve">Transformación de energía térmica en trabajo mecánico</t>
  </si>
  <si>
    <t xml:space="preserve">T1190-G09-CIE</t>
  </si>
  <si>
    <t xml:space="preserve">2.8. Resolución de problemas empleando la Primera ley de la termodinámica.</t>
  </si>
  <si>
    <t xml:space="preserve">Primera ley: conservación de energía con calor y trabajo</t>
  </si>
  <si>
    <t xml:space="preserve">T1191-G09-CIE</t>
  </si>
  <si>
    <t xml:space="preserve">Segunda ley de la termodinámica</t>
  </si>
  <si>
    <t xml:space="preserve">2.9. Experimentación con un proceso irreversible de extracción de calor por medio de trabajo mecánico.</t>
  </si>
  <si>
    <t xml:space="preserve">Refrigeración: transferencia de calor mediante trabajo, irreversibilidad</t>
  </si>
  <si>
    <t xml:space="preserve">T1192-G09-CIE</t>
  </si>
  <si>
    <t xml:space="preserve">2.10. Resolución de problemas acerca de la máxima eficiencia posible en una reversión parcial con máquinas térmicas.</t>
  </si>
  <si>
    <t xml:space="preserve">Eficiencia de máquinas térmicas: transformación y conservación de energía</t>
  </si>
  <si>
    <t xml:space="preserve">Aplicar: resolver problemas. Razonar: justificar</t>
  </si>
  <si>
    <t xml:space="preserve">T1193-G09-CIE</t>
  </si>
  <si>
    <t xml:space="preserve">Unidad 3 - Equilibrio químico</t>
  </si>
  <si>
    <t xml:space="preserve">3. Equilibrio químico</t>
  </si>
  <si>
    <t xml:space="preserve">Introducción al equilibrio químico</t>
  </si>
  <si>
    <t xml:space="preserve">3.1. Indagación del concepto de equilibrio químico.</t>
  </si>
  <si>
    <t xml:space="preserve">Equilibrio químico introducido desde cinética de reacción</t>
  </si>
  <si>
    <t xml:space="preserve">Conocer: definir. Aplicar: usar modelos</t>
  </si>
  <si>
    <t xml:space="preserve">T1194-G09-CIE</t>
  </si>
  <si>
    <t xml:space="preserve">3.2. Identificación experimental de los factores que afecta la rapidez de reacción.</t>
  </si>
  <si>
    <t xml:space="preserve">Factores que afectan la velocidad de reacción</t>
  </si>
  <si>
    <t xml:space="preserve">T1195-G09-CIE</t>
  </si>
  <si>
    <t xml:space="preserve">3.3. Identificación del tipo de equilibrio químico y la expresión de la constante de equilibrio en una reacción.</t>
  </si>
  <si>
    <t xml:space="preserve">Constante de equilibrio, extensión de reacciones químicas; nivel superior a TIMSS</t>
  </si>
  <si>
    <t xml:space="preserve">T1196-G09-CIE</t>
  </si>
  <si>
    <t xml:space="preserve">Constante de equilibrio y su interpretación</t>
  </si>
  <si>
    <t xml:space="preserve">3.4. Identificación experimental de los factores que afecta el equilibrio químico.</t>
  </si>
  <si>
    <t xml:space="preserve">Factores del equilibrio químico; cambios de color como evidencia</t>
  </si>
  <si>
    <t xml:space="preserve">T1197-G09-CIE</t>
  </si>
  <si>
    <t xml:space="preserve">3.5. Predicción del desplazamiento de la reacción aplicando el principio de Le Châtelier.</t>
  </si>
  <si>
    <t xml:space="preserve">Le Châtelier: desplazamiento de reacciones, excede marco TIMSS</t>
  </si>
  <si>
    <t xml:space="preserve">T1198-G09-CIE</t>
  </si>
  <si>
    <t xml:space="preserve">3.6. Representación de la constante de equilibrio a partir de ecuaciones de reacción química.</t>
  </si>
  <si>
    <t xml:space="preserve">Expresión de constante de equilibrio desde ecuaciones químicas</t>
  </si>
  <si>
    <t xml:space="preserve">Aplicar: representar e interpretar</t>
  </si>
  <si>
    <t xml:space="preserve">T1199-G09-CIE</t>
  </si>
  <si>
    <t xml:space="preserve">3.7. Resolución de problemas de determinación de la constante de equilibrio químico de una reacción.</t>
  </si>
  <si>
    <t xml:space="preserve">Cálculo de constante de equilibrio; contenido de cambio químico avanzado</t>
  </si>
  <si>
    <t xml:space="preserve">T1200-G09-CIE</t>
  </si>
  <si>
    <t xml:space="preserve">Equilibrio ácido base</t>
  </si>
  <si>
    <t xml:space="preserve">3.8. Indagación del concepto y las características de ácidos y bases.</t>
  </si>
  <si>
    <t xml:space="preserve">Características de ácidos y bases en sustancias cotidianas</t>
  </si>
  <si>
    <t xml:space="preserve">Aplicar: distinguir</t>
  </si>
  <si>
    <t xml:space="preserve">T1201-G09-CIE</t>
  </si>
  <si>
    <t xml:space="preserve">3.9. Identificación de ácidos y bases según las teorías de Arrhenius, Bronsted-Lowry y Lewis.</t>
  </si>
  <si>
    <t xml:space="preserve">Teorías ácido-base para identificar ácidos y bases</t>
  </si>
  <si>
    <t xml:space="preserve">Aplicar: comparar modelos</t>
  </si>
  <si>
    <t xml:space="preserve">T1202-G09-CIE</t>
  </si>
  <si>
    <t xml:space="preserve">3.10. Extracción de un indicador natural para la identificación cualitativa de ácidos y bases.</t>
  </si>
  <si>
    <t xml:space="preserve">Indicador natural para identificar ácidos y bases</t>
  </si>
  <si>
    <t xml:space="preserve">Aplicar: extraer y usar indicadores</t>
  </si>
  <si>
    <t xml:space="preserve">T1203-G09-CIE</t>
  </si>
  <si>
    <t xml:space="preserve">3.11. Cálculo del valor del pH de una solución.</t>
  </si>
  <si>
    <t xml:space="preserve">Escala de pH y cálculo de acidez de soluciones</t>
  </si>
  <si>
    <t xml:space="preserve">T1204-G09-CIE</t>
  </si>
  <si>
    <t xml:space="preserve">3.12. Clasificación de soluciones en neutras, ácidas y básicas.</t>
  </si>
  <si>
    <t xml:space="preserve">Clasificar soluciones cotidianas como ácidas, básicas o neutras</t>
  </si>
  <si>
    <t xml:space="preserve">T1205-G09-CIE</t>
  </si>
  <si>
    <t xml:space="preserve">3.13. Reconocimiento de ácidos y bases fuertes y débiles de acuerdo con su disociación en agua.</t>
  </si>
  <si>
    <t xml:space="preserve">Ácidos y bases fuertes y débiles según disociación</t>
  </si>
  <si>
    <t xml:space="preserve">T1206-G09-CIE</t>
  </si>
  <si>
    <t xml:space="preserve">3.14. Expresión de las constantes de ionización de ácidos y bases.</t>
  </si>
  <si>
    <t xml:space="preserve">Constantes Ka y Kb; tratamiento cuantitativo superior a TIMSS</t>
  </si>
  <si>
    <t xml:space="preserve">T1207-G09-CIE</t>
  </si>
  <si>
    <t xml:space="preserve">3.15. Análisis de la función de las soluciones buffer.</t>
  </si>
  <si>
    <t xml:space="preserve">Soluciones buffer y control del pH</t>
  </si>
  <si>
    <t xml:space="preserve">T1208-G09-CIE</t>
  </si>
  <si>
    <t xml:space="preserve">3.16. Comprobación experimental del efecto amortiguador de pH de las soluciones buffer.</t>
  </si>
  <si>
    <t xml:space="preserve">Comprobación experimental del efecto amortiguador del pH</t>
  </si>
  <si>
    <t xml:space="preserve">T1209-G09-CIE</t>
  </si>
  <si>
    <t xml:space="preserve">3.17. Reconocimiento de aplicaciones y ocurrencia natural de las soluciones buffer.</t>
  </si>
  <si>
    <t xml:space="preserve">Aplicaciones y presencia natural de soluciones amortiguadoras</t>
  </si>
  <si>
    <t xml:space="preserve">T1210-G09-CIE</t>
  </si>
  <si>
    <t xml:space="preserve">3.18. Aplicación experimental del principio de Le Châtelier en el equilibrio ácido base.</t>
  </si>
  <si>
    <t xml:space="preserve">Equilibrio ácido-base desplazado según Le Châtelier</t>
  </si>
  <si>
    <t xml:space="preserve">Aplicar: aplicar principios</t>
  </si>
  <si>
    <t xml:space="preserve">T1211-G09-CIE</t>
  </si>
  <si>
    <t xml:space="preserve">3.19. Detección del punto de equivalencia a partir de un experimento de titulación ácido-base.</t>
  </si>
  <si>
    <t xml:space="preserve">Titulación: neutralización ácido-base con indicador</t>
  </si>
  <si>
    <t xml:space="preserve">Aplicar: experimentar y calcular</t>
  </si>
  <si>
    <t xml:space="preserve">T1212-G09-CIE</t>
  </si>
  <si>
    <t xml:space="preserve">3.20. Reconocimiento de las medidas para el manejo y tratamiento de ácidos y bases en función de sus propiedades.</t>
  </si>
  <si>
    <t xml:space="preserve">Manejo seguro de ácidos y bases según sus propiedades</t>
  </si>
  <si>
    <t xml:space="preserve">T1213-G09-CIE</t>
  </si>
  <si>
    <t xml:space="preserve">Unidad 4 - Oceanografía</t>
  </si>
  <si>
    <t xml:space="preserve">4. Oceanografía</t>
  </si>
  <si>
    <t xml:space="preserve">Introducción al estudio de mares y océanos</t>
  </si>
  <si>
    <t xml:space="preserve">4.1. Indagación de la importancia de los mares y los océanos para la sociedad y la naturaleza.</t>
  </si>
  <si>
    <t xml:space="preserve">Océanos como recurso y su importancia para sociedad y naturaleza</t>
  </si>
  <si>
    <t xml:space="preserve">T1214-G09-CIE</t>
  </si>
  <si>
    <t xml:space="preserve">4.2. Exploración de las características y las propiedades físicas y químicas de los océanos.</t>
  </si>
  <si>
    <t xml:space="preserve">Características físicas y químicas de la hidrosfera oceánica</t>
  </si>
  <si>
    <t xml:space="preserve">T1215-G09-CIE</t>
  </si>
  <si>
    <t xml:space="preserve">4.3. Descripción de la topografía y la zonificación del ambiente marino.</t>
  </si>
  <si>
    <t xml:space="preserve">Rasgos físicos del fondo oceánico y zonificación marina</t>
  </si>
  <si>
    <t xml:space="preserve">T1216-G09-CIE</t>
  </si>
  <si>
    <t xml:space="preserve">Oceanografía física</t>
  </si>
  <si>
    <t xml:space="preserve">4.4. Observación experimental de la incidencia del viento y del calor sobre una masa de agua.</t>
  </si>
  <si>
    <t xml:space="preserve">Interacción océano-atmósfera: efecto del viento y calor en agua</t>
  </si>
  <si>
    <t xml:space="preserve">T1217-G09-CIE</t>
  </si>
  <si>
    <t xml:space="preserve">4.5. Explicación de la influencia de la energía solar y del viento en las corrientes oceánicas.</t>
  </si>
  <si>
    <t xml:space="preserve">Energía solar y viento generan corrientes que influyen en clima</t>
  </si>
  <si>
    <t xml:space="preserve">T1218-G09-CIE</t>
  </si>
  <si>
    <t xml:space="preserve">4.6. Identificación experimental de las magnitudes físicas que influyen en las corrientes oceánicas profundas.</t>
  </si>
  <si>
    <t xml:space="preserve">Densidad, temperatura y salinidad en corrientes oceánicas profundas</t>
  </si>
  <si>
    <t xml:space="preserve">T1219-G09-CIE</t>
  </si>
  <si>
    <t xml:space="preserve">4.7. Representación de la configuración actual de las corrientes oceánicas superficiales.</t>
  </si>
  <si>
    <t xml:space="preserve">Corrientes superficiales como patrón que influye en el clima</t>
  </si>
  <si>
    <t xml:space="preserve">T1220-G09-CIE</t>
  </si>
  <si>
    <t xml:space="preserve">4.8. Indagación del fenómeno de oleaje.</t>
  </si>
  <si>
    <t xml:space="preserve">Oleaje como transferencia de energía del viento al agua</t>
  </si>
  <si>
    <t xml:space="preserve">T1221-G09-CIE</t>
  </si>
  <si>
    <t xml:space="preserve">4.9. Experimentación con los procesos asociados a la generación y la propagación de olas.</t>
  </si>
  <si>
    <t xml:space="preserve">Generación y propagación de olas; energía y modelado costero</t>
  </si>
  <si>
    <t xml:space="preserve">T1222-G09-CIE</t>
  </si>
  <si>
    <t xml:space="preserve">4.10. Explicación del fenómeno de las mareas en el planeta Tierra.</t>
  </si>
  <si>
    <t xml:space="preserve">Mareas explicadas por la Luna y el Sol</t>
  </si>
  <si>
    <t xml:space="preserve">T1223-G09-CIE</t>
  </si>
  <si>
    <t xml:space="preserve">Oceanografía geológica</t>
  </si>
  <si>
    <t xml:space="preserve">4.11. Indagación del fenómeno de sedimentación marina a partir de modelos.</t>
  </si>
  <si>
    <t xml:space="preserve">Sedimentación marina como proceso geológico</t>
  </si>
  <si>
    <t xml:space="preserve">T1224-G09-CIE</t>
  </si>
  <si>
    <t xml:space="preserve">4.12. Representación de los procesos que intervienen en la dinámica costera.</t>
  </si>
  <si>
    <t xml:space="preserve">Erosión y depositación en la dinámica costera</t>
  </si>
  <si>
    <t xml:space="preserve">T1225-G09-CIE</t>
  </si>
  <si>
    <t xml:space="preserve">Biología marina</t>
  </si>
  <si>
    <t xml:space="preserve">4.13. Caracterización de los ecosistemas marino-costeros.</t>
  </si>
  <si>
    <t xml:space="preserve">Caracterización de ecosistemas marino-costeros salvadoreños</t>
  </si>
  <si>
    <t xml:space="preserve">Conocer: caracterizar</t>
  </si>
  <si>
    <t xml:space="preserve">T1226-G09-CIE</t>
  </si>
  <si>
    <t xml:space="preserve">4.14. Demostración experimental de las variables que influyen en la estratificación vertical del ambiente marino.</t>
  </si>
  <si>
    <t xml:space="preserve">Estratificación marina por luz, temperatura y salinidad como factores</t>
  </si>
  <si>
    <t xml:space="preserve">Aplicar: demostrar</t>
  </si>
  <si>
    <t xml:space="preserve">T1227-G09-CIE</t>
  </si>
  <si>
    <t xml:space="preserve">4.15. Descripción de la estructura y dinámica de los ecosistemas marinos.</t>
  </si>
  <si>
    <t xml:space="preserve">Red trófica y dinámica de ecosistema marino</t>
  </si>
  <si>
    <t xml:space="preserve">T1228-G09-CIE</t>
  </si>
  <si>
    <t xml:space="preserve">4.16. Interpretación de la problemática ambiental oceánica.</t>
  </si>
  <si>
    <t xml:space="preserve">Causas humanas de la problemática ambiental oceánica</t>
  </si>
  <si>
    <t xml:space="preserve">T1229-G09-CIE</t>
  </si>
  <si>
    <t xml:space="preserve">Unidad 5 - Geología de El Salva</t>
  </si>
  <si>
    <t xml:space="preserve">5. Geología de El Salvador</t>
  </si>
  <si>
    <t xml:space="preserve">Introducción a la geología de El Salvador</t>
  </si>
  <si>
    <t xml:space="preserve">5.1. Indagación de las características físicas y clasificación de las rocas.</t>
  </si>
  <si>
    <t xml:space="preserve">Clasificación de rocas según su origen (ciclo de rocas)</t>
  </si>
  <si>
    <t xml:space="preserve">T1230-G09-CIE</t>
  </si>
  <si>
    <t xml:space="preserve">5.2. Identificación de los tipos de rocas y su distribución en el territorio de El Salvador.</t>
  </si>
  <si>
    <t xml:space="preserve">Tipos de rocas y formaciones geológicas en El Salvador</t>
  </si>
  <si>
    <t xml:space="preserve">T1231-G09-CIE</t>
  </si>
  <si>
    <t xml:space="preserve">Factores que alteran la geomorfología de El Salvador</t>
  </si>
  <si>
    <t xml:space="preserve">5.3. Reconocimiento de los principales rasgos geomorfológicos del país.</t>
  </si>
  <si>
    <t xml:space="preserve">Rasgos del relieve originados por procesos geológicos</t>
  </si>
  <si>
    <t xml:space="preserve">T1232-G09-CIE</t>
  </si>
  <si>
    <t xml:space="preserve">Vulcanología</t>
  </si>
  <si>
    <t xml:space="preserve">5.4. Indagación de las diferentes estructuras volcánicas a partir de casos específicos de El Salvador.</t>
  </si>
  <si>
    <t xml:space="preserve">Estructuras volcánicas como rasgos formados por eventos geológicos</t>
  </si>
  <si>
    <t xml:space="preserve">T1233-G09-CIE</t>
  </si>
  <si>
    <t xml:space="preserve">5.5. Reconocimiento de las causas del fenómeno volcánico en El Salvador.</t>
  </si>
  <si>
    <t xml:space="preserve">Vulcanismo por subducción de placas tectónicas</t>
  </si>
  <si>
    <t xml:space="preserve">T1234-G09-CIE</t>
  </si>
  <si>
    <t xml:space="preserve">5.6. Exploración de la escala del fenómeno volcánico en el sistema solar.</t>
  </si>
  <si>
    <t xml:space="preserve">Comparar volcanismo de la Tierra con otros planetas</t>
  </si>
  <si>
    <t xml:space="preserve">Aplicar: comparar escalas</t>
  </si>
  <si>
    <t xml:space="preserve">T1235-G09-CIE</t>
  </si>
  <si>
    <t xml:space="preserve">5.7. Reconocimiento de la actividad volcánica salvadoreña a partir del historial eruptivo y los volcanes activos.</t>
  </si>
  <si>
    <t xml:space="preserve">Actividad volcánica como evento que cambia la superficie</t>
  </si>
  <si>
    <t xml:space="preserve">T1236-G09-CIE</t>
  </si>
  <si>
    <t xml:space="preserve">Sismología</t>
  </si>
  <si>
    <t xml:space="preserve">5.8. Identificación de los principales parámetros de un sismo a partir del historial sísmico de El Salvador.</t>
  </si>
  <si>
    <t xml:space="preserve">Sismos: parámetros de eventos que modifican la superficie</t>
  </si>
  <si>
    <t xml:space="preserve">Aplicar: analizar datos</t>
  </si>
  <si>
    <t xml:space="preserve">T1237-G09-CIE</t>
  </si>
  <si>
    <t xml:space="preserve">5.9. Simulación del comportamiento de las ondas sísmicas.</t>
  </si>
  <si>
    <t xml:space="preserve">Ondas sísmicas P y S en terremotos</t>
  </si>
  <si>
    <t xml:space="preserve">Aplicar: simular. Razonar: comparar</t>
  </si>
  <si>
    <t xml:space="preserve">T1238-G09-CIE</t>
  </si>
  <si>
    <t xml:space="preserve">5.10. Identificación de fallas geológicas y zonas sísmicas de El Salvador.</t>
  </si>
  <si>
    <t xml:space="preserve">Fallas geológicas y zonas sísmicas del país</t>
  </si>
  <si>
    <t xml:space="preserve">Aplicar: interpretar mapas. Razonar: argumentar</t>
  </si>
  <si>
    <t xml:space="preserve">T1239-G09-CIE</t>
  </si>
  <si>
    <t xml:space="preserve">Sistemas de alerta ante riesgos geológicos</t>
  </si>
  <si>
    <t xml:space="preserve">5.11. Reconocimiento de los sistemas de alerta temprana ante fenómenos geológicos en El Salvador.</t>
  </si>
  <si>
    <t xml:space="preserve">Sistemas de alerta temprana: gestión de riesgos, sin contenido catálogo</t>
  </si>
  <si>
    <t xml:space="preserve">T1240-G09-CIE</t>
  </si>
  <si>
    <t xml:space="preserve">Unidad 6 - Electricidad</t>
  </si>
  <si>
    <t xml:space="preserve">6. Electricidad</t>
  </si>
  <si>
    <t xml:space="preserve">Fundamentos de electricidad</t>
  </si>
  <si>
    <t xml:space="preserve">6.1. Demostración experimental de la carga eléctrica de los cuerpos.</t>
  </si>
  <si>
    <t xml:space="preserve">Carga eléctrica de cuerpos; electrostática no explícita en catálogo</t>
  </si>
  <si>
    <t xml:space="preserve">T1241-G09-CIE</t>
  </si>
  <si>
    <t xml:space="preserve">6.2. Experimentación con las características del campo y la fuerza eléctrica.</t>
  </si>
  <si>
    <t xml:space="preserve">Campo y fuerza eléctrica; electrostática afín a electricidad y fuerzas</t>
  </si>
  <si>
    <t xml:space="preserve">T1242-G09-CIE</t>
  </si>
  <si>
    <t xml:space="preserve">6.3. Cálculo de la fuerza eléctrica considerando cargas puntuales en una dimensión.</t>
  </si>
  <si>
    <t xml:space="preserve">Ley de Coulomb: magnitud y dirección de fuerza eléctrica</t>
  </si>
  <si>
    <t xml:space="preserve">T1243-G09-CIE</t>
  </si>
  <si>
    <t xml:space="preserve">Dispositivos electrónicos</t>
  </si>
  <si>
    <t xml:space="preserve">6.4. Reconocimiento de componentes electrónicos presentes en una placa madre.</t>
  </si>
  <si>
    <t xml:space="preserve">Reconocer componentes de placa madre: tecnología electrónica</t>
  </si>
  <si>
    <t xml:space="preserve">T1244-G09-CIE</t>
  </si>
  <si>
    <t xml:space="preserve">6.5. Construcción de un circuito eléctrico funcional que incluya diversos componentes electrónicos.</t>
  </si>
  <si>
    <t xml:space="preserve">Construcción de circuito funcional con su diagrama</t>
  </si>
  <si>
    <t xml:space="preserve">T1245-G09-CIE</t>
  </si>
  <si>
    <t xml:space="preserve">6.6. Explicación del funcionamiento de algunos componentes electrónicos.</t>
  </si>
  <si>
    <t xml:space="preserve">Funcionamiento de componentes de circuitos eléctricos</t>
  </si>
  <si>
    <t xml:space="preserve">T1246-G09-CIE</t>
  </si>
  <si>
    <t xml:space="preserve">Circuito eléctrico del hogar</t>
  </si>
  <si>
    <t xml:space="preserve">6.7. Esquematización de la configuración eléctrica del hogar.</t>
  </si>
  <si>
    <t xml:space="preserve">Diagrama de circuito eléctrico domiciliario y sus dispositivos</t>
  </si>
  <si>
    <t xml:space="preserve">T1247-G09-CIE</t>
  </si>
  <si>
    <t xml:space="preserve">6.8. Relación de las especificaciones de un dispositivo eléctrico con su funcionamiento.</t>
  </si>
  <si>
    <t xml:space="preserve">Especificaciones eléctricas de aparatos y consumo de energía</t>
  </si>
  <si>
    <t xml:space="preserve">T1248-G09-CIE</t>
  </si>
  <si>
    <t xml:space="preserve">6.9. Reconocimiento de la utilidad de un rectificador de onda en los dispositivos eléctricos.</t>
  </si>
  <si>
    <t xml:space="preserve">Rectificador de onda: electrónica fuera del marco TIMSS</t>
  </si>
  <si>
    <t xml:space="preserve">T1249-G09-CIE</t>
  </si>
  <si>
    <t xml:space="preserve">Circuitos integrados</t>
  </si>
  <si>
    <t xml:space="preserve">6.10. Identificación de las características generales de los circuitos integrados.</t>
  </si>
  <si>
    <t xml:space="preserve">Circuitos integrados: electrónica/tecnología sin objetivo TIMSS</t>
  </si>
  <si>
    <t xml:space="preserve">Aplicar: interpretar información técnica</t>
  </si>
  <si>
    <t xml:space="preserve">T1250-G09-CIE</t>
  </si>
  <si>
    <t xml:space="preserve">6.11. Construcción de un circuito eléctrico utilizando como componente principal un circuito integrado.</t>
  </si>
  <si>
    <t xml:space="preserve">Circuito con integrado: diseño electrónico; circuito básico tangencial</t>
  </si>
  <si>
    <t xml:space="preserve">T1251-G09-CIE</t>
  </si>
  <si>
    <t xml:space="preserve">Compuertas lógicas</t>
  </si>
  <si>
    <t xml:space="preserve">6.12. Elaboración de una tabla de verdad a partir de premisas y preguntas con condicionales.</t>
  </si>
  <si>
    <t xml:space="preserve">Tablas de verdad: lógica booleana, sin contenido de ciencias</t>
  </si>
  <si>
    <t xml:space="preserve">Aplicar: razonar con lógica</t>
  </si>
  <si>
    <t xml:space="preserve">T1252-G09-CIE</t>
  </si>
  <si>
    <t xml:space="preserve">6.13. Construcción de circuitos utilizando compuertas lógicas.</t>
  </si>
  <si>
    <t xml:space="preserve">Compuertas lógicas: electrónica digital fuera del marco</t>
  </si>
  <si>
    <t xml:space="preserve">T1253-G09-CIE</t>
  </si>
  <si>
    <t xml:space="preserve">6.14. Programación de condicionales utilizando funciones lógicas en hojas de cálculo.</t>
  </si>
  <si>
    <t xml:space="preserve">Programación de condicionales en hoja de cálculo: informática</t>
  </si>
  <si>
    <t xml:space="preserve">Aplicar: programar</t>
  </si>
  <si>
    <t xml:space="preserve">T1254-G09-CIE</t>
  </si>
  <si>
    <t xml:space="preserve">Unidad 7 - Magnetismo aplicado</t>
  </si>
  <si>
    <t xml:space="preserve">7. Magnetismo aplicado</t>
  </si>
  <si>
    <t xml:space="preserve">Magnetismo terrestre</t>
  </si>
  <si>
    <t xml:space="preserve">7.1. Reconocimiento de aplicaciones del campo magnético en fenómenos terrestres.</t>
  </si>
  <si>
    <t xml:space="preserve">Campo magnético terrestre y sus aplicaciones (brújulas, geofísica)</t>
  </si>
  <si>
    <t xml:space="preserve">T1255-G09-CIE</t>
  </si>
  <si>
    <t xml:space="preserve">7.2. Reconocimiento de aplicaciones del campo magnético para la exploración espacial.</t>
  </si>
  <si>
    <t xml:space="preserve">Usos del magnetismo en exploración espacial</t>
  </si>
  <si>
    <t xml:space="preserve">T1256-G09-CIE</t>
  </si>
  <si>
    <t xml:space="preserve">Tecnologías médicas</t>
  </si>
  <si>
    <t xml:space="preserve">7.3. Indagación de aplicaciones magnéticas en el diagnóstico y los tratamientos médicos.</t>
  </si>
  <si>
    <t xml:space="preserve">Usos de imanes y electroimanes en medicina</t>
  </si>
  <si>
    <t xml:space="preserve">T1257-G09-CIE</t>
  </si>
  <si>
    <t xml:space="preserve">7.4. Explicación de los fenómenos magnéticos involucrados en equipos de uso médico.</t>
  </si>
  <si>
    <t xml:space="preserve">Fenómenos magnéticos en equipos médicos como resonancia</t>
  </si>
  <si>
    <t xml:space="preserve">T1258-G09-CIE</t>
  </si>
  <si>
    <t xml:space="preserve">Principio del motor</t>
  </si>
  <si>
    <t xml:space="preserve">7.5. Construcción de un motor de corriente directa.</t>
  </si>
  <si>
    <t xml:space="preserve">Motor DC: electroimán e imanes en circuito eléctrico</t>
  </si>
  <si>
    <t xml:space="preserve">T1259-G09-CIE</t>
  </si>
  <si>
    <t xml:space="preserve">7.6. Explicación del funcionamiento del motor de corriente directa.</t>
  </si>
  <si>
    <t xml:space="preserve">Motor: fuerzas magnéticas transforman energía eléctrica en movimiento</t>
  </si>
  <si>
    <t xml:space="preserve">Conocer: explicar. Razonar: predecir</t>
  </si>
  <si>
    <t xml:space="preserve">T1260-G09-CIE</t>
  </si>
  <si>
    <t xml:space="preserve">7.7. Comparación entre las tecnologías del motor eléctrico y el motor de combustión interna.</t>
  </si>
  <si>
    <t xml:space="preserve">Comparar motores por transformación de energía y fuente usada</t>
  </si>
  <si>
    <t xml:space="preserve">T0163-G10-FÍS</t>
  </si>
  <si>
    <t xml:space="preserve">Matriz_Bachillerato_Fisica_10_11.xlsx</t>
  </si>
  <si>
    <t xml:space="preserve">Física 10.°</t>
  </si>
  <si>
    <t xml:space="preserve">1. La física como ciencia: ciclo de indagación</t>
  </si>
  <si>
    <t xml:space="preserve">La física y su método</t>
  </si>
  <si>
    <t xml:space="preserve">1.1. Identificación de los campos de estudio de la física en fenómenos cotidianos, tecnológicos y del entorno salvadoreño.</t>
  </si>
  <si>
    <t xml:space="preserve">Campos de estudio de la física; sin objetivo del marco</t>
  </si>
  <si>
    <t xml:space="preserve">Conocer: identificar ramas de la física. Razonar: distinguir evidencia de opinión</t>
  </si>
  <si>
    <t xml:space="preserve">T0164-G10-FÍS</t>
  </si>
  <si>
    <t xml:space="preserve">1.2. Formulación de preguntas investigables e hipótesis comprobables sobre fenómenos físicos observables en el aula.</t>
  </si>
  <si>
    <t xml:space="preserve">Indagación: preguntas e hipótesis, método científico general</t>
  </si>
  <si>
    <t xml:space="preserve">Aplicar: formular hipótesis. Razonar: evaluar si una pregunta es investigable</t>
  </si>
  <si>
    <t xml:space="preserve">T0165-G10-FÍS</t>
  </si>
  <si>
    <t xml:space="preserve">Diseño experimental</t>
  </si>
  <si>
    <t xml:space="preserve">1.3. Diseño de un experimento justo con identificación y control de las variables independiente, dependiente y controladas.</t>
  </si>
  <si>
    <t xml:space="preserve">Diseño experimental y control de variables, método general</t>
  </si>
  <si>
    <t xml:space="preserve">Aplicar: identificar variables. Razonar: justificar el control de variables</t>
  </si>
  <si>
    <t xml:space="preserve">T0166-G10-FÍS</t>
  </si>
  <si>
    <t xml:space="preserve">Análisis de datos</t>
  </si>
  <si>
    <t xml:space="preserve">1.4. Linealización de datos experimentales y cálculo de la pendiente y el intercepto de un ajuste lineal con interpretación física.</t>
  </si>
  <si>
    <t xml:space="preserve">Análisis de datos y linealización, habilidad metodológica general</t>
  </si>
  <si>
    <t xml:space="preserve">Aplicar: construir gráficas y calcular pendientes. Razonar: interpretar parámetros del ajuste</t>
  </si>
  <si>
    <t xml:space="preserve">T0167-G10-FÍS</t>
  </si>
  <si>
    <t xml:space="preserve">Modelos en física</t>
  </si>
  <si>
    <t xml:space="preserve">1.5. Análisis de modelos físicos idealizados y de las condiciones en que dejan de describir adecuadamente un fenómeno.</t>
  </si>
  <si>
    <t xml:space="preserve">Modelos idealizados y validez; naturaleza de la ciencia</t>
  </si>
  <si>
    <t xml:space="preserve">Razonar: evaluar modelos. Aplicar: comparar predicciones con datos</t>
  </si>
  <si>
    <t xml:space="preserve">T0168-G10-FÍS</t>
  </si>
  <si>
    <t xml:space="preserve">Comunicación científica</t>
  </si>
  <si>
    <t xml:space="preserve">1.6. Elaboración de un informe de laboratorio de física y revisión entre pares con criterios explícitos.</t>
  </si>
  <si>
    <t xml:space="preserve">Comunicación científica e informe de laboratorio</t>
  </si>
  <si>
    <t xml:space="preserve">Razonar: argumentar con evidencia. Aplicar: estructurar un informe</t>
  </si>
  <si>
    <t xml:space="preserve">T0169-G10-FÍS</t>
  </si>
  <si>
    <t xml:space="preserve">2. Unidades y conceptos matemáticos en la física</t>
  </si>
  <si>
    <t xml:space="preserve">Magnitudes y unidades en la física</t>
  </si>
  <si>
    <t xml:space="preserve">2.1. Análisis dimensional de ecuaciones físicas a partir de las magnitudes fundamentales de la mecánica.</t>
  </si>
  <si>
    <t xml:space="preserve">Análisis dimensional, excluido del marco</t>
  </si>
  <si>
    <t xml:space="preserve">Aplicar: expresar dimensiones. Razonar: evaluar la coherencia de ecuaciones</t>
  </si>
  <si>
    <t xml:space="preserve">T0170-G10-FÍS</t>
  </si>
  <si>
    <t xml:space="preserve">2.2. Resolución de problemas en contexto mediante conversiones encadenadas de unidades con factores unitarios.</t>
  </si>
  <si>
    <t xml:space="preserve">Conversiones de unidades, excluido del marco</t>
  </si>
  <si>
    <t xml:space="preserve">Aplicar: convertir unidades. Razonar: verificar la plausibilidad de resultados</t>
  </si>
  <si>
    <t xml:space="preserve">T0171-G10-FÍS</t>
  </si>
  <si>
    <t xml:space="preserve">Herramientas matemáticas</t>
  </si>
  <si>
    <t xml:space="preserve">2.3. Aplicación de las razones trigonométricas y sus inversas en la resolución de problemas físicos con triángulos rectángulos.</t>
  </si>
  <si>
    <t xml:space="preserve">Trigonometría como herramienta matemática</t>
  </si>
  <si>
    <t xml:space="preserve">Aplicar: calcular con razones trigonométricas. Razonar: evaluar un procedimiento de medición</t>
  </si>
  <si>
    <t xml:space="preserve">T0172-G10-FÍS</t>
  </si>
  <si>
    <t xml:space="preserve">2.4. Representación de magnitudes vectoriales con notación polar y rumbos geográficos en situaciones de navegación.</t>
  </si>
  <si>
    <t xml:space="preserve">Vectores como herramienta matemática pura</t>
  </si>
  <si>
    <t xml:space="preserve">Conocer: diferenciar escalares y vectores. Aplicar: representar vectores a escala</t>
  </si>
  <si>
    <t xml:space="preserve">T0173-G10-FÍS</t>
  </si>
  <si>
    <t xml:space="preserve">2.5. Suma y resta de vectores con ángulos arbitrarios por métodos gráficos y mediante las leyes del seno y del coseno.</t>
  </si>
  <si>
    <t xml:space="preserve">Suma de vectores, herramienta matemática</t>
  </si>
  <si>
    <t xml:space="preserve">Aplicar: sumar vectores gráfica y analíticamente. Razonar: comparar métodos</t>
  </si>
  <si>
    <t xml:space="preserve">T0174-G10-FÍS</t>
  </si>
  <si>
    <t xml:space="preserve">2.6. Descomposición trigonométrica de vectores con ángulos arbitrarios y expresión con vectores unitarios.</t>
  </si>
  <si>
    <t xml:space="preserve">Componentes vectoriales, herramienta matemática</t>
  </si>
  <si>
    <t xml:space="preserve">Aplicar: descomponer vectores. Razonar: analizar el cuadrante del ángulo</t>
  </si>
  <si>
    <t xml:space="preserve">T0175-G10-FÍS</t>
  </si>
  <si>
    <t xml:space="preserve">2.7. Resolución de problemas en contexto con suma de tres o más vectores mediante componentes y vectores unitarios.</t>
  </si>
  <si>
    <t xml:space="preserve">Suma vectorial en contexto, sin contenido físico del catálogo</t>
  </si>
  <si>
    <t xml:space="preserve">Aplicar: sumar vectores por componentes. Razonar: interpretar la resultante en contexto</t>
  </si>
  <si>
    <t xml:space="preserve">T0176-G10-FÍS</t>
  </si>
  <si>
    <t xml:space="preserve">3. Movimiento: cinemática en una dimensión</t>
  </si>
  <si>
    <t xml:space="preserve">Descripción del movimiento rectilíneo</t>
  </si>
  <si>
    <t xml:space="preserve">3.1. Análisis del desplazamiento como magnitud vectorial a partir de un sistema de referencia elegido.</t>
  </si>
  <si>
    <t xml:space="preserve">Desplazamiento y sistema de referencia: cinemática lineal</t>
  </si>
  <si>
    <t xml:space="preserve">Aplicar: calcular desplazamientos. Razonar: analizar la dependencia del sistema de referencia</t>
  </si>
  <si>
    <t xml:space="preserve">T0177-G10-FÍS</t>
  </si>
  <si>
    <t xml:space="preserve">3.2. Cálculo de la rapidez media, la velocidad media y la velocidad instantánea a partir de datos y de la pendiente de gráficas posición-tiempo.</t>
  </si>
  <si>
    <t xml:space="preserve">Rapidez y velocidad media e instantánea: cinemática</t>
  </si>
  <si>
    <t xml:space="preserve">Aplicar: calcular velocidades medias e instantáneas. Razonar: justificar recomendaciones con datos</t>
  </si>
  <si>
    <t xml:space="preserve">T0178-G10-FÍS</t>
  </si>
  <si>
    <t xml:space="preserve">Aceleración</t>
  </si>
  <si>
    <t xml:space="preserve">3.3. Medición y cálculo de la aceleración media de móviles reales e interpretación de su signo respecto de la velocidad.</t>
  </si>
  <si>
    <t xml:space="preserve">Aceleración media y su signo: cinemática</t>
  </si>
  <si>
    <t xml:space="preserve">Aplicar: calcular la aceleración media. Razonar: interpretar signos de v y a</t>
  </si>
  <si>
    <t xml:space="preserve">T0179-G10-FÍS</t>
  </si>
  <si>
    <t xml:space="preserve">Movimiento con aceleración constante</t>
  </si>
  <si>
    <t xml:space="preserve">3.4. Deducción de las ecuaciones del movimiento con aceleración constante a partir de la gráfica velocidad-tiempo.</t>
  </si>
  <si>
    <t xml:space="preserve">Ecuaciones del MRUA desde gráfica v-t</t>
  </si>
  <si>
    <t xml:space="preserve">Aplicar: deducir y seleccionar ecuaciones. Razonar: relacionar áreas y pendientes con magnitudes</t>
  </si>
  <si>
    <t xml:space="preserve">T0180-G10-FÍS</t>
  </si>
  <si>
    <t xml:space="preserve">3.5. Resolución de problemas de conceptos múltiples con las ecuaciones de la cinemática, como distancias de frenado y encuentros entre móviles.</t>
  </si>
  <si>
    <t xml:space="preserve">Problemas de cinemática de varias etapas</t>
  </si>
  <si>
    <t xml:space="preserve">Aplicar: resolver problemas de varias etapas. Razonar: argumentar con resultados numéricos</t>
  </si>
  <si>
    <t xml:space="preserve">T0181-G10-FÍS</t>
  </si>
  <si>
    <t xml:space="preserve">Caída libre</t>
  </si>
  <si>
    <t xml:space="preserve">3.6. Determinación experimental de la aceleración de la gravedad y aplicación de las ecuaciones de la cinemática a la caída libre y al lanzamiento vertical.</t>
  </si>
  <si>
    <t xml:space="preserve">Caída libre y lanzamiento vertical</t>
  </si>
  <si>
    <t xml:space="preserve">Aplicar: calcular con ecuaciones de caída libre. Razonar: interpretar el ajuste lineal</t>
  </si>
  <si>
    <t xml:space="preserve">T0182-G10-FÍS</t>
  </si>
  <si>
    <t xml:space="preserve">Análisis gráfico del movimiento</t>
  </si>
  <si>
    <t xml:space="preserve">3.7. Interpretación y construcción de gráficas posición-tiempo, velocidad-tiempo y aceleración-tiempo coherentes entre sí para movimientos por tramos.</t>
  </si>
  <si>
    <t xml:space="preserve">Gráficas x-t, v-t, a-t coherentes</t>
  </si>
  <si>
    <t xml:space="preserve">Aplicar: construir gráficas. Razonar: relacionar pendientes y áreas entre gráficas</t>
  </si>
  <si>
    <t xml:space="preserve">T0183-G10-FÍS</t>
  </si>
  <si>
    <t xml:space="preserve">4. Movimiento: cinemática en dos dimensiones</t>
  </si>
  <si>
    <t xml:space="preserve">Movimiento en el plano</t>
  </si>
  <si>
    <t xml:space="preserve">4.1. Cálculo vectorial del desplazamiento, la velocidad media y la aceleración media de un móvil que se desplaza en el plano.</t>
  </si>
  <si>
    <t xml:space="preserve">Cinemática vectorial en el plano</t>
  </si>
  <si>
    <t xml:space="preserve">Aplicar: operar vectores de movimiento. Razonar: explicar la aceleración por cambio de dirección</t>
  </si>
  <si>
    <t xml:space="preserve">T0184-G10-FÍS</t>
  </si>
  <si>
    <t xml:space="preserve">4.2. Aplicación de las ecuaciones de la cinemática por componentes a movimientos en el plano con aceleración constante.</t>
  </si>
  <si>
    <t xml:space="preserve">Cinemática por componentes con aceleración constante</t>
  </si>
  <si>
    <t xml:space="preserve">Aplicar: resolver por componentes. Razonar: argumentar con evidencia de video</t>
  </si>
  <si>
    <t xml:space="preserve">T0185-G10-FÍS</t>
  </si>
  <si>
    <t xml:space="preserve">Movimiento de proyectiles</t>
  </si>
  <si>
    <t xml:space="preserve">4.3. Modelación del lanzamiento oblicuo de proyectiles y validación con un lanzador construido con materiales de bajo riesgo.</t>
  </si>
  <si>
    <t xml:space="preserve">Movimiento de proyectiles: alcance, altura, tiempo de vuelo</t>
  </si>
  <si>
    <t xml:space="preserve">Aplicar: calcular alcance y altura máxima. Razonar: evaluar el modelo con datos</t>
  </si>
  <si>
    <t xml:space="preserve">T0186-G10-FÍS</t>
  </si>
  <si>
    <t xml:space="preserve">Velocidad relativa</t>
  </si>
  <si>
    <t xml:space="preserve">4.4. Cálculo de velocidades relativas en el plano mediante la suma vectorial de velocidades respecto de distintos sistemas de referencia.</t>
  </si>
  <si>
    <t xml:space="preserve">Velocidad relativa entre sistemas de referencia</t>
  </si>
  <si>
    <t xml:space="preserve">Aplicar: sumar velocidades vectorialmente. Razonar: justificar decisiones de rumbo</t>
  </si>
  <si>
    <t xml:space="preserve">T0187-G10-FÍS</t>
  </si>
  <si>
    <t xml:space="preserve">5. Las leyes de Newton</t>
  </si>
  <si>
    <t xml:space="preserve">Fuerza y masa</t>
  </si>
  <si>
    <t xml:space="preserve">5.1. Análisis de los conceptos de fuerza y masa desde su significado cotidiano, técnico e histórico.</t>
  </si>
  <si>
    <t xml:space="preserve">Concepto de fuerza, masa inercial y peso</t>
  </si>
  <si>
    <t xml:space="preserve">Conocer: definir fuerza y masa. Razonar: evaluar fuentes históricas</t>
  </si>
  <si>
    <t xml:space="preserve">T0188-G10-FÍS</t>
  </si>
  <si>
    <t xml:space="preserve">Leyes de Newton</t>
  </si>
  <si>
    <t xml:space="preserve">5.2. Explicación de situaciones cotidianas y de seguridad vial con la primera ley de Newton y el concepto de sistema de referencia inercial.</t>
  </si>
  <si>
    <t xml:space="preserve">Primera ley de Newton e inercia</t>
  </si>
  <si>
    <t xml:space="preserve">Razonar: explicar con la primera ley. Aplicar: identificar sistemas de referencia</t>
  </si>
  <si>
    <t xml:space="preserve">T0189-G10-FÍS</t>
  </si>
  <si>
    <t xml:space="preserve">5.3. Comprobación experimental de la segunda ley de Newton mediante la relación de la aceleración con la fuerza neta y con la masa.</t>
  </si>
  <si>
    <t xml:space="preserve">Segunda ley de Newton experimental</t>
  </si>
  <si>
    <t xml:space="preserve">Aplicar: calcular y graficar. Razonar: interpretar pendientes e interceptos</t>
  </si>
  <si>
    <t xml:space="preserve">T0190-G10-FÍS</t>
  </si>
  <si>
    <t xml:space="preserve">5.4. Aplicación de la segunda ley de Newton por componentes a cuerpos sometidos a fuerzas en direcciones arbitrarias.</t>
  </si>
  <si>
    <t xml:space="preserve">Segunda ley por componentes con varias fuerzas</t>
  </si>
  <si>
    <t xml:space="preserve">Aplicar: plantear ecuaciones por componentes. Razonar: relacionar fuerza neta y aceleración</t>
  </si>
  <si>
    <t xml:space="preserve">T0191-G10-FÍS</t>
  </si>
  <si>
    <t xml:space="preserve">5.5. Identificación experimental de pares de acción y reacción y diferenciación entre pares de la tercera ley y fuerzas equilibradas sobre un mismo cuerpo.</t>
  </si>
  <si>
    <t xml:space="preserve">Tercera ley: pares acción-reacción</t>
  </si>
  <si>
    <t xml:space="preserve">Aplicar: identificar pares de fuerzas. Razonar: refutar argumentos erróneos</t>
  </si>
  <si>
    <t xml:space="preserve">T0192-G10-FÍS</t>
  </si>
  <si>
    <t xml:space="preserve">Tipos de fuerzas</t>
  </si>
  <si>
    <t xml:space="preserve">5.6. Clasificación de las fuerzas en interacciones fundamentales y fuerzas de contacto, y su identificación en situaciones reales.</t>
  </si>
  <si>
    <t xml:space="preserve">Clasificación de fuerzas en situaciones reales</t>
  </si>
  <si>
    <t xml:space="preserve">Conocer: clasificar fuerzas. Razonar: justificar recomendaciones con datos</t>
  </si>
  <si>
    <t xml:space="preserve">T0193-G10-FÍS</t>
  </si>
  <si>
    <t xml:space="preserve">5.7. Cálculo de fuerzas gravitatorias con la ley de gravitación universal y relación del peso con la atracción terrestre.</t>
  </si>
  <si>
    <t xml:space="preserve">Ley de gravitación universal y peso</t>
  </si>
  <si>
    <t xml:space="preserve">Aplicar: calcular fuerzas gravitatorias. Razonar: relacionar distancia y fuerza</t>
  </si>
  <si>
    <t xml:space="preserve">T0194-G10-FÍS</t>
  </si>
  <si>
    <t xml:space="preserve">Fuerzas de contacto</t>
  </si>
  <si>
    <t xml:space="preserve">5.8. Determinación de la fuerza normal sobre cuerpos en superficies horizontales e inclinadas y con fuerzas aplicadas en ángulo.</t>
  </si>
  <si>
    <t xml:space="preserve">Fuerza normal en planos horizontales e inclinados</t>
  </si>
  <si>
    <t xml:space="preserve">Aplicar: calcular la fuerza normal. Razonar: justificar su variación con el ángulo</t>
  </si>
  <si>
    <t xml:space="preserve">T0195-G10-FÍS</t>
  </si>
  <si>
    <t xml:space="preserve">5.9. Determinación experimental de los coeficientes de rozamiento estático y cinético entre distintos materiales.</t>
  </si>
  <si>
    <t xml:space="preserve">Rozamiento estático y cinético</t>
  </si>
  <si>
    <t xml:space="preserve">Aplicar: calcular coeficientes de rozamiento. Razonar: predecir el deslizamiento</t>
  </si>
  <si>
    <t xml:space="preserve">T0196-G10-FÍS</t>
  </si>
  <si>
    <t xml:space="preserve">5.10. Análisis de la fuerza de tensión en cuerdas, poleas y ascensores mediante las leyes de Newton.</t>
  </si>
  <si>
    <t xml:space="preserve">Tensión en cuerdas, poleas y ascensores con Newton</t>
  </si>
  <si>
    <t xml:space="preserve">Aplicar: calcular tensiones. Razonar: interpretar datos de aceleración</t>
  </si>
  <si>
    <t xml:space="preserve">T0197-G10-FÍS</t>
  </si>
  <si>
    <t xml:space="preserve">Aplicaciones de las leyes de Newton</t>
  </si>
  <si>
    <t xml:space="preserve">5.11. Resolución de problemas de equilibrio de traslación con fuerzas en varias direcciones mediante componentes.</t>
  </si>
  <si>
    <t xml:space="preserve">Equilibrio de traslación con fuerzas en varias direcciones</t>
  </si>
  <si>
    <t xml:space="preserve">Aplicar: resolver sistemas de ecuaciones. Razonar: comparar predicción y medición</t>
  </si>
  <si>
    <t xml:space="preserve">T0198-G10-FÍS</t>
  </si>
  <si>
    <t xml:space="preserve">5.12. Resolución de problemas de no equilibrio con sistemas de cuerpos conectados, planos inclinados y rozamiento.</t>
  </si>
  <si>
    <t xml:space="preserve">Cuerpos conectados, planos inclinados y rozamiento</t>
  </si>
  <si>
    <t xml:space="preserve">Aplicar: plantear sistemas de ecuaciones. Razonar: justificar decisiones de diseño</t>
  </si>
  <si>
    <t xml:space="preserve">T0199-G10-FÍS</t>
  </si>
  <si>
    <t xml:space="preserve">6. Movimiento circular uniforme</t>
  </si>
  <si>
    <t xml:space="preserve">Descripción del movimiento circular uniforme</t>
  </si>
  <si>
    <t xml:space="preserve">6.1. Modelación del movimiento circular uniforme a partir de la relación entre período, frecuencia, radio y rapidez tangencial.</t>
  </si>
  <si>
    <t xml:space="preserve">Movimiento circular uniforme: período, frecuencia, rapidez</t>
  </si>
  <si>
    <t xml:space="preserve">Aplicar: calcular período, frecuencia y rapidez. Razonar: justificar la variación de la velocidad</t>
  </si>
  <si>
    <t xml:space="preserve">T0200-G10-FÍS</t>
  </si>
  <si>
    <t xml:space="preserve">Aceleración centrípeta</t>
  </si>
  <si>
    <t xml:space="preserve">6.2. Deducción vectorial de la aceleración centrípeta a partir del cambio de dirección de la velocidad.</t>
  </si>
  <si>
    <t xml:space="preserve">Aplicar: calcular la aceleración centrípeta. Razonar: comparar resultados experimentales y teóricos</t>
  </si>
  <si>
    <t xml:space="preserve">T0201-G10-FÍS</t>
  </si>
  <si>
    <t xml:space="preserve">Dinámica del movimiento circular</t>
  </si>
  <si>
    <t xml:space="preserve">6.3. Aplicación de la segunda ley de Newton en la dirección radial para identificar la fuerza que produce la aceleración centrípeta.</t>
  </si>
  <si>
    <t xml:space="preserve">Fuerza centrípeta con segunda ley radial</t>
  </si>
  <si>
    <t xml:space="preserve">Aplicar: calcular fuerzas con la segunda ley de Newton. Razonar: identificar la fuerza centrípeta en cada caso</t>
  </si>
  <si>
    <t xml:space="preserve">T0202-G10-FÍS</t>
  </si>
  <si>
    <t xml:space="preserve">6.4. Comparación de la rapidez máxima segura de un vehículo en una curva plana y en una curva peraltada.</t>
  </si>
  <si>
    <t xml:space="preserve">Curvas planas y peraltadas: fuerza centrípeta y fricción</t>
  </si>
  <si>
    <t xml:space="preserve">Aplicar: calcular la rapidez de diseño. Razonar: justificar recomendaciones de seguridad vial</t>
  </si>
  <si>
    <t xml:space="preserve">T0203-G10-FÍS</t>
  </si>
  <si>
    <t xml:space="preserve">Gravitación y órbitas circulares</t>
  </si>
  <si>
    <t xml:space="preserve">6.5. Cálculo de la rapidez y el período de satélites en órbitas circulares igualando la fuerza gravitatoria con la fuerza centrípeta.</t>
  </si>
  <si>
    <t xml:space="preserve">Órbitas circulares: gravedad como fuerza centrípeta</t>
  </si>
  <si>
    <t xml:space="preserve">Aplicar: calcular rapidez y período orbital. Razonar: justificar la independencia de la masa</t>
  </si>
  <si>
    <t xml:space="preserve">T0204-G10-FÍS</t>
  </si>
  <si>
    <t xml:space="preserve">6.6. Análisis del peso aparente en ascensores, órbitas y estaciones espaciales giratorias mediante la segunda ley de Newton.</t>
  </si>
  <si>
    <t xml:space="preserve">Peso aparente, ingravidez y gravedad artificial</t>
  </si>
  <si>
    <t xml:space="preserve">Aplicar: calcular el peso aparente. Razonar: explicar la ingravidez como caída libre</t>
  </si>
  <si>
    <t xml:space="preserve">T0205-G10-FÍS</t>
  </si>
  <si>
    <t xml:space="preserve">Movimiento circular vertical</t>
  </si>
  <si>
    <t xml:space="preserve">6.7. Cálculo de fuerzas en los puntos extremos de un movimiento circular vertical y de la rapidez mínima para completar la vuelta.</t>
  </si>
  <si>
    <t xml:space="preserve">Movimiento circular vertical: fuerzas en extremos</t>
  </si>
  <si>
    <t xml:space="preserve">Aplicar: calcular la rapidez mínima. Razonar: comparar fuerzas en distintos puntos del círculo</t>
  </si>
  <si>
    <t xml:space="preserve">T0206-G10-FÍS</t>
  </si>
  <si>
    <t xml:space="preserve">7. Trabajo y energía</t>
  </si>
  <si>
    <t xml:space="preserve">Trabajo de una fuerza</t>
  </si>
  <si>
    <t xml:space="preserve">7.1. Cálculo del trabajo de una fuerza constante que forma un ángulo con el desplazamiento mediante el producto escalar.</t>
  </si>
  <si>
    <t xml:space="preserve">Trabajo de fuerzas, base de la energía mecánica</t>
  </si>
  <si>
    <t xml:space="preserve">Aplicar: calcular el trabajo con el producto escalar. Razonar: comparar el trabajo con distintos ángulos</t>
  </si>
  <si>
    <t xml:space="preserve">T0207-G10-FÍS</t>
  </si>
  <si>
    <t xml:space="preserve">Trabajo y energía cinética</t>
  </si>
  <si>
    <t xml:space="preserve">7.2. Aplicación del teorema del trabajo y la energía cinética a situaciones con varias fuerzas y cambios de rapidez.</t>
  </si>
  <si>
    <t xml:space="preserve">Teorema trabajo-energía cinética</t>
  </si>
  <si>
    <t xml:space="preserve">Aplicar: calcular distancias de frenado. Razonar: interpretar la pendiente de una gráfica</t>
  </si>
  <si>
    <t xml:space="preserve">T0208-G10-FÍS</t>
  </si>
  <si>
    <t xml:space="preserve">Energía potencial</t>
  </si>
  <si>
    <t xml:space="preserve">7.3. Cálculo del trabajo realizado por el peso y su relación con el cambio de energía potencial gravitatoria.</t>
  </si>
  <si>
    <t xml:space="preserve">Energía potencial gravitatoria y trabajo del peso</t>
  </si>
  <si>
    <t xml:space="preserve">Aplicar: calcular la energía potencial gravitatoria. Razonar: justificar la independencia de la trayectoria</t>
  </si>
  <si>
    <t xml:space="preserve">T0209-G10-FÍS</t>
  </si>
  <si>
    <t xml:space="preserve">Fuerzas conservativas y no conservativas</t>
  </si>
  <si>
    <t xml:space="preserve">7.4. Clasificación de fuerzas como conservativas o no conservativas a partir del trabajo realizado en trayectorias cerradas.</t>
  </si>
  <si>
    <t xml:space="preserve">Conocer: definir fuerza conservativa. Aplicar: calcular trabajo en trayectorias cerradas. Razonar: clasificar fuerzas</t>
  </si>
  <si>
    <t xml:space="preserve">T0210-G10-FÍS</t>
  </si>
  <si>
    <t xml:space="preserve">7.5. Aplicación de la conservación de la energía mecánica en sistemas con energía potencial gravitatoria y elástica.</t>
  </si>
  <si>
    <t xml:space="preserve">Conservación de energía mecánica gravitatoria y elástica</t>
  </si>
  <si>
    <t xml:space="preserve">Aplicar: calcular con la conservación de la energía. Razonar: comparar el modelo ideal con los datos</t>
  </si>
  <si>
    <t xml:space="preserve">T0211-G10-FÍS</t>
  </si>
  <si>
    <t xml:space="preserve">7.6. Cálculo del trabajo de las fuerzas no conservativas como variación de la energía mecánica del sistema.</t>
  </si>
  <si>
    <t xml:space="preserve">Energía mecánica disipada por fuerzas no conservativas</t>
  </si>
  <si>
    <t xml:space="preserve">Aplicar: calcular el trabajo de la fricción. Razonar: interpretar la pérdida de energía mecánica</t>
  </si>
  <si>
    <t xml:space="preserve">T0212-G10-FÍS</t>
  </si>
  <si>
    <t xml:space="preserve">Potencia y eficiencia</t>
  </si>
  <si>
    <t xml:space="preserve">7.7. Cálculo de la potencia media e instantánea y de la eficiencia de máquinas y motores.</t>
  </si>
  <si>
    <t xml:space="preserve">Potencia y eficiencia de máquinas</t>
  </si>
  <si>
    <t xml:space="preserve">Aplicar: calcular potencia y eficiencia. Razonar: comparar el rendimiento de máquinas</t>
  </si>
  <si>
    <t xml:space="preserve">T0213-G10-FÍS</t>
  </si>
  <si>
    <t xml:space="preserve">7.8. Análisis de cadenas de transformación de la energía en sistemas de generación eléctrica del país.</t>
  </si>
  <si>
    <t xml:space="preserve">Conservación de la energía en cadenas de transformación</t>
  </si>
  <si>
    <t xml:space="preserve">Conocer: identificar formas de energía. Aplicar: calcular eficiencias. Razonar: argumentar con datos</t>
  </si>
  <si>
    <t xml:space="preserve">T0214-G10-FÍS</t>
  </si>
  <si>
    <t xml:space="preserve">Trabajo de una fuerza variable</t>
  </si>
  <si>
    <t xml:space="preserve">7.9. Cálculo del trabajo de una fuerza variable como área bajo la curva en gráficas fuerza-posición.</t>
  </si>
  <si>
    <t xml:space="preserve">Trabajo de fuerza variable; ley de Hooke</t>
  </si>
  <si>
    <t xml:space="preserve">Aplicar: calcular áreas bajo la curva. Razonar: comparar el comportamiento del resorte y la liga</t>
  </si>
  <si>
    <t xml:space="preserve">T0215-G10-FÍS</t>
  </si>
  <si>
    <t xml:space="preserve">8. Impulso y momento</t>
  </si>
  <si>
    <t xml:space="preserve">Impulso y momento lineal</t>
  </si>
  <si>
    <t xml:space="preserve">8.1. Cálculo del impulso de una fuerza variable como área bajo la gráfica fuerza-tiempo y de la fuerza media de impacto.</t>
  </si>
  <si>
    <t xml:space="preserve">Impulso y fuerza media de impacto</t>
  </si>
  <si>
    <t xml:space="preserve">Aplicar: calcular el impulso por el área. Razonar: relacionar tiempo de contacto y fuerza media</t>
  </si>
  <si>
    <t xml:space="preserve">T0216-G10-FÍS</t>
  </si>
  <si>
    <t xml:space="preserve">Conservación del momento lineal</t>
  </si>
  <si>
    <t xml:space="preserve">8.2. Aplicación de la conservación vectorial del momento lineal en sistemas aislados, incluidas explosiones y retroceso.</t>
  </si>
  <si>
    <t xml:space="preserve">Conservación del momento lineal: explosiones, retroceso</t>
  </si>
  <si>
    <t xml:space="preserve">Aplicar: calcular velocidades con la conservación del momento. Razonar: distinguir fuerzas internas y externas</t>
  </si>
  <si>
    <t xml:space="preserve">T0217-G10-FÍS</t>
  </si>
  <si>
    <t xml:space="preserve">Colisiones</t>
  </si>
  <si>
    <t xml:space="preserve">8.3. Clasificación de colisiones en una dimensión según la conservación de la energía cinética y el coeficiente de restitución.</t>
  </si>
  <si>
    <t xml:space="preserve">Choques elásticos e inelásticos, energía cinética perdida</t>
  </si>
  <si>
    <t xml:space="preserve">Aplicar: calcular el coeficiente de restitución. Razonar: clasificar colisiones con datos</t>
  </si>
  <si>
    <t xml:space="preserve">T0218-G10-FÍS</t>
  </si>
  <si>
    <t xml:space="preserve">8.4. Resolución de colisiones en dos dimensiones mediante la conservación del momento lineal en componentes rectangulares.</t>
  </si>
  <si>
    <t xml:space="preserve">Colisiones en dos dimensiones por componentes</t>
  </si>
  <si>
    <t xml:space="preserve">Aplicar: resolver ecuaciones por componentes. Razonar: verificar la conservación con datos de video</t>
  </si>
  <si>
    <t xml:space="preserve">T0219-G10-FÍS</t>
  </si>
  <si>
    <t xml:space="preserve">Centro de masas</t>
  </si>
  <si>
    <t xml:space="preserve">8.5. Cálculo de la posición y la velocidad del centro de masas de un sistema antes y después de una colisión.</t>
  </si>
  <si>
    <t xml:space="preserve">Centro de masas en colisiones sin fuerza externa</t>
  </si>
  <si>
    <t xml:space="preserve">Aplicar: calcular la posición y la velocidad del centro de masas. Razonar: justificar su movimiento uniforme</t>
  </si>
  <si>
    <t xml:space="preserve">T0220-G10-FÍS</t>
  </si>
  <si>
    <t xml:space="preserve">9. Cinemática de rotación</t>
  </si>
  <si>
    <t xml:space="preserve">Variables angulares</t>
  </si>
  <si>
    <t xml:space="preserve">9.1. Medición del desplazamiento angular de objetos que giran y su conversión entre radianes, grados y revoluciones.</t>
  </si>
  <si>
    <t xml:space="preserve">Variables angulares; cinemática rotacional fuera del marco</t>
  </si>
  <si>
    <t xml:space="preserve">Conocer: definir el radián. Aplicar: convertir unidades angulares. Razonar: relacionar arco y ángulo</t>
  </si>
  <si>
    <t xml:space="preserve">T0221-G10-FÍS</t>
  </si>
  <si>
    <t xml:space="preserve">9.2. Cálculo de la velocidad y la aceleración angulares medias e instantáneas a partir de gráficas ángulo-tiempo.</t>
  </si>
  <si>
    <t xml:space="preserve">Velocidad y aceleración angular; cinemática rotacional</t>
  </si>
  <si>
    <t xml:space="preserve">Aplicar: calcular pendientes. Razonar: interpretar gráficas de rotación</t>
  </si>
  <si>
    <t xml:space="preserve">T0222-G10-FÍS</t>
  </si>
  <si>
    <t xml:space="preserve">Cinemática rotacional</t>
  </si>
  <si>
    <t xml:space="preserve">9.3. Resolución de problemas con las ecuaciones de la cinemática rotacional con aceleración angular constante.</t>
  </si>
  <si>
    <t xml:space="preserve">Ecuaciones de cinemática rotacional</t>
  </si>
  <si>
    <t xml:space="preserve">Aplicar: resolver ecuaciones de la cinemática rotacional. Razonar: establecer analogías</t>
  </si>
  <si>
    <t xml:space="preserve">T0223-G10-FÍS</t>
  </si>
  <si>
    <t xml:space="preserve">Relación entre variables angulares y tangenciales</t>
  </si>
  <si>
    <t xml:space="preserve">9.4. Relación de la velocidad angular con la velocidad tangencial en ruedas, poleas y sistemas de transmisión.</t>
  </si>
  <si>
    <t xml:space="preserve">Transmisión por engranajes v=ωr; rotación, no centrípeta</t>
  </si>
  <si>
    <t xml:space="preserve">Aplicar: calcular velocidades tangenciales. Razonar: justificar la relación de transmisión</t>
  </si>
  <si>
    <t xml:space="preserve">T0224-G10-FÍS</t>
  </si>
  <si>
    <t xml:space="preserve">9.5. Cálculo de las componentes tangencial y centrípeta de la aceleración de un punto de un cuerpo que gira con aceleración angular.</t>
  </si>
  <si>
    <t xml:space="preserve">Aceleración centrípeta y tangencial en rotación</t>
  </si>
  <si>
    <t xml:space="preserve">Aplicar: calcular componentes de la aceleración. Razonar: interpretar la dirección de la aceleración total</t>
  </si>
  <si>
    <t xml:space="preserve">T0225-G10-FÍS</t>
  </si>
  <si>
    <t xml:space="preserve">Movimiento de rodadura</t>
  </si>
  <si>
    <t xml:space="preserve">9.6. Análisis del movimiento de rodadura sin deslizamiento como combinación de traslación y rotación.</t>
  </si>
  <si>
    <t xml:space="preserve">Rodadura sin deslizamiento; cinemática rotacional</t>
  </si>
  <si>
    <t xml:space="preserve">Aplicar: verificar la condición de rodadura. Razonar: explicar la velocidad de los puntos de la rueda</t>
  </si>
  <si>
    <t xml:space="preserve">T0226-G10-FÍS</t>
  </si>
  <si>
    <t xml:space="preserve">Naturaleza vectorial de las variables angulares</t>
  </si>
  <si>
    <t xml:space="preserve">9.7. Representación vectorial de la velocidad y la aceleración angulares mediante la regla de la mano derecha.</t>
  </si>
  <si>
    <t xml:space="preserve">Vectores angulares y regla de mano derecha</t>
  </si>
  <si>
    <t xml:space="preserve">Conocer: identificar la dirección del vector angular. Aplicar: usar la regla de la mano derecha. Razonar: argumentar</t>
  </si>
  <si>
    <t xml:space="preserve">T0227-G10-FÍS</t>
  </si>
  <si>
    <t xml:space="preserve">10. Dinámica de rotación</t>
  </si>
  <si>
    <t xml:space="preserve">Torque y equilibrio</t>
  </si>
  <si>
    <t xml:space="preserve">10.1. Cálculo vectorial del torque de fuerzas aplicadas con distintos ángulos y puntos de aplicación.</t>
  </si>
  <si>
    <t xml:space="preserve">Torque como producto vectorial; dinámica rotacional</t>
  </si>
  <si>
    <t xml:space="preserve">Aplicar: calcular torques con ángulo. Razonar: justificar la dirección del torque</t>
  </si>
  <si>
    <t xml:space="preserve">T0228-G10-FÍS</t>
  </si>
  <si>
    <t xml:space="preserve">10.2. Resolución de problemas de sólidos rígidos en equilibrio aplicando las dos condiciones de equilibrio y funciones trigonométricas.</t>
  </si>
  <si>
    <t xml:space="preserve">Equilibrio de sólido rígido: tensiones y reacciones con torque</t>
  </si>
  <si>
    <t xml:space="preserve">Aplicar: resolver sistemas de ecuaciones de equilibrio. Razonar: predecir cambios en las tensiones</t>
  </si>
  <si>
    <t xml:space="preserve">T0229-G10-FÍS</t>
  </si>
  <si>
    <t xml:space="preserve">Centro de gravedad y estabilidad</t>
  </si>
  <si>
    <t xml:space="preserve">10.3. Cálculo del centro de gravedad de cuerpos compuestos y predicción de su estabilidad frente al vuelco.</t>
  </si>
  <si>
    <t xml:space="preserve">Centro de gravedad y estabilidad al vuelco</t>
  </si>
  <si>
    <t xml:space="preserve">Aplicar: calcular el centro de gravedad. Razonar: predecir el ángulo de vuelco</t>
  </si>
  <si>
    <t xml:space="preserve">T0230-G10-FÍS</t>
  </si>
  <si>
    <t xml:space="preserve">Segunda ley de Newton para la rotación</t>
  </si>
  <si>
    <t xml:space="preserve">10.4. Aplicación de la segunda ley de Newton para la rotación en sistemas con poleas y cuerpos de distinta forma.</t>
  </si>
  <si>
    <t xml:space="preserve">Segunda ley rotacional y momento de inercia</t>
  </si>
  <si>
    <t xml:space="preserve">Aplicar: calcular el momento de inercia. Razonar: comparar valores experimentales y teóricos</t>
  </si>
  <si>
    <t xml:space="preserve">T0231-G10-FÍS</t>
  </si>
  <si>
    <t xml:space="preserve">Energía y momento angular</t>
  </si>
  <si>
    <t xml:space="preserve">10.5. Aplicación de la conservación de la energía a cuerpos que ruedan combinando energía cinética de traslación y de rotación.</t>
  </si>
  <si>
    <t xml:space="preserve">Conservación de energía con rodadura</t>
  </si>
  <si>
    <t xml:space="preserve">Aplicar: calcular la rapidez con energía rotacional. Razonar: criticar argumentos con datos</t>
  </si>
  <si>
    <t xml:space="preserve">T0232-G10-FÍS</t>
  </si>
  <si>
    <t xml:space="preserve">10.6. Aplicación de la conservación del momento angular en sistemas que cambian su momento de inercia.</t>
  </si>
  <si>
    <t xml:space="preserve">Conservación del momento angular, no está en el marco</t>
  </si>
  <si>
    <t xml:space="preserve">Aplicar: calcular con la conservación del momento angular. Razonar: explicar el cambio de energía</t>
  </si>
  <si>
    <t xml:space="preserve">T0233-G10-FÍS</t>
  </si>
  <si>
    <t xml:space="preserve">11. Mecánica de fluidos</t>
  </si>
  <si>
    <t xml:space="preserve">Hidrostática cuantitativa</t>
  </si>
  <si>
    <t xml:space="preserve">11.1. Determinación experimental de la densidad y la densidad relativa de sólidos y líquidos con su incertidumbre.</t>
  </si>
  <si>
    <t xml:space="preserve">Densidad; hidrostática fuera del marco</t>
  </si>
  <si>
    <t xml:space="preserve">Aplicar: calcular densidades con incertidumbre. Razonar: identificar materiales con datos</t>
  </si>
  <si>
    <t xml:space="preserve">T0234-G10-FÍS</t>
  </si>
  <si>
    <t xml:space="preserve">11.2. Cálculo de la presión y de la fuerza que ejercen los fluidos sobre superficies de distinta área y orientación.</t>
  </si>
  <si>
    <t xml:space="preserve">Presión en fluidos; hidrostática</t>
  </si>
  <si>
    <t xml:space="preserve">Aplicar: calcular presión y fuerza. Razonar: justificar la dirección de la fuerza de presión</t>
  </si>
  <si>
    <t xml:space="preserve">T0235-G10-FÍS</t>
  </si>
  <si>
    <t xml:space="preserve">11.3. Cálculo de la presión absoluta y manométrica a diferentes profundidades y altitudes.</t>
  </si>
  <si>
    <t xml:space="preserve">Presión absoluta y manométrica; hidrostática</t>
  </si>
  <si>
    <t xml:space="preserve">Aplicar: calcular presión absoluta y manométrica. Razonar: relacionar presión y altitud</t>
  </si>
  <si>
    <t xml:space="preserve">T0236-G10-FÍS</t>
  </si>
  <si>
    <t xml:space="preserve">Medición de la presión</t>
  </si>
  <si>
    <t xml:space="preserve">11.4. Construcción y calibración de un manómetro de tubo en U para medir presiones manométricas.</t>
  </si>
  <si>
    <t xml:space="preserve">Manómetros; hidrostática</t>
  </si>
  <si>
    <t xml:space="preserve">Aplicar: calcular presiones con diferencia de alturas. Razonar: evaluar un instrumento propio</t>
  </si>
  <si>
    <t xml:space="preserve">T0237-G10-FÍS</t>
  </si>
  <si>
    <t xml:space="preserve">Transmisión de la presión</t>
  </si>
  <si>
    <t xml:space="preserve">11.5. Análisis cuantitativo de sistemas hidráulicos aplicando el principio de Pascal y la conservación del trabajo.</t>
  </si>
  <si>
    <t xml:space="preserve">Principio de Pascal; hidrostática</t>
  </si>
  <si>
    <t xml:space="preserve">Aplicar: calcular fuerzas y desplazamientos. Razonar: justificar la conservación del trabajo</t>
  </si>
  <si>
    <t xml:space="preserve">T0238-G10-FÍS</t>
  </si>
  <si>
    <t xml:space="preserve">11.6. Cálculo de la fracción sumergida de cuerpos flotantes y de la carga máxima de embarcaciones aplicando el principio de Arquímedes.</t>
  </si>
  <si>
    <t xml:space="preserve">Principio de Arquímedes y flotación; mecánica de fluidos</t>
  </si>
  <si>
    <t xml:space="preserve">Aplicar: calcular la fracción sumergida y la carga máxima. Razonar: justificar recomendaciones de seguridad</t>
  </si>
  <si>
    <t xml:space="preserve">T0239-G10-FÍS</t>
  </si>
  <si>
    <t xml:space="preserve">Hidrodinámica</t>
  </si>
  <si>
    <t xml:space="preserve">11.7. Clasificación de flujos laminares y turbulentos mediante la observación de líneas de corriente y el cálculo del número de Reynolds.</t>
  </si>
  <si>
    <t xml:space="preserve">Flujo laminar y turbulento; hidrodinámica</t>
  </si>
  <si>
    <t xml:space="preserve">Aplicar: calcular el número de Reynolds. Razonar: clasificar el régimen de flujo</t>
  </si>
  <si>
    <t xml:space="preserve">T0240-G10-FÍS</t>
  </si>
  <si>
    <t xml:space="preserve">11.8. Aplicación de la ecuación de continuidad al cálculo de caudales y rapideces en tuberías, mangueras y canales de riego.</t>
  </si>
  <si>
    <t xml:space="preserve">Ecuación de continuidad; hidrodinámica</t>
  </si>
  <si>
    <t xml:space="preserve">Aplicar: calcular caudales y rapideces. Razonar: justificar el diseño de una red de riego</t>
  </si>
  <si>
    <t xml:space="preserve">T0241-G10-FÍS</t>
  </si>
  <si>
    <t xml:space="preserve">Ecuación de Bernoulli</t>
  </si>
  <si>
    <t xml:space="preserve">11.9. Deducción de la ecuación de Bernoulli a partir del teorema del trabajo y la energía aplicado a un fluido ideal.</t>
  </si>
  <si>
    <t xml:space="preserve">Bernoulli desde trabajo-energía; hidrodinámica fuera del marco</t>
  </si>
  <si>
    <t xml:space="preserve">Razonar: deducir la ecuación de Bernoulli. Aplicar: calcular presiones en tuberías</t>
  </si>
  <si>
    <t xml:space="preserve">T0242-G10-FÍS</t>
  </si>
  <si>
    <t xml:space="preserve">11.10. Resolución de problemas tecnológicos aplicando la ecuación de Bernoulli junto con la ecuación de continuidad.</t>
  </si>
  <si>
    <t xml:space="preserve">Aplicaciones de Bernoulli; hidrodinámica</t>
  </si>
  <si>
    <t xml:space="preserve">Aplicar: resolver problemas con Bernoulli y continuidad. Razonar: argumentar soluciones tecnológicas</t>
  </si>
  <si>
    <t xml:space="preserve">T0243-G10-FÍS</t>
  </si>
  <si>
    <t xml:space="preserve">Fluidos viscosos</t>
  </si>
  <si>
    <t xml:space="preserve">11.11. Análisis del efecto de la viscosidad en el flujo por tuberías y de las pérdidas de presión asociadas.</t>
  </si>
  <si>
    <t xml:space="preserve">Viscosidad y Poiseuille; hidrodinámica</t>
  </si>
  <si>
    <t xml:space="preserve">Aplicar: calcular caudales con la ley de Poiseuille. Razonar: explicar la dependencia de r⁴</t>
  </si>
  <si>
    <t xml:space="preserve">T0244-G10-FÍS</t>
  </si>
  <si>
    <t xml:space="preserve">12. Temperatura y calor</t>
  </si>
  <si>
    <t xml:space="preserve">Temperatura y su medición</t>
  </si>
  <si>
    <t xml:space="preserve">12.1. Deducción de las ecuaciones de conversión entre escalas de temperatura a partir de sus puntos fijos.</t>
  </si>
  <si>
    <t xml:space="preserve">Conversión entre escalas de temperatura; unidades</t>
  </si>
  <si>
    <t xml:space="preserve">Aplicar: deducir y usar una relación lineal. Razonar: justificar un punto de coincidencia entre escalas</t>
  </si>
  <si>
    <t xml:space="preserve">T0245-G10-FÍS</t>
  </si>
  <si>
    <t xml:space="preserve">12.2. Extrapolación de datos de presión y temperatura de un gas a volumen constante para estimar el cero absoluto.</t>
  </si>
  <si>
    <t xml:space="preserve">Gas a volumen constante y cero absoluto</t>
  </si>
  <si>
    <t xml:space="preserve">Aplicar: graficar y ajustar una recta. Razonar: interpretar una extrapolación y su incertidumbre</t>
  </si>
  <si>
    <t xml:space="preserve">T0246-G10-FÍS</t>
  </si>
  <si>
    <t xml:space="preserve">12.3. Calibración de un sensor de temperatura mediante dos puntos fijos y comparación con un termómetro de referencia.</t>
  </si>
  <si>
    <t xml:space="preserve">Termómetros y calibración; equilibrio térmico</t>
  </si>
  <si>
    <t xml:space="preserve">Conocer: identificar propiedades termométricas. Aplicar: calibrar con dos puntos. Razonar: seleccionar instrumentos</t>
  </si>
  <si>
    <t xml:space="preserve">T0247-G10-FÍS</t>
  </si>
  <si>
    <t xml:space="preserve">Dilatación térmica</t>
  </si>
  <si>
    <t xml:space="preserve">12.4. Cálculo de la variación de longitud de materiales sometidos a cambios de temperatura mediante ΔL = αL₀ΔT.</t>
  </si>
  <si>
    <t xml:space="preserve">Dilatación lineal</t>
  </si>
  <si>
    <t xml:space="preserve">Aplicar: calcular variaciones de longitud. Razonar: justificar decisiones de diseño estructural</t>
  </si>
  <si>
    <t xml:space="preserve">T0248-G10-FÍS</t>
  </si>
  <si>
    <t xml:space="preserve">12.5. Construcción e interpretación de gráficas volumen-temperatura para sólidos, líquidos y el agua entre 0 °C y 10 °C.</t>
  </si>
  <si>
    <t xml:space="preserve">Dilatación volumétrica y anomalía del agua</t>
  </si>
  <si>
    <t xml:space="preserve">Aplicar: calcular dilatación volumétrica. Razonar: interpretar una gráfica no lineal</t>
  </si>
  <si>
    <t xml:space="preserve">T0249-G10-FÍS</t>
  </si>
  <si>
    <t xml:space="preserve">Calor y energía interna</t>
  </si>
  <si>
    <t xml:space="preserve">12.6. Análisis del calor como energía transferida y de la energía interna como suma de energías de las partículas.</t>
  </si>
  <si>
    <t xml:space="preserve">Calor, temperatura y energía interna</t>
  </si>
  <si>
    <t xml:space="preserve">Conocer: diferenciar calor y energía interna. Razonar: explicar transferencias con un modelo</t>
  </si>
  <si>
    <t xml:space="preserve">T0250-G10-FÍS</t>
  </si>
  <si>
    <t xml:space="preserve">Calorimetría</t>
  </si>
  <si>
    <t xml:space="preserve">12.7. Determinación experimental del calor específico de un metal por el método de mezclas en un calorímetro.</t>
  </si>
  <si>
    <t xml:space="preserve">Calor específico por método de mezclas</t>
  </si>
  <si>
    <t xml:space="preserve">Aplicar: plantear y resolver balances de energía. Razonar: identificar un material por su calor específico</t>
  </si>
  <si>
    <t xml:space="preserve">T0251-G10-FÍS</t>
  </si>
  <si>
    <t xml:space="preserve">12.8. Resolución de problemas de calorimetría que combinan cambios de temperatura y cambios de fase.</t>
  </si>
  <si>
    <t xml:space="preserve">Calorimetría con calor latente y cambios de fase</t>
  </si>
  <si>
    <t xml:space="preserve">Aplicar: calcular calor en cambios de fase. Razonar: decidir qué fases coexisten al final de una mezcla</t>
  </si>
  <si>
    <t xml:space="preserve">T0252-G10-FÍS</t>
  </si>
  <si>
    <t xml:space="preserve">Fases de la materia</t>
  </si>
  <si>
    <t xml:space="preserve">12.9. Interpretación de diagramas de fase presión-temperatura del agua y del dióxido de carbono.</t>
  </si>
  <si>
    <t xml:space="preserve">Diagramas de fase; no está en el catálogo</t>
  </si>
  <si>
    <t xml:space="preserve">Aplicar: leer un diagrama de fases. Razonar: predecir estados según presión y temperatura</t>
  </si>
  <si>
    <t xml:space="preserve">T0253-G10-FÍS</t>
  </si>
  <si>
    <t xml:space="preserve">12.10. Cálculo de la humedad relativa y del punto de rocío a partir de datos meteorológicos de estaciones salvadoreñas.</t>
  </si>
  <si>
    <t xml:space="preserve">Humedad relativa y punto de rocío; meteorología</t>
  </si>
  <si>
    <t xml:space="preserve">Aplicar: calcular humedad relativa y punto de rocío. Razonar: explicar la variación diaria con datos</t>
  </si>
  <si>
    <t xml:space="preserve">T0254-G10-FÍS</t>
  </si>
  <si>
    <t xml:space="preserve">13. Transferencia de calor</t>
  </si>
  <si>
    <t xml:space="preserve">Mecanismos de transferencia de calor</t>
  </si>
  <si>
    <t xml:space="preserve">13.1. Análisis de corrientes de convección a partir de los cambios de densidad de un fluido con la temperatura.</t>
  </si>
  <si>
    <t xml:space="preserve">Convección como mecanismo de transferencia de calor</t>
  </si>
  <si>
    <t xml:space="preserve">Conocer: describir la convección. Razonar: explicar fenómenos atmosféricos y domésticos</t>
  </si>
  <si>
    <t xml:space="preserve">T0255-G10-FÍS</t>
  </si>
  <si>
    <t xml:space="preserve">13.2. Cálculo del flujo de calor por conducción a través de paredes y techos mediante H = kAΔT/L.</t>
  </si>
  <si>
    <t xml:space="preserve">Conducción y ley de Fourier</t>
  </si>
  <si>
    <t xml:space="preserve">Aplicar: calcular flujo de calor. Razonar: comparar materiales y justificar una elección</t>
  </si>
  <si>
    <t xml:space="preserve">T0256-G10-FÍS</t>
  </si>
  <si>
    <t xml:space="preserve">13.3. Aplicación de la ley de Stefan-Boltzmann y de la ley de Wien al cálculo de la potencia radiada y del color de cuerpos calientes.</t>
  </si>
  <si>
    <t xml:space="preserve">Stefan-Boltzmann y Wien: radiación térmica</t>
  </si>
  <si>
    <t xml:space="preserve">Aplicar: calcular potencia radiada. Razonar: relacionar temperatura y espectro de emisión</t>
  </si>
  <si>
    <t xml:space="preserve">T0257-G10-FÍS</t>
  </si>
  <si>
    <t xml:space="preserve">Aplicaciones de la transferencia de calor</t>
  </si>
  <si>
    <t xml:space="preserve">13.4. Diseño y evaluación de un dispositivo que controla los tres mecanismos de transferencia de calor.</t>
  </si>
  <si>
    <t xml:space="preserve">Control de conducción, convección y radiación en dispositivos</t>
  </si>
  <si>
    <t xml:space="preserve">Aplicar: modelar pérdidas de calor. Razonar: justificar decisiones de diseño con datos</t>
  </si>
  <si>
    <t xml:space="preserve">T0258-G10-FÍS</t>
  </si>
  <si>
    <t xml:space="preserve">14. Los gases ideales</t>
  </si>
  <si>
    <t xml:space="preserve">Modelo del gas ideal</t>
  </si>
  <si>
    <t xml:space="preserve">14.1. Aplicación de la ecuación de estado del gas ideal a problemas con presión absoluta, volumen, temperatura y número de moléculas.</t>
  </si>
  <si>
    <t xml:space="preserve">Ecuación de estado del gas ideal</t>
  </si>
  <si>
    <t xml:space="preserve">Aplicar: usar la ecuación de estado y linealizar datos. Razonar: interpretar la pendiente de una gráfica</t>
  </si>
  <si>
    <t xml:space="preserve">T0259-G10-FÍS</t>
  </si>
  <si>
    <t xml:space="preserve">Teoría cinética de los gases</t>
  </si>
  <si>
    <t xml:space="preserve">14.2. Deducción de la relación entre la energía cinética media de las moléculas y la temperatura absoluta del gas.</t>
  </si>
  <si>
    <t xml:space="preserve">Teoría cinética: energía cinética media y temperatura</t>
  </si>
  <si>
    <t xml:space="preserve">Aplicar: calcular energía cinética media y v_rms. Razonar: vincular lo microscópico con lo macroscópico</t>
  </si>
  <si>
    <t xml:space="preserve">T0260-G10-FÍS</t>
  </si>
  <si>
    <t xml:space="preserve">15. Termodinámica</t>
  </si>
  <si>
    <t xml:space="preserve">Fundamentos de la termodinámica</t>
  </si>
  <si>
    <t xml:space="preserve">15.1. Caracterización de sistemas termodinámicos reales identificando su frontera, su entorno y sus variables de estado.</t>
  </si>
  <si>
    <t xml:space="preserve">Sistemas termodinámicos y variables de estado</t>
  </si>
  <si>
    <t xml:space="preserve">Conocer: clasificar sistemas. Aplicar: identificar variables de estado y flujos</t>
  </si>
  <si>
    <t xml:space="preserve">T0261-G10-FÍS</t>
  </si>
  <si>
    <t xml:space="preserve">15.2. Análisis de curvas de aproximación al equilibrio térmico entre dos cuerpos y un termómetro.</t>
  </si>
  <si>
    <t xml:space="preserve">Ley cero y equilibrio térmico</t>
  </si>
  <si>
    <t xml:space="preserve">Aplicar: interpretar curvas de temperatura. Razonar: justificar el principio de medición</t>
  </si>
  <si>
    <t xml:space="preserve">T0262-G10-FÍS</t>
  </si>
  <si>
    <t xml:space="preserve">15.3. Aplicación de la primera ley a procesos en los que calor y trabajo actúan simultáneamente sobre un sistema.</t>
  </si>
  <si>
    <t xml:space="preserve">Primera ley ΔU = Q − W</t>
  </si>
  <si>
    <t xml:space="preserve">Aplicar: calcular ΔU, Q y W. Razonar: distinguir funciones de estado y de trayectoria</t>
  </si>
  <si>
    <t xml:space="preserve">T0263-G10-FÍS</t>
  </si>
  <si>
    <t xml:space="preserve">15.4. Representación de procesos termodinámicos en diagramas p-V y cálculo del trabajo como área bajo la curva.</t>
  </si>
  <si>
    <t xml:space="preserve">Procesos termodinámicos y trabajo en diagrama p-V</t>
  </si>
  <si>
    <t xml:space="preserve">Aplicar: calcular áreas en el diagrama p-V. Razonar: relacionar el sentido del ciclo con el trabajo neto</t>
  </si>
  <si>
    <t xml:space="preserve">T0264-G10-FÍS</t>
  </si>
  <si>
    <t xml:space="preserve">15.5. Cálculo del trabajo y del cambio de energía interna en expansiones y compresiones isotérmicas y adiabáticas de un gas ideal.</t>
  </si>
  <si>
    <t xml:space="preserve">Procesos isotérmicos y adiabáticos del gas ideal</t>
  </si>
  <si>
    <t xml:space="preserve">Aplicar: usar expresiones logarítmicas y potenciales. Razonar: validar un método numérico</t>
  </si>
  <si>
    <t xml:space="preserve">T0265-G10-FÍS</t>
  </si>
  <si>
    <t xml:space="preserve">15.6. Determinación de las capacidades caloríficas molares de un gas ideal mediante la primera ley.</t>
  </si>
  <si>
    <t xml:space="preserve">Capacidades caloríficas molares mediante primera ley</t>
  </si>
  <si>
    <t xml:space="preserve">Aplicar: deducir y usar relaciones entre capacidades caloríficas. Razonar: interpretar datos tabulados</t>
  </si>
  <si>
    <t xml:space="preserve">T0266-G10-FÍS</t>
  </si>
  <si>
    <t xml:space="preserve">15.7. Análisis de la equivalencia entre los enunciados de Kelvin-Planck y de Clausius de la segunda ley.</t>
  </si>
  <si>
    <t xml:space="preserve">Segunda ley: enunciados Kelvin-Planck y Clausius</t>
  </si>
  <si>
    <t xml:space="preserve">Razonar: argumentar la imposibilidad de procesos. Aplicar: usar los enunciados de la segunda ley</t>
  </si>
  <si>
    <t xml:space="preserve">T0267-G10-FÍS</t>
  </si>
  <si>
    <t xml:space="preserve">15.8. Cálculo de la eficiencia de máquinas térmicas a partir de diagramas de flujo de energía y de datos reales de generación.</t>
  </si>
  <si>
    <t xml:space="preserve">Eficiencia de máquinas térmicas por balance de energía</t>
  </si>
  <si>
    <t xml:space="preserve">Aplicar: calcular eficiencias con datos reales. Razonar: explicar el calor cedido al foco frío</t>
  </si>
  <si>
    <t xml:space="preserve">T0268-G10-FÍS</t>
  </si>
  <si>
    <t xml:space="preserve">15.9. Análisis del ciclo de Carnot en el diagrama p-V y deducción de su eficiencia a partir de las temperaturas de los focos.</t>
  </si>
  <si>
    <t xml:space="preserve">Ciclo de Carnot; segunda ley fuera del catálogo</t>
  </si>
  <si>
    <t xml:space="preserve">Aplicar: calcular la eficiencia de Carnot. Razonar: comparar máquinas reales con el límite teórico</t>
  </si>
  <si>
    <t xml:space="preserve">T0269-G10-FÍS</t>
  </si>
  <si>
    <t xml:space="preserve">Máquinas frigoríficas</t>
  </si>
  <si>
    <t xml:space="preserve">15.10. Cálculo del coeficiente de rendimiento de refrigeradores, acondicionadores de aire y bombas de calor.</t>
  </si>
  <si>
    <t xml:space="preserve">Coeficiente de rendimiento de refrigeradores; balance energético</t>
  </si>
  <si>
    <t xml:space="preserve">Aplicar: calcular el coeficiente de rendimiento. Razonar: explicar el flujo de calor inverso</t>
  </si>
  <si>
    <t xml:space="preserve">T0270-G10-FÍS</t>
  </si>
  <si>
    <t xml:space="preserve">Entropía</t>
  </si>
  <si>
    <t xml:space="preserve">15.11. Cálculo del cambio de entropía en cambios de fase, en el ciclo de Carnot y en la transferencia irreversible de calor.</t>
  </si>
  <si>
    <t xml:space="preserve">Entropía, no está en el marco</t>
  </si>
  <si>
    <t xml:space="preserve">Aplicar: calcular cambios de entropía. Razonar: justificar la irreversibilidad</t>
  </si>
  <si>
    <t xml:space="preserve">T0271-G10-FÍS</t>
  </si>
  <si>
    <t xml:space="preserve">15.12. Investigación documental sobre la tercera ley y los métodos para alcanzar temperaturas cercanas al cero absoluto.</t>
  </si>
  <si>
    <t xml:space="preserve">Tercera ley de la termodinámica</t>
  </si>
  <si>
    <t xml:space="preserve">Conocer: enunciar la tercera ley. Razonar: argumentar la inalcanzabilidad del cero absoluto</t>
  </si>
  <si>
    <t xml:space="preserve">T0272-G10-FÍS</t>
  </si>
  <si>
    <t xml:space="preserve">16. Óptica</t>
  </si>
  <si>
    <t xml:space="preserve">Óptica física</t>
  </si>
  <si>
    <t xml:space="preserve">16.1. Indagación de la propagación ondulatoria de la luz al incidir en objetos.</t>
  </si>
  <si>
    <t xml:space="preserve">Propagación ondulatoria de la luz</t>
  </si>
  <si>
    <t xml:space="preserve">Conocer: describir la luz como onda. Aplicar: usar el principio de Huygens. Razonar: comparar aberturas y longitud de onda</t>
  </si>
  <si>
    <t xml:space="preserve">T0273-G10-FÍS</t>
  </si>
  <si>
    <t xml:space="preserve">16.2. Experimentación con los fenómenos de interferencia, difracción y polarización de la luz.</t>
  </si>
  <si>
    <t xml:space="preserve">Interferencia, difracción y polarización de la luz</t>
  </si>
  <si>
    <t xml:space="preserve">Aplicar: representar interferencia y polarización. Razonar: relacionar variables del montaje con el patrón</t>
  </si>
  <si>
    <t xml:space="preserve">T0274-G10-FÍS</t>
  </si>
  <si>
    <t xml:space="preserve">16.3. Exploración de las aplicaciones tecnológicas de la interferencia, difracción y polarización.</t>
  </si>
  <si>
    <t xml:space="preserve">Aplicaciones de interferencia y difracción</t>
  </si>
  <si>
    <t xml:space="preserve">Conocer: identificar aplicaciones. Razonar: explicar su funcionamiento con fenómenos ondulatorios</t>
  </si>
  <si>
    <t xml:space="preserve">T0275-G10-FÍS</t>
  </si>
  <si>
    <t xml:space="preserve">16.4. Reconocimiento de la dispersión y descomposición de la luz en situaciones cotidianas.</t>
  </si>
  <si>
    <t xml:space="preserve">Dispersión de la luz como refracción; espectro visible</t>
  </si>
  <si>
    <t xml:space="preserve">Conocer: identificar dispersión y descomposición. Razonar: relacionar partículas con el color del cielo</t>
  </si>
  <si>
    <t xml:space="preserve">T0276-G10-FÍS</t>
  </si>
  <si>
    <t xml:space="preserve">16.5. Experimentación con los fenómenos de dispersión y descomposición de la luz.</t>
  </si>
  <si>
    <t xml:space="preserve">Experimentación con dispersión y descomposición de la luz</t>
  </si>
  <si>
    <t xml:space="preserve">Aplicar: medir desviaciones angulares. Razonar: concluir sobre la dependencia del índice con la longitud de onda</t>
  </si>
  <si>
    <t xml:space="preserve">T0277-G10-FÍS</t>
  </si>
  <si>
    <t xml:space="preserve">16.6. Exploración de las aplicaciones tecnológicas de la dispersión y descomposición de la luz.</t>
  </si>
  <si>
    <t xml:space="preserve">Aplicaciones tecnológicas de la dispersión</t>
  </si>
  <si>
    <t xml:space="preserve">Conocer: identificar aplicaciones. Aplicar: construir un espectroscopio. Razonar: valorar su uso social</t>
  </si>
  <si>
    <t xml:space="preserve">T0278-G10-FÍS</t>
  </si>
  <si>
    <t xml:space="preserve">Óptica geométrica</t>
  </si>
  <si>
    <t xml:space="preserve">16.7. Indagación del comportamiento corpuscular de la luz.</t>
  </si>
  <si>
    <t xml:space="preserve">Trayectoria de la luz en reflexión y refracción</t>
  </si>
  <si>
    <t xml:space="preserve">Conocer: describir la propagación rectilínea. Aplicar: predecir trayectorias. Razonar: comparar modelos de la luz</t>
  </si>
  <si>
    <t xml:space="preserve">T0279-G10-FÍS</t>
  </si>
  <si>
    <t xml:space="preserve">16.8. Medición de los ángulos de incidencia, refracción, reflexión y crítico.</t>
  </si>
  <si>
    <t xml:space="preserve">Medición de ángulos de reflexión y refracción</t>
  </si>
  <si>
    <t xml:space="preserve">Aplicar: medir ángulos y linealizar datos. Razonar: validar la ley de Snell con evidencia</t>
  </si>
  <si>
    <t xml:space="preserve">T0280-G10-FÍS</t>
  </si>
  <si>
    <t xml:space="preserve">16.9. Resolución de problemas sobre reflexión, refracción y reflexión interna total.</t>
  </si>
  <si>
    <t xml:space="preserve">Problemas de reflexión, refracción y reflexión total</t>
  </si>
  <si>
    <t xml:space="preserve">Aplicar: resolver problemas con la ley de Snell. Razonar: decidir si ocurre reflexión interna total</t>
  </si>
  <si>
    <t xml:space="preserve">T0281-G10-FÍS</t>
  </si>
  <si>
    <t xml:space="preserve">16.10. Indagación de las propiedades de las imágenes.</t>
  </si>
  <si>
    <t xml:space="preserve">Propiedades de imágenes por reflexión y refracción</t>
  </si>
  <si>
    <t xml:space="preserve">Conocer: identificar propiedades de imágenes. Razonar: clasificar imágenes con diagramas de rayos</t>
  </si>
  <si>
    <t xml:space="preserve">T0282-G10-FÍS</t>
  </si>
  <si>
    <t xml:space="preserve">16.11. Determinación de la posición y el tamaño de una imagen formada por refracción y reflexión.</t>
  </si>
  <si>
    <t xml:space="preserve">Posición y tamaño de imágenes por espejos y lentes</t>
  </si>
  <si>
    <t xml:space="preserve">Aplicar: calcular posición y tamaño de imágenes. Razonar: contrastar cálculo y medición</t>
  </si>
  <si>
    <t xml:space="preserve">T0283-G10-FÍS</t>
  </si>
  <si>
    <t xml:space="preserve">16.12. Exploración de las aplicaciones tecnológicas de las propiedades de las imágenes.</t>
  </si>
  <si>
    <t xml:space="preserve">Aplicaciones tecnológicas de imágenes ópticas</t>
  </si>
  <si>
    <t xml:space="preserve">Aplicar: construir un dispositivo óptico. Razonar: explicar la formación de la imagen</t>
  </si>
  <si>
    <t xml:space="preserve">T0284-G11-FÍS</t>
  </si>
  <si>
    <t xml:space="preserve">Física 11.°</t>
  </si>
  <si>
    <t xml:space="preserve">1. Movimiento armónico simple</t>
  </si>
  <si>
    <t xml:space="preserve">El oscilador masa-resorte</t>
  </si>
  <si>
    <t xml:space="preserve">1.1. Determinación experimental de la constante elástica de un resorte a partir de la gráfica fuerza-elongación.</t>
  </si>
  <si>
    <t xml:space="preserve">Ley de Hooke: fuerza elástica y su efecto en un resorte</t>
  </si>
  <si>
    <t xml:space="preserve">Aplicar: medir, graficar y calcular la pendiente. Razonar: evaluar el modelo de resorte ideal</t>
  </si>
  <si>
    <t xml:space="preserve">T0285-G11-FÍS</t>
  </si>
  <si>
    <t xml:space="preserve">1.2. Representación del movimiento armónico simple como la proyección de un movimiento circular uniforme sobre un eje.</t>
  </si>
  <si>
    <t xml:space="preserve">Cinemática del MAS por círculo de referencia; MAS fuera del marco</t>
  </si>
  <si>
    <t xml:space="preserve">Aplicar: representar funciones sinusoidales. Razonar: relacionar movimiento circular y oscilatorio</t>
  </si>
  <si>
    <t xml:space="preserve">T0286-G11-FÍS</t>
  </si>
  <si>
    <t xml:space="preserve">Energía en las oscilaciones</t>
  </si>
  <si>
    <t xml:space="preserve">1.3. Cálculo de las energías potencial elástica, cinética y mecánica de un oscilador armónico en distintas posiciones.</t>
  </si>
  <si>
    <t xml:space="preserve">Conservación de energía mecánica en oscilador masa-resorte</t>
  </si>
  <si>
    <t xml:space="preserve">Aplicar: calcular energías. Razonar: justificar la conservación de la energía mecánica</t>
  </si>
  <si>
    <t xml:space="preserve">T0287-G11-FÍS</t>
  </si>
  <si>
    <t xml:space="preserve">El péndulo simple</t>
  </si>
  <si>
    <t xml:space="preserve">1.4. Determinación del valor local de la aceleración de la gravedad mediante el período de un péndulo simple.</t>
  </si>
  <si>
    <t xml:space="preserve">Péndulo simple (MAS) para medir g; no hay objetivo de oscilaciones</t>
  </si>
  <si>
    <t xml:space="preserve">Aplicar: linealizar y calcular. Razonar: evaluar incertidumbres y supuestos del modelo</t>
  </si>
  <si>
    <t xml:space="preserve">T0288-G11-FÍS</t>
  </si>
  <si>
    <t xml:space="preserve">Oscilaciones reales</t>
  </si>
  <si>
    <t xml:space="preserve">1.5. Análisis gráfico del decaimiento de la amplitud en un oscilador amortiguado.</t>
  </si>
  <si>
    <t xml:space="preserve">Oscilaciones amortiguadas no figuran en el marco</t>
  </si>
  <si>
    <t xml:space="preserve">Aplicar: ajustar una función exponencial. Razonar: comparar modelos de oscilación</t>
  </si>
  <si>
    <t xml:space="preserve">T0289-G11-FÍS</t>
  </si>
  <si>
    <t xml:space="preserve">1.6. Explicación de la resonancia en sistemas forzados y de sus efectos en estructuras y fenómenos naturales.</t>
  </si>
  <si>
    <t xml:space="preserve">Oscilaciones forzadas y resonancia mecánica fuera del marco</t>
  </si>
  <si>
    <t xml:space="preserve">Conocer: definir frecuencia natural. Razonar: explicar la resonancia en casos reales</t>
  </si>
  <si>
    <t xml:space="preserve">T0290-G11-FÍS</t>
  </si>
  <si>
    <t xml:space="preserve">2. Elasticidad</t>
  </si>
  <si>
    <t xml:space="preserve">Deformación de sólidos</t>
  </si>
  <si>
    <t xml:space="preserve">2.1. Cálculo del esfuerzo, la deformación unitaria y el módulo de Young en elementos sometidos a tensión y compresión.</t>
  </si>
  <si>
    <t xml:space="preserve">Elasticidad de sólidos: esfuerzo, deformación, módulo de Young</t>
  </si>
  <si>
    <t xml:space="preserve">Aplicar: calcular esfuerzo y deformación. Razonar: comparar materiales</t>
  </si>
  <si>
    <t xml:space="preserve">T0291-G11-FÍS</t>
  </si>
  <si>
    <t xml:space="preserve">2.2. Interpretación de gráficas esfuerzo-deformación de materiales que cumplen y que no cumplen la ley de Hooke.</t>
  </si>
  <si>
    <t xml:space="preserve">Gráficas esfuerzo-deformación; elasticidad de materiales fuera del marco</t>
  </si>
  <si>
    <t xml:space="preserve">Aplicar: construir e interpretar gráficas. Razonar: distinguir comportamiento elástico y plástico</t>
  </si>
  <si>
    <t xml:space="preserve">T0292-G11-FÍS</t>
  </si>
  <si>
    <t xml:space="preserve">Materiales y riesgo sísmico</t>
  </si>
  <si>
    <t xml:space="preserve">2.3. Comparación de las propiedades elásticas de materiales de construcción y de su papel en el diseño sismorresistente.</t>
  </si>
  <si>
    <t xml:space="preserve">Aplicación de elasticidad a diseño sismorresistente</t>
  </si>
  <si>
    <t xml:space="preserve">Aplicar: comparar valores y calcular. Razonar: argumentar decisiones de diseño</t>
  </si>
  <si>
    <t xml:space="preserve">T0293-G11-FÍS</t>
  </si>
  <si>
    <t xml:space="preserve">3. Ondas</t>
  </si>
  <si>
    <t xml:space="preserve">Características de las ondas</t>
  </si>
  <si>
    <t xml:space="preserve">3.1. Clasificación de ondas mecánicas según la dirección de oscilación del medio y la de propagación.</t>
  </si>
  <si>
    <t xml:space="preserve">Ondas mecánicas transversales y longitudinales, transporte de energía</t>
  </si>
  <si>
    <t xml:space="preserve">Conocer: clasificar ondas. Aplicar: interpretar registros sísmicos</t>
  </si>
  <si>
    <t xml:space="preserve">T0294-G11-FÍS</t>
  </si>
  <si>
    <t xml:space="preserve">3.2. Relación entre las ondas periódicas y el movimiento armónico simple de cada punto del medio.</t>
  </si>
  <si>
    <t xml:space="preserve">Relación v = λf en ondas periódicas</t>
  </si>
  <si>
    <t xml:space="preserve">Aplicar: calcular con v = λf. Razonar: relacionar el MAS con la propagación</t>
  </si>
  <si>
    <t xml:space="preserve">T0295-G11-FÍS</t>
  </si>
  <si>
    <t xml:space="preserve">Propagación en cuerdas</t>
  </si>
  <si>
    <t xml:space="preserve">3.3. Medición de la velocidad de propagación de pulsos en cuerdas con diferentes tensiones y densidades lineales.</t>
  </si>
  <si>
    <t xml:space="preserve">Rapidez de ondas en cuerdas según tensión y densidad</t>
  </si>
  <si>
    <t xml:space="preserve">Aplicar: medir y calcular velocidades. Razonar: contrastar datos con un modelo</t>
  </si>
  <si>
    <t xml:space="preserve">T0296-G11-FÍS</t>
  </si>
  <si>
    <t xml:space="preserve">3.4. Interpretación de la función de onda armónica y(x,t) = A sen(kx − ωt + φ) en ondas transversales y longitudinales.</t>
  </si>
  <si>
    <t xml:space="preserve">Función de onda: amplitud, longitud de onda, frecuencia, rapidez</t>
  </si>
  <si>
    <t xml:space="preserve">Aplicar: extraer parámetros de una función. Razonar: interpretar la fase</t>
  </si>
  <si>
    <t xml:space="preserve">T0297-G11-FÍS</t>
  </si>
  <si>
    <t xml:space="preserve">4. Ondas de sonido</t>
  </si>
  <si>
    <t xml:space="preserve">El sonido como onda</t>
  </si>
  <si>
    <t xml:space="preserve">4.1. Análisis de la formación de ondas sonoras longitudinales como variaciones de presión en el aire.</t>
  </si>
  <si>
    <t xml:space="preserve">Sonido como onda mecánica longitudinal; frecuencia y tono</t>
  </si>
  <si>
    <t xml:space="preserve">Conocer: describir ondas sonoras. Aplicar: interpretar formas de onda</t>
  </si>
  <si>
    <t xml:space="preserve">T0298-G11-FÍS</t>
  </si>
  <si>
    <t xml:space="preserve">4.2. Medición de la velocidad del sonido en el aire y comparación con la velocidad en líquidos y sólidos.</t>
  </si>
  <si>
    <t xml:space="preserve">Rapidez del sonido en distintos medios</t>
  </si>
  <si>
    <t xml:space="preserve">Aplicar: medir y calcular velocidades. Razonar: relacionar velocidad con propiedades del medio</t>
  </si>
  <si>
    <t xml:space="preserve">T0299-G11-FÍS</t>
  </si>
  <si>
    <t xml:space="preserve">Intensidad del sonido</t>
  </si>
  <si>
    <t xml:space="preserve">4.3. Cálculo de la intensidad sonora a diferentes distancias de una fuente puntual.</t>
  </si>
  <si>
    <t xml:space="preserve">Intensidad sonora e inverso del cuadrado en ondas mecánicas</t>
  </si>
  <si>
    <t xml:space="preserve">Aplicar: calcular intensidades. Razonar: justificar distancias seguras</t>
  </si>
  <si>
    <t xml:space="preserve">T0300-G11-FÍS</t>
  </si>
  <si>
    <t xml:space="preserve">4.4. Cálculo e interpretación de niveles de intensidad sonora en decibelios en ambientes cotidianos.</t>
  </si>
  <si>
    <t xml:space="preserve">Nivel de intensidad sonora en decibelios</t>
  </si>
  <si>
    <t xml:space="preserve">Aplicar: calcular en escala logarítmica. Razonar: argumentar con datos medidos</t>
  </si>
  <si>
    <t xml:space="preserve">T0301-G11-FÍS</t>
  </si>
  <si>
    <t xml:space="preserve">Sonido en movimiento</t>
  </si>
  <si>
    <t xml:space="preserve">4.5. Análisis del cambio de frecuencia percibida cuando la fuente o el observador se mueven.</t>
  </si>
  <si>
    <t xml:space="preserve">Efecto Doppler: frecuencia percibida de ondas sonoras</t>
  </si>
  <si>
    <t xml:space="preserve">Aplicar: calcular frecuencias percibidas. Razonar: explicar con frentes de onda</t>
  </si>
  <si>
    <t xml:space="preserve">T0302-G11-FÍS</t>
  </si>
  <si>
    <t xml:space="preserve">4.6. Explicación de la física del ultrasonido y de sus aplicaciones diagnósticas y terapéuticas en la medicina.</t>
  </si>
  <si>
    <t xml:space="preserve">Ultrasonido: Doppler y reflexión de ondas mecánicas</t>
  </si>
  <si>
    <t xml:space="preserve">Conocer: describir aplicaciones. Aplicar: calcular profundidades con ecos</t>
  </si>
  <si>
    <t xml:space="preserve">T0303-G11-FÍS</t>
  </si>
  <si>
    <t xml:space="preserve">Audición humana</t>
  </si>
  <si>
    <t xml:space="preserve">4.7. Interpretación de las curvas de igual sonoridad y de los riesgos de la exposición prolongada a niveles altos de sonido.</t>
  </si>
  <si>
    <t xml:space="preserve">Audición y sensibilidad según frecuencia; contenido aplicado</t>
  </si>
  <si>
    <t xml:space="preserve">Aplicar: leer gráficas logarítmicas. Razonar: argumentar medidas de protección</t>
  </si>
  <si>
    <t xml:space="preserve">T0304-G11-FÍS</t>
  </si>
  <si>
    <t xml:space="preserve">5. Superposición lineal y fenómenos de interferencia</t>
  </si>
  <si>
    <t xml:space="preserve">Principio de superposición</t>
  </si>
  <si>
    <t xml:space="preserve">5.1. Análisis de la superposición de pulsos que viajan en sentidos opuestos en un resorte largo.</t>
  </si>
  <si>
    <t xml:space="preserve">Superposición de pulsos: interferencia constructiva y destructiva</t>
  </si>
  <si>
    <t xml:space="preserve">Aplicar: sumar desplazamientos. Razonar: justificar la independencia de las ondas</t>
  </si>
  <si>
    <t xml:space="preserve">T0305-G11-FÍS</t>
  </si>
  <si>
    <t xml:space="preserve">5.2. Análisis de la interferencia constructiva y destructiva de ondas sonoras según la diferencia de camino.</t>
  </si>
  <si>
    <t xml:space="preserve">Interferencia de ondas sonoras según diferencia de camino</t>
  </si>
  <si>
    <t xml:space="preserve">Aplicar: calcular diferencias de camino. Razonar: interpretar patrones de interferencia</t>
  </si>
  <si>
    <t xml:space="preserve">T0306-G11-FÍS</t>
  </si>
  <si>
    <t xml:space="preserve">Difracción e interferencia</t>
  </si>
  <si>
    <t xml:space="preserve">5.3. Relación entre el ancho de una abertura, la longitud de onda y la amplitud de la difracción de ondas mecánicas.</t>
  </si>
  <si>
    <t xml:space="preserve">Difracción según relación abertura-longitud de onda</t>
  </si>
  <si>
    <t xml:space="preserve">Aplicar: comparar λ con la abertura. Razonar: explicar con el principio de Huygens</t>
  </si>
  <si>
    <t xml:space="preserve">T0307-G11-FÍS</t>
  </si>
  <si>
    <t xml:space="preserve">5.4. Cálculo de la frecuencia de pulsación entre dos sonidos de frecuencias cercanas y su uso en la afinación.</t>
  </si>
  <si>
    <t xml:space="preserve">Pulsaciones como interferencia de frecuencias cercanas</t>
  </si>
  <si>
    <t xml:space="preserve">Aplicar: calcular frecuencias de pulsación. Razonar: evaluar un método de medición</t>
  </si>
  <si>
    <t xml:space="preserve">T0308-G11-FÍS</t>
  </si>
  <si>
    <t xml:space="preserve">Ondas estacionarias</t>
  </si>
  <si>
    <t xml:space="preserve">5.5. Cálculo de las frecuencias de los armónicos de una cuerda fija en ambos extremos.</t>
  </si>
  <si>
    <t xml:space="preserve">Ondas estacionarias en cuerdas: armónicos, nodos, rapidez</t>
  </si>
  <si>
    <t xml:space="preserve">Aplicar: calcular armónicos. Razonar: explicar la cuantización de frecuencias</t>
  </si>
  <si>
    <t xml:space="preserve">T0309-G11-FÍS</t>
  </si>
  <si>
    <t xml:space="preserve">5.6. Determinación de las frecuencias de resonancia en tubos abiertos y cerrados.</t>
  </si>
  <si>
    <t xml:space="preserve">Resonancia en tubos; ondas estacionarias sonoras</t>
  </si>
  <si>
    <t xml:space="preserve">Aplicar: calcular frecuencias de resonancia. Razonar: comparar tubos abiertos y cerrados</t>
  </si>
  <si>
    <t xml:space="preserve">T0310-G11-FÍS</t>
  </si>
  <si>
    <t xml:space="preserve">Sonidos complejos</t>
  </si>
  <si>
    <t xml:space="preserve">5.7. Análisis del espectro de frecuencias de sonidos producidos por diferentes instrumentos musicales.</t>
  </si>
  <si>
    <t xml:space="preserve">Timbre y espectro de frecuencias de ondas sonoras</t>
  </si>
  <si>
    <t xml:space="preserve">Aplicar: interpretar espectros. Razonar: argumentar con evidencia espectral</t>
  </si>
  <si>
    <t xml:space="preserve">T0311-G11-FÍS</t>
  </si>
  <si>
    <t xml:space="preserve">6. Fuerzas eléctricas</t>
  </si>
  <si>
    <t xml:space="preserve">La carga eléctrica</t>
  </si>
  <si>
    <t xml:space="preserve">6.1. Relación entre la estructura atómica de la materia y el origen de la carga eléctrica cuantizada.</t>
  </si>
  <si>
    <t xml:space="preserve">Origen y cuantización de la carga desde estructura atómica</t>
  </si>
  <si>
    <t xml:space="preserve">Conocer: describir la carga eléctrica. Aplicar: calcular número de electrones</t>
  </si>
  <si>
    <t xml:space="preserve">T0312-G11-FÍS</t>
  </si>
  <si>
    <t xml:space="preserve">6.2. Aplicación de la ley de conservación de la carga en procesos de electrización y en aplicaciones cotidianas de la electrostática.</t>
  </si>
  <si>
    <t xml:space="preserve">Conservación de carga e interacción electrostática</t>
  </si>
  <si>
    <t xml:space="preserve">Aplicar: resolver problemas de conservación. Razonar: explicar aplicaciones tecnológicas</t>
  </si>
  <si>
    <t xml:space="preserve">T0313-G11-FÍS</t>
  </si>
  <si>
    <t xml:space="preserve">Materiales y electrización</t>
  </si>
  <si>
    <t xml:space="preserve">6.3. Clasificación de materiales como conductores o aislantes según la movilidad de sus cargas.</t>
  </si>
  <si>
    <t xml:space="preserve">Conductores y aislantes en electrostática; base para Coulomb</t>
  </si>
  <si>
    <t xml:space="preserve">Aplicar: clasificar materiales. Razonar: justificar con el modelo de electrones libres</t>
  </si>
  <si>
    <t xml:space="preserve">T0314-G11-FÍS</t>
  </si>
  <si>
    <t xml:space="preserve">6.4. Comparación de los procesos de carga por contacto y por inducción mediante diagramas de distribución de cargas.</t>
  </si>
  <si>
    <t xml:space="preserve">Electrización por contacto e inducción; fuerzas entre cargas</t>
  </si>
  <si>
    <t xml:space="preserve">Aplicar: representar distribuciones de carga. Razonar: justificar el signo de la carga inducida</t>
  </si>
  <si>
    <t xml:space="preserve">T0315-G11-FÍS</t>
  </si>
  <si>
    <t xml:space="preserve">6.5. Cálculo vectorial de la fuerza eléctrica neta sobre una carga debida a varias cargas puntuales en un plano.</t>
  </si>
  <si>
    <t xml:space="preserve">Ley de Coulomb vectorial y superposición de fuerzas</t>
  </si>
  <si>
    <t xml:space="preserve">Aplicar: descomponer y sumar vectores. Razonar: justificar condiciones de equilibrio</t>
  </si>
  <si>
    <t xml:space="preserve">T0316-G11-FÍS</t>
  </si>
  <si>
    <t xml:space="preserve">7. Campos eléctricos</t>
  </si>
  <si>
    <t xml:space="preserve">El campo eléctrico</t>
  </si>
  <si>
    <t xml:space="preserve">7.1. Cálculo del campo eléctrico producido por una o varias cargas puntuales en un punto del espacio.</t>
  </si>
  <si>
    <t xml:space="preserve">Campo eléctrico de cargas puntuales y fuerza sobre carga</t>
  </si>
  <si>
    <t xml:space="preserve">Aplicar: calcular campos vectoriales. Razonar: relacionar campo y fuerza</t>
  </si>
  <si>
    <t xml:space="preserve">T0317-G11-FÍS</t>
  </si>
  <si>
    <t xml:space="preserve">7.2. Representación de campos eléctricos mediante líneas de campo para distintas configuraciones de carga.</t>
  </si>
  <si>
    <t xml:space="preserve">Líneas de campo eléctrico de distintas configuraciones</t>
  </si>
  <si>
    <t xml:space="preserve">Aplicar: representar líneas de campo. Razonar: inferir la intensidad del campo</t>
  </si>
  <si>
    <t xml:space="preserve">T0318-G11-FÍS</t>
  </si>
  <si>
    <t xml:space="preserve">Conductores en equilibrio</t>
  </si>
  <si>
    <t xml:space="preserve">7.3. Comprobación experimental del blindaje electrostático en recintos conductores.</t>
  </si>
  <si>
    <t xml:space="preserve">Campo eléctrico nulo en conductores en equilibrio</t>
  </si>
  <si>
    <t xml:space="preserve">Aplicar: comprobar el blindaje. Razonar: argumentar con el modelo de conductor en equilibrio</t>
  </si>
  <si>
    <t xml:space="preserve">T0319-G11-FÍS</t>
  </si>
  <si>
    <t xml:space="preserve">7.4. Aplicación de la ley de Gauss para calcular el campo eléctrico de distribuciones de carga con simetría esférica y plana.</t>
  </si>
  <si>
    <t xml:space="preserve">Ley de Gauss para calcular campos eléctricos</t>
  </si>
  <si>
    <t xml:space="preserve">Aplicar: calcular flujo y campo. Razonar: evaluar la simetría de una distribución</t>
  </si>
  <si>
    <t xml:space="preserve">T0320-G11-FÍS</t>
  </si>
  <si>
    <t xml:space="preserve">Aplicaciones tecnológicas</t>
  </si>
  <si>
    <t xml:space="preserve">7.5. Explicación de la física de la xerografía en fotocopiadoras e impresoras láser y comparación con las impresoras de inyección de tinta.</t>
  </si>
  <si>
    <t xml:space="preserve">Xerografía: aplicación de carga y campo eléctrico</t>
  </si>
  <si>
    <t xml:space="preserve">Conocer: describir etapas. Razonar: comparar tecnologías de impresión</t>
  </si>
  <si>
    <t xml:space="preserve">T0321-G11-FÍS</t>
  </si>
  <si>
    <t xml:space="preserve">8. Energía potencial eléctrica</t>
  </si>
  <si>
    <t xml:space="preserve">Energía potencial eléctrica</t>
  </si>
  <si>
    <t xml:space="preserve">8.1. Comparación entre la energía potencial gravitatoria y la energía potencial eléctrica como energías asociadas a fuerzas conservativas.</t>
  </si>
  <si>
    <t xml:space="preserve">Energía potencial eléctrica análoga a la gravitatoria</t>
  </si>
  <si>
    <t xml:space="preserve">Conocer: definir energía potencial eléctrica. Aplicar: comparar modelos. Razonar: identificar los límites de una analogía</t>
  </si>
  <si>
    <t xml:space="preserve">T0322-G11-FÍS</t>
  </si>
  <si>
    <t xml:space="preserve">8.2. Cálculo de la diferencia de potencial a partir del trabajo realizado por la fuerza eléctrica sobre una carga de prueba.</t>
  </si>
  <si>
    <t xml:space="preserve">Diferencia de potencial y trabajo sobre carga en campo uniforme</t>
  </si>
  <si>
    <t xml:space="preserve">Aplicar: calcular diferencias de potencial y trabajo. Razonar: justificar el signo del trabajo eléctrico</t>
  </si>
  <si>
    <t xml:space="preserve">T0323-G11-FÍS</t>
  </si>
  <si>
    <t xml:space="preserve">Potencial de cargas puntuales</t>
  </si>
  <si>
    <t xml:space="preserve">8.3. Cálculo del potencial eléctrico total producido por varias cargas puntuales mediante suma escalar.</t>
  </si>
  <si>
    <t xml:space="preserve">Potencial de cargas puntuales por superposición</t>
  </si>
  <si>
    <t xml:space="preserve">Aplicar: calcular y representar el potencial. Razonar: distinguir magnitudes escalares y vectoriales</t>
  </si>
  <si>
    <t xml:space="preserve">T0324-G11-FÍS</t>
  </si>
  <si>
    <t xml:space="preserve">8.4. Medición de líneas equipotenciales en un medio conductor alimentado con una pila de 9 V.</t>
  </si>
  <si>
    <t xml:space="preserve">Equipotenciales y relación campo-potencial</t>
  </si>
  <si>
    <t xml:space="preserve">Aplicar: medir y representar equipotenciales. Razonar: justificar la perpendicularidad entre campo y equipotenciales</t>
  </si>
  <si>
    <t xml:space="preserve">T0325-G11-FÍS</t>
  </si>
  <si>
    <t xml:space="preserve">Condensadores</t>
  </si>
  <si>
    <t xml:space="preserve">8.5. Construcción de un condensador de placas paralelas con papel aluminio y medición de su capacitancia con distintos dieléctricos.</t>
  </si>
  <si>
    <t xml:space="preserve">Condensador de placas: campo uniforme; capacitancia no explícita en marco</t>
  </si>
  <si>
    <t xml:space="preserve">Aplicar: calcular capacitancia y energía. Razonar: interpretar mediciones y fuentes de error</t>
  </si>
  <si>
    <t xml:space="preserve">T0326-G11-FÍS</t>
  </si>
  <si>
    <t xml:space="preserve">Aplicaciones biomédicas</t>
  </si>
  <si>
    <t xml:space="preserve">8.6. Interpretación de las diferencias de potencial en neuronas y en el corazón como base de las técnicas de diagnóstico médico.</t>
  </si>
  <si>
    <t xml:space="preserve">Aplicación biomédica (ECG) sin contenido específico del catálogo</t>
  </si>
  <si>
    <t xml:space="preserve">Conocer: describir el potencial de membrana. Aplicar: estimar magnitudes. Razonar: evaluar fuentes</t>
  </si>
  <si>
    <t xml:space="preserve">T0327-G11-FÍS</t>
  </si>
  <si>
    <t xml:space="preserve">9. Circuitos eléctricos</t>
  </si>
  <si>
    <t xml:space="preserve">Corriente y fuerza electromotriz</t>
  </si>
  <si>
    <t xml:space="preserve">9.1. Análisis de la fuerza electromotriz como energía por unidad de carga que suministra una fuente y de la corriente como flujo de carga.</t>
  </si>
  <si>
    <t xml:space="preserve">Fuerza electromotriz, corriente y energía en circuitos</t>
  </si>
  <si>
    <t xml:space="preserve">Conocer: definir fuerza electromotriz y corriente. Aplicar: calcular carga y energía</t>
  </si>
  <si>
    <t xml:space="preserve">T0328-G11-FÍS</t>
  </si>
  <si>
    <t xml:space="preserve">9.2. Construcción de curvas voltaje-corriente para un resistor y un LED alimentados con pilas.</t>
  </si>
  <si>
    <t xml:space="preserve">Ley de Ohm y curvas voltaje-corriente</t>
  </si>
  <si>
    <t xml:space="preserve">Aplicar: representar datos y calcular pendientes. Razonar: clasificar conductores con base en evidencia</t>
  </si>
  <si>
    <t xml:space="preserve">T0329-G11-FÍS</t>
  </si>
  <si>
    <t xml:space="preserve">Resistencia de los materiales</t>
  </si>
  <si>
    <t xml:space="preserve">9.3. Medición de la resistencia de alambres de distinta longitud y grosor para determinar la resistividad del material.</t>
  </si>
  <si>
    <t xml:space="preserve">Resistencia y resistividad de conductores</t>
  </si>
  <si>
    <t xml:space="preserve">Aplicar: calcular resistividad. Razonar: justificar la elección de materiales conductores</t>
  </si>
  <si>
    <t xml:space="preserve">T0330-G11-FÍS</t>
  </si>
  <si>
    <t xml:space="preserve">9.4. Cálculo de la potencia y la energía consumida por aparatos del hogar a partir de sus especificaciones.</t>
  </si>
  <si>
    <t xml:space="preserve">Potencia eléctrica y efecto Joule</t>
  </si>
  <si>
    <t xml:space="preserve">Aplicar: calcular potencia y energía. Razonar: argumentar decisiones de ahorro con datos</t>
  </si>
  <si>
    <t xml:space="preserve">T0331-G11-FÍS</t>
  </si>
  <si>
    <t xml:space="preserve">Combinación de resistencias</t>
  </si>
  <si>
    <t xml:space="preserve">9.5. Análisis de la corriente, el voltaje y la potencia en resistencias conectadas en serie.</t>
  </si>
  <si>
    <t xml:space="preserve">Circuito en serie con ley de Ohm</t>
  </si>
  <si>
    <t xml:space="preserve">Aplicar: calcular resistencia equivalente y caídas de voltaje. Razonar: verificar predicciones con mediciones</t>
  </si>
  <si>
    <t xml:space="preserve">T0332-G11-FÍS</t>
  </si>
  <si>
    <t xml:space="preserve">9.6. Análisis de la distribución de corriente en resistencias conectadas en paralelo y su aplicación en las instalaciones del hogar.</t>
  </si>
  <si>
    <t xml:space="preserve">Circuito en paralelo con ley de Ohm</t>
  </si>
  <si>
    <t xml:space="preserve">Aplicar: calcular corrientes en paralelo. Razonar: justificar el diseño de las instalaciones domésticas</t>
  </si>
  <si>
    <t xml:space="preserve">T0333-G11-FÍS</t>
  </si>
  <si>
    <t xml:space="preserve">9.7. Resolución de circuitos con resistencias parcialmente en serie y parcialmente en paralelo mediante reducción sucesiva.</t>
  </si>
  <si>
    <t xml:space="preserve">Circuitos mixtos: corriente, voltaje y potencia</t>
  </si>
  <si>
    <t xml:space="preserve">Aplicar: resolver circuitos por reducción. Razonar: contrastar cálculo y medición</t>
  </si>
  <si>
    <t xml:space="preserve">T0334-G11-FÍS</t>
  </si>
  <si>
    <t xml:space="preserve">Fuentes reales y leyes de Kirchhoff</t>
  </si>
  <si>
    <t xml:space="preserve">9.8. Determinación experimental de la fuerza electromotriz y la resistencia interna de una pila a partir de la gráfica voltaje en bornes-corriente.</t>
  </si>
  <si>
    <t xml:space="preserve">Resistencia interna y voltaje en bornes</t>
  </si>
  <si>
    <t xml:space="preserve">Aplicar: obtener parámetros de una gráfica. Razonar: interpretar el modelo de fuente real</t>
  </si>
  <si>
    <t xml:space="preserve">T0335-G11-FÍS</t>
  </si>
  <si>
    <t xml:space="preserve">9.9. Aplicación de las reglas de Kirchhoff para resolver circuitos de dos mallas con dos fuentes.</t>
  </si>
  <si>
    <t xml:space="preserve">Leyes de Kirchhoff en circuitos de varias mallas</t>
  </si>
  <si>
    <t xml:space="preserve">Aplicar: plantear y resolver sistemas de ecuaciones. Razonar: evaluar la coherencia de los signos</t>
  </si>
  <si>
    <t xml:space="preserve">T0336-G11-FÍS</t>
  </si>
  <si>
    <t xml:space="preserve">9.10. Medición correcta de corriente y voltaje con el multímetro, analizando la conexión en serie o en paralelo del instrumento.</t>
  </si>
  <si>
    <t xml:space="preserve">Medición de corriente y voltaje en circuitos</t>
  </si>
  <si>
    <t xml:space="preserve">Conocer: identificar instrumentos. Aplicar: medir. Razonar: evaluar el efecto de carga del instrumento</t>
  </si>
  <si>
    <t xml:space="preserve">T0337-G11-FÍS</t>
  </si>
  <si>
    <t xml:space="preserve">Condensadores en circuitos</t>
  </si>
  <si>
    <t xml:space="preserve">9.11. Cálculo de la capacitancia equivalente y de la carga almacenada en combinaciones de condensadores en serie y en paralelo.</t>
  </si>
  <si>
    <t xml:space="preserve">Condensadores en serie y paralelo dentro de circuitos</t>
  </si>
  <si>
    <t xml:space="preserve">Aplicar: calcular capacitancia equivalente y carga. Razonar: comparar reglas de combinación</t>
  </si>
  <si>
    <t xml:space="preserve">T0338-G11-FÍS</t>
  </si>
  <si>
    <t xml:space="preserve">9.12. Medición de la carga y descarga de un condensador en un circuito RC alimentado con una pila de 9 V.</t>
  </si>
  <si>
    <t xml:space="preserve">Circuito RC: carga y descarga; extensión de circuitos</t>
  </si>
  <si>
    <t xml:space="preserve">Aplicar: linealizar y ajustar datos. Razonar: comparar el valor experimental con el modelo</t>
  </si>
  <si>
    <t xml:space="preserve">T0339-G11-FÍS</t>
  </si>
  <si>
    <t xml:space="preserve">Seguridad eléctrica</t>
  </si>
  <si>
    <t xml:space="preserve">9.13. Análisis de los efectos fisiológicos de la corriente según su intensidad y de las medidas de protección en instalaciones eléctricas.</t>
  </si>
  <si>
    <t xml:space="preserve">Ley de Ohm aplicada a seguridad eléctrica</t>
  </si>
  <si>
    <t xml:space="preserve">Conocer: describir efectos fisiológicos. Aplicar: estimar corrientes. Razonar: justificar medidas de seguridad</t>
  </si>
  <si>
    <t xml:space="preserve">T0340-G11-FÍS</t>
  </si>
  <si>
    <t xml:space="preserve">10. Fuerzas magnéticas</t>
  </si>
  <si>
    <t xml:space="preserve">Fuerza magnética sobre cargas</t>
  </si>
  <si>
    <t xml:space="preserve">10.1. Cálculo de la magnitud y la dirección de la fuerza magnética sobre una carga en movimiento mediante el producto vectorial.</t>
  </si>
  <si>
    <t xml:space="preserve">Fuerza de Lorentz sobre cargas en movimiento</t>
  </si>
  <si>
    <t xml:space="preserve">Aplicar: calcular productos vectoriales. Razonar: justificar la dirección de la fuerza</t>
  </si>
  <si>
    <t xml:space="preserve">T0341-G11-FÍS</t>
  </si>
  <si>
    <t xml:space="preserve">10.2. Análisis del movimiento circular uniforme de una partícula cargada en un campo magnético uniforme.</t>
  </si>
  <si>
    <t xml:space="preserve">Trayectoria circular de cargas en campo magnético</t>
  </si>
  <si>
    <t xml:space="preserve">Aplicar: calcular radio y período. Razonar: comparar movimientos en campos eléctricos y magnéticos</t>
  </si>
  <si>
    <t xml:space="preserve">T0342-G11-FÍS</t>
  </si>
  <si>
    <t xml:space="preserve">10.3. Interpretación del funcionamiento del espectrómetro de masas y de sus aplicaciones en el análisis químico y ambiental.</t>
  </si>
  <si>
    <t xml:space="preserve">Espectrómetro de masas: trayectoria de iones en campo magnético</t>
  </si>
  <si>
    <t xml:space="preserve">Aplicar: calcular la relación masa-carga. Razonar: valorar aplicaciones científicas</t>
  </si>
  <si>
    <t xml:space="preserve">T0343-G11-FÍS</t>
  </si>
  <si>
    <t xml:space="preserve">Fuerza magnética sobre corrientes</t>
  </si>
  <si>
    <t xml:space="preserve">10.4. Medición de la fuerza magnética sobre un conductor con corriente suministrada por pilas en el campo de un imán.</t>
  </si>
  <si>
    <t xml:space="preserve">Fuerza magnética sobre conductor con corriente; altavoz</t>
  </si>
  <si>
    <t xml:space="preserve">Aplicar: calcular y medir fuerzas sobre corrientes. Razonar: evaluar un diseño experimental</t>
  </si>
  <si>
    <t xml:space="preserve">T0344-G11-FÍS</t>
  </si>
  <si>
    <t xml:space="preserve">10.5. Cálculo del par de torsión sobre una bobina con corriente y análisis del funcionamiento de un motor de corriente continua.</t>
  </si>
  <si>
    <t xml:space="preserve">Par sobre espira y motor de corriente continua</t>
  </si>
  <si>
    <t xml:space="preserve">Aplicar: calcular par de torsión. Razonar: explicar el funcionamiento del conmutador</t>
  </si>
  <si>
    <t xml:space="preserve">T0345-G11-FÍS</t>
  </si>
  <si>
    <t xml:space="preserve">11. Campos magnéticos</t>
  </si>
  <si>
    <t xml:space="preserve">Campo magnético</t>
  </si>
  <si>
    <t xml:space="preserve">11.1. Representación de las líneas de campo magnético de imanes y del campo terrestre a partir de observaciones con brújulas y limaduras.</t>
  </si>
  <si>
    <t xml:space="preserve">Imanes, líneas de campo magnético y campo terrestre</t>
  </si>
  <si>
    <t xml:space="preserve">Conocer: describir líneas de campo. Aplicar: representar campos. Razonar: interpretar la declinación</t>
  </si>
  <si>
    <t xml:space="preserve">T0346-G11-FÍS</t>
  </si>
  <si>
    <t xml:space="preserve">11.2. Medición del campo magnético de un conductor rectilíneo y de una bobina con corriente de pilas usando el magnetómetro del teléfono.</t>
  </si>
  <si>
    <t xml:space="preserve">Oersted: campo magnético de una corriente</t>
  </si>
  <si>
    <t xml:space="preserve">Aplicar: calcular y medir campos magnéticos. Razonar: verificar una relación inversa con datos</t>
  </si>
  <si>
    <t xml:space="preserve">T0347-G11-FÍS</t>
  </si>
  <si>
    <t xml:space="preserve">Ley de Ampère</t>
  </si>
  <si>
    <t xml:space="preserve">11.3. Aplicación de la ley de Ampère para determinar el campo magnético de un conductor rectilíneo y de un solenoide.</t>
  </si>
  <si>
    <t xml:space="preserve">Ley de Ampère, solenoide y electroimán</t>
  </si>
  <si>
    <t xml:space="preserve">Aplicar: usar la ley de Ampère. Razonar: justificar la elección de la trayectoria cerrada</t>
  </si>
  <si>
    <t xml:space="preserve">T0348-G11-FÍS</t>
  </si>
  <si>
    <t xml:space="preserve">Materiales magnéticos</t>
  </si>
  <si>
    <t xml:space="preserve">11.4. Clasificación de materiales según su respuesta magnética y análisis de sus aplicaciones tecnológicas.</t>
  </si>
  <si>
    <t xml:space="preserve">Materiales magnéticos; relación periférica con electroimanes</t>
  </si>
  <si>
    <t xml:space="preserve">Conocer: clasificar materiales. Aplicar: explicar aplicaciones. Razonar: justificar la recuperación de materiales</t>
  </si>
  <si>
    <t xml:space="preserve">T0349-G11-FÍS</t>
  </si>
  <si>
    <t xml:space="preserve">12. Electromagnetismo</t>
  </si>
  <si>
    <t xml:space="preserve">Introducción a las ecuaciones de Maxwell</t>
  </si>
  <si>
    <t xml:space="preserve">12.1. Demostración práctica del voltaje inducido.</t>
  </si>
  <si>
    <t xml:space="preserve">Inducción de voltaje</t>
  </si>
  <si>
    <t xml:space="preserve">Aplicar: calcular flujo y fem inducida. Razonar: explicar el signo del voltaje con la ley de Lenz</t>
  </si>
  <si>
    <t xml:space="preserve">T0350-G11-FÍS</t>
  </si>
  <si>
    <t xml:space="preserve">12.2. Comprobación experimental de las ecuaciones de Maxwell.</t>
  </si>
  <si>
    <t xml:space="preserve">Generadores y motores; relación electricidad-magnetismo</t>
  </si>
  <si>
    <t xml:space="preserve">Conocer: enunciar las ecuaciones de Maxwell. Razonar: vincular cada ecuación con evidencia experimental</t>
  </si>
  <si>
    <t xml:space="preserve">T0351-G11-FÍS</t>
  </si>
  <si>
    <t xml:space="preserve">12.3. Cálculo de magnitudes físicas en dispositivos electromagnéticos.</t>
  </si>
  <si>
    <t xml:space="preserve">Aceleradores: cargas en campos eléctricos y magnéticos</t>
  </si>
  <si>
    <t xml:space="preserve">Aplicar: calcular fem, radio y energía en dispositivos. Razonar: justificar dependencias entre variables</t>
  </si>
  <si>
    <t xml:space="preserve">T0352-G11-FÍS</t>
  </si>
  <si>
    <t xml:space="preserve">Ondas electromagnéticas</t>
  </si>
  <si>
    <t xml:space="preserve">12.4. Indagación de los tipos de ondas que se encuentran en el espectro electromagnético.</t>
  </si>
  <si>
    <t xml:space="preserve">Espectro electromagnético</t>
  </si>
  <si>
    <t xml:space="preserve">Conocer: identificar regiones del espectro. Aplicar: calcular longitud de onda y frecuencia</t>
  </si>
  <si>
    <t xml:space="preserve">T0353-G11-FÍS</t>
  </si>
  <si>
    <t xml:space="preserve">12.5. Experimentación con ondas electromagnéticas para identificar sus propiedades.</t>
  </si>
  <si>
    <t xml:space="preserve">Propiedades de las ondas electromagnéticas</t>
  </si>
  <si>
    <t xml:space="preserve">Aplicar: medir la atenuación de señales. Razonar: explicar propiedades de las ondas con evidencia</t>
  </si>
  <si>
    <t xml:space="preserve">T0354-G11-FÍS</t>
  </si>
  <si>
    <t xml:space="preserve">12.6. Resolución de problemas teóricos a partir de las gráficas de los campos eléctrico y magnético de una onda electromagnética.</t>
  </si>
  <si>
    <t xml:space="preserve">Campos y energía de ondas electromagnéticas</t>
  </si>
  <si>
    <t xml:space="preserve">Aplicar: calcular intensidad y campos de una onda. Razonar: interpretar gráficas de campos</t>
  </si>
  <si>
    <t xml:space="preserve">T0355-G11-FÍS</t>
  </si>
  <si>
    <t xml:space="preserve">Telecomunicaciones</t>
  </si>
  <si>
    <t xml:space="preserve">12.7. Indagación del funcionamiento de diferentes tecnologías de comunicación inalámbrica.</t>
  </si>
  <si>
    <t xml:space="preserve">Comunicación inalámbrica con radiación electromagnética</t>
  </si>
  <si>
    <t xml:space="preserve">Conocer: describir tecnologías inalámbricas. Razonar: comparar alcance y frecuencia</t>
  </si>
  <si>
    <t xml:space="preserve">T0356-G11-FÍS</t>
  </si>
  <si>
    <t xml:space="preserve">12.8. Construcción de un sistema de radiocomunicación funcional que incluya componentes electrónicos.</t>
  </si>
  <si>
    <t xml:space="preserve">Construcción de radio; uso aplicado de ondas EM</t>
  </si>
  <si>
    <t xml:space="preserve">Aplicar: construir un circuito de recepción. Razonar: evaluar y mejorar un diseño tecnológico</t>
  </si>
  <si>
    <t xml:space="preserve">T0357-G11-FÍS</t>
  </si>
  <si>
    <t xml:space="preserve">12.9. Investigación del desarrollo tecnológico de los sistemas de radiocomunicación.</t>
  </si>
  <si>
    <t xml:space="preserve">Historia de la radiocomunicación sin contenido del catálogo</t>
  </si>
  <si>
    <t xml:space="preserve">Conocer: identificar hitos históricos. Razonar: relacionar ciencia, tecnología y sociedad</t>
  </si>
  <si>
    <t xml:space="preserve">T0358-G11-FÍS</t>
  </si>
  <si>
    <t xml:space="preserve">13. Circuitos de corriente alterna</t>
  </si>
  <si>
    <t xml:space="preserve">Corriente alterna</t>
  </si>
  <si>
    <t xml:space="preserve">13.1. Análisis de la corriente alterna sinusoidal y cálculo de sus valores máximos y eficaces.</t>
  </si>
  <si>
    <t xml:space="preserve">Corriente alterna: valores eficaces; encaje parcial en circuitos</t>
  </si>
  <si>
    <t xml:space="preserve">Aplicar: calcular valores eficaces y período. Razonar: evaluar afirmaciones con evidencia física</t>
  </si>
  <si>
    <t xml:space="preserve">T0359-G11-FÍS</t>
  </si>
  <si>
    <t xml:space="preserve">13.2. Análisis del funcionamiento del transformador y de su papel en el transporte de energía eléctrica en la red salvadoreña.</t>
  </si>
  <si>
    <t xml:space="preserve">Transformador por inducción y pérdidas Joule</t>
  </si>
  <si>
    <t xml:space="preserve">Aplicar: calcular relaciones del transformador y pérdidas. Razonar: justificar el transporte a alto voltaje</t>
  </si>
  <si>
    <t xml:space="preserve">T0360-G11-FÍS</t>
  </si>
  <si>
    <t xml:space="preserve">Elementos reactivos</t>
  </si>
  <si>
    <t xml:space="preserve">13.3. Cálculo de la reactancia capacitiva y análisis de su dependencia con la frecuencia.</t>
  </si>
  <si>
    <t xml:space="preserve">Reactancia capacitiva en corriente alterna fuera del marco</t>
  </si>
  <si>
    <t xml:space="preserve">Aplicar: calcular reactancias y representar fasores. Razonar: interpretar el comportamiento en frecuencia</t>
  </si>
  <si>
    <t xml:space="preserve">T0361-G11-FÍS</t>
  </si>
  <si>
    <t xml:space="preserve">13.4. Medición de la reactancia inductiva de una bobina con un generador de señales de bajo voltaje a diferentes frecuencias.</t>
  </si>
  <si>
    <t xml:space="preserve">Reactancia inductiva vinculada a autoinducción de Faraday</t>
  </si>
  <si>
    <t xml:space="preserve">Aplicar: calcular inductancia a partir de datos. Razonar: relacionar reactancia con la ley de Faraday</t>
  </si>
  <si>
    <t xml:space="preserve">T0362-G11-FÍS</t>
  </si>
  <si>
    <t xml:space="preserve">Circuitos RLC</t>
  </si>
  <si>
    <t xml:space="preserve">13.5. Resolución de circuitos RLC en serie mediante el cálculo de impedancia, corriente y ángulo de fase.</t>
  </si>
  <si>
    <t xml:space="preserve">Impedancia RLC en corriente alterna fuera del marco</t>
  </si>
  <si>
    <t xml:space="preserve">Aplicar: calcular impedancia y fase. Razonar: analizar la suma fasorial</t>
  </si>
  <si>
    <t xml:space="preserve">T0363-G11-FÍS</t>
  </si>
  <si>
    <t xml:space="preserve">13.6. Determinación de la frecuencia de resonancia de un circuito RLC y análisis del efecto de la resistencia en la curva de resonancia.</t>
  </si>
  <si>
    <t xml:space="preserve">Resonancia eléctrica RLC fuera del marco</t>
  </si>
  <si>
    <t xml:space="preserve">Aplicar: calcular la frecuencia de resonancia. Razonar: interpretar la selectividad del circuito</t>
  </si>
  <si>
    <t xml:space="preserve">T0364-G11-FÍS</t>
  </si>
  <si>
    <t xml:space="preserve">Dispositivos semiconductores</t>
  </si>
  <si>
    <t xml:space="preserve">13.7. Análisis de la conducción en semiconductores dopados y de la curva característica de un diodo alimentado con pilas.</t>
  </si>
  <si>
    <t xml:space="preserve">Semiconductores y diodos no figuran en el marco</t>
  </si>
  <si>
    <t xml:space="preserve">Conocer: describir semiconductores. Aplicar: medir la curva de un diodo. Razonar: explicar la rectificación</t>
  </si>
  <si>
    <t xml:space="preserve">T0365-G11-FÍS</t>
  </si>
  <si>
    <t xml:space="preserve">14. Ondas electromagnéticas</t>
  </si>
  <si>
    <t xml:space="preserve">Efecto Doppler electromagnético</t>
  </si>
  <si>
    <t xml:space="preserve">14.1. Cálculo del cambio de frecuencia de ondas electromagnéticas emitidas por fuentes que se acercan o se alejan del observador.</t>
  </si>
  <si>
    <t xml:space="preserve">Corrimiento Doppler de radiación electromagnética</t>
  </si>
  <si>
    <t xml:space="preserve">Aplicar: calcular frecuencias y rapideces. Razonar: interpretar espectros y justificar aproximaciones</t>
  </si>
  <si>
    <t xml:space="preserve">T0366-G11-FÍS</t>
  </si>
  <si>
    <t xml:space="preserve">Polarización</t>
  </si>
  <si>
    <t xml:space="preserve">14.2. Medición de la intensidad de luz transmitida por un par de polarizadores en función del ángulo entre sus ejes.</t>
  </si>
  <si>
    <t xml:space="preserve">Polarización de luz; propiedad de ondas EM no explícita</t>
  </si>
  <si>
    <t xml:space="preserve">Aplicar: medir y calcular intensidades. Razonar: comparar datos con el modelo cos²θ</t>
  </si>
  <si>
    <t xml:space="preserve">T0367-G11-FÍS</t>
  </si>
  <si>
    <t xml:space="preserve">Radiación no ionizante en la vida diaria</t>
  </si>
  <si>
    <t xml:space="preserve">14.3. Evaluación crítica de afirmaciones sobre los efectos en la salud de la radiación no ionizante emitida por antenas, redes wifi y hornos de microondas.</t>
  </si>
  <si>
    <t xml:space="preserve">Radiación no ionizante: espectro y densidad de potencia</t>
  </si>
  <si>
    <t xml:space="preserve">Aplicar: estimar densidades de potencia. Razonar: evaluar afirmaciones y argumentar con evidencia</t>
  </si>
  <si>
    <t xml:space="preserve">T0368-G11-FÍS</t>
  </si>
  <si>
    <t xml:space="preserve">15. La luz</t>
  </si>
  <si>
    <t xml:space="preserve">Rapidez de la luz</t>
  </si>
  <si>
    <t xml:space="preserve">15.1. Análisis de los experimentos históricos de Rømer y Fizeau para determinar la rapidez de la luz.</t>
  </si>
  <si>
    <t xml:space="preserve">Rapidez de la luz como onda electromagnética</t>
  </si>
  <si>
    <t xml:space="preserve">Aplicar: calcular rapideces y errores relativos. Razonar: comparar métodos experimentales</t>
  </si>
  <si>
    <t xml:space="preserve">T0369-G11-FÍS</t>
  </si>
  <si>
    <t xml:space="preserve">Naturaleza de la luz</t>
  </si>
  <si>
    <t xml:space="preserve">15.2. Reconstrucción histórica del debate entre los modelos corpuscular y ondulatorio de la luz hasta la dualidad onda-partícula.</t>
  </si>
  <si>
    <t xml:space="preserve">Modelos ondulatorio y corpuscular: dualidad onda-partícula</t>
  </si>
  <si>
    <t xml:space="preserve">Conocer: identificar modelos. Razonar: relacionar fenómenos con modelos y justificar la dualidad</t>
  </si>
  <si>
    <t xml:space="preserve">T0370-G11-FÍS</t>
  </si>
  <si>
    <t xml:space="preserve">Cuantización de la energía</t>
  </si>
  <si>
    <t xml:space="preserve">15.3. Interpretación de las curvas de emisión del cuerpo negro y de la hipótesis de Planck sobre la cuantización de la energía.</t>
  </si>
  <si>
    <t xml:space="preserve">Cuerpo negro, ley de Wien y cuantos de energía</t>
  </si>
  <si>
    <t xml:space="preserve">Aplicar: calcular longitudes de onda máximas y energías. Razonar: explicar la ruptura con la física clásica</t>
  </si>
  <si>
    <t xml:space="preserve">T0371-G11-FÍS</t>
  </si>
  <si>
    <t xml:space="preserve">15.4. Análisis del efecto fotoeléctrico mediante la ecuación de Einstein y la relación entre frecuencia de la luz y energía cinética de los electrones.</t>
  </si>
  <si>
    <t xml:space="preserve">Efecto fotoeléctrico</t>
  </si>
  <si>
    <t xml:space="preserve">Aplicar: calcular energías y frecuencias umbral. Razonar: interpretar gráficas y justificar el modelo de fotones</t>
  </si>
  <si>
    <t xml:space="preserve">T0372-G11-FÍS</t>
  </si>
  <si>
    <t xml:space="preserve">Momento del fotón</t>
  </si>
  <si>
    <t xml:space="preserve">15.5. Cálculo del momento de un fotón y del cambio de longitud de onda en la dispersión Compton.</t>
  </si>
  <si>
    <t xml:space="preserve">Efecto Compton: fotón como partícula en colisión</t>
  </si>
  <si>
    <t xml:space="preserve">Aplicar: calcular momentos y corrimientos. Razonar: justificar el comportamiento corpuscular</t>
  </si>
  <si>
    <t xml:space="preserve">T0373-G11-FÍS</t>
  </si>
  <si>
    <t xml:space="preserve">Naturaleza ondulatoria de la materia</t>
  </si>
  <si>
    <t xml:space="preserve">15.6. Cálculo de la longitud de onda de De Broglie de partículas y objetos macroscópicos.</t>
  </si>
  <si>
    <t xml:space="preserve">Longitud de onda de De Broglie: dualidad</t>
  </si>
  <si>
    <t xml:space="preserve">Aplicar: calcular longitudes de onda. Razonar: comparar escalas y justificar la observabilidad</t>
  </si>
  <si>
    <t xml:space="preserve">T0374-G11-FÍS</t>
  </si>
  <si>
    <t xml:space="preserve">15.7. Aplicación del principio de incertidumbre de Heisenberg a partículas confinadas y a objetos macroscópicos.</t>
  </si>
  <si>
    <t xml:space="preserve">Principio de incertidumbre; relación indirecta con dualidad</t>
  </si>
  <si>
    <t xml:space="preserve">Aplicar: estimar incertidumbres. Razonar: argumentar límites de validez y detectar malas interpretaciones</t>
  </si>
  <si>
    <t xml:space="preserve">T0375-G11-FÍS</t>
  </si>
  <si>
    <t xml:space="preserve">16. Reflexión de la luz</t>
  </si>
  <si>
    <t xml:space="preserve">Modelo de rayos</t>
  </si>
  <si>
    <t xml:space="preserve">16.1. Representación de la luz mediante frentes de onda y rayos perpendiculares a ellos para fuentes puntuales y lejanas.</t>
  </si>
  <si>
    <t xml:space="preserve">Frentes de onda y rayos; base de reflexión y refracción</t>
  </si>
  <si>
    <t xml:space="preserve">Conocer: definir frente de onda y rayo. Aplicar: representar gráficamente. Razonar: justificar la aproximación de rayos</t>
  </si>
  <si>
    <t xml:space="preserve">T0376-G11-FÍS</t>
  </si>
  <si>
    <t xml:space="preserve">Espejos planos</t>
  </si>
  <si>
    <t xml:space="preserve">16.2. Determinación geométrica de la posición de imágenes en espejos planos y en sistemas de dos espejos en ángulo.</t>
  </si>
  <si>
    <t xml:space="preserve">Reflexión en espejos planos</t>
  </si>
  <si>
    <t xml:space="preserve">Aplicar: calcular número de imágenes y dimensiones. Razonar: generalizar una relación a partir de datos</t>
  </si>
  <si>
    <t xml:space="preserve">T0377-G11-FÍS</t>
  </si>
  <si>
    <t xml:space="preserve">Espejos esféricos</t>
  </si>
  <si>
    <t xml:space="preserve">16.3. Determinación experimental de la distancia focal de un espejo cóncavo y de su relación con el radio de curvatura.</t>
  </si>
  <si>
    <t xml:space="preserve">Reflexión en espejos esféricos</t>
  </si>
  <si>
    <t xml:space="preserve">Aplicar: medir distancias focales. Razonar: justificar la elección de espejos según su función</t>
  </si>
  <si>
    <t xml:space="preserve">T0378-G11-FÍS</t>
  </si>
  <si>
    <t xml:space="preserve">16.4. Construcción de diagramas de rayos principales para localizar imágenes en espejos cóncavos y convexos.</t>
  </si>
  <si>
    <t xml:space="preserve">Trazado de rayos por reflexión en espejos</t>
  </si>
  <si>
    <t xml:space="preserve">Aplicar: construir diagramas de rayos. Razonar: generalizar el tipo de imagen según la posición del objeto</t>
  </si>
  <si>
    <t xml:space="preserve">T0379-G11-FÍS</t>
  </si>
  <si>
    <t xml:space="preserve">Ecuación del espejo</t>
  </si>
  <si>
    <t xml:space="preserve">16.5. Resolución de problemas con la ecuación del espejo y la ecuación del aumento aplicando la convención de signos.</t>
  </si>
  <si>
    <t xml:space="preserve">Ecuación del espejo: imágenes por reflexión</t>
  </si>
  <si>
    <t xml:space="preserve">Aplicar: calcular posiciones y aumentos. Razonar: verificar un modelo con datos experimentales</t>
  </si>
  <si>
    <t xml:space="preserve">T0380-G11-FÍS</t>
  </si>
  <si>
    <t xml:space="preserve">17. Refracción de la luz</t>
  </si>
  <si>
    <t xml:space="preserve">Polarización por reflexión</t>
  </si>
  <si>
    <t xml:space="preserve">17.1. Determinación del ángulo de Brewster para superficies de agua y vidrio y comprobación de la polarización de la luz reflejada.</t>
  </si>
  <si>
    <t xml:space="preserve">Reflexión y refracción en ángulo de Brewster; polarización</t>
  </si>
  <si>
    <t xml:space="preserve">Aplicar: calcular ángulos de Brewster. Razonar: contrastar la medición con la predicción teórica</t>
  </si>
  <si>
    <t xml:space="preserve">T0381-G11-FÍS</t>
  </si>
  <si>
    <t xml:space="preserve">Lentes delgadas</t>
  </si>
  <si>
    <t xml:space="preserve">17.2. Clasificación de lentes según su forma y determinación de su distancia focal y potencia en dioptrías.</t>
  </si>
  <si>
    <t xml:space="preserve">Lentes delgadas: refracción y distancia focal</t>
  </si>
  <si>
    <t xml:space="preserve">Conocer: clasificar lentes. Aplicar: medir distancias focales y calcular potencias</t>
  </si>
  <si>
    <t xml:space="preserve">T0382-G11-FÍS</t>
  </si>
  <si>
    <t xml:space="preserve">17.3. Construcción de diagramas de rayos para localizar imágenes formadas por lentes convergentes y divergentes.</t>
  </si>
  <si>
    <t xml:space="preserve">Diagramas de rayos en lentes por refracción</t>
  </si>
  <si>
    <t xml:space="preserve">Aplicar: construir diagramas de rayos. Razonar: relacionar la posición del objeto con el tipo de imagen</t>
  </si>
  <si>
    <t xml:space="preserve">T0383-G11-FÍS</t>
  </si>
  <si>
    <t xml:space="preserve">Ecuación de las lentes</t>
  </si>
  <si>
    <t xml:space="preserve">17.4. Verificación experimental de la ecuación de las lentes delgadas mediante la medición de distancias de objeto e imagen.</t>
  </si>
  <si>
    <t xml:space="preserve">Ecuación de lentes delgadas: refracción</t>
  </si>
  <si>
    <t xml:space="preserve">Aplicar: calcular posiciones y aumentos. Razonar: validar un modelo con el análisis gráfico</t>
  </si>
  <si>
    <t xml:space="preserve">T0384-G11-FÍS</t>
  </si>
  <si>
    <t xml:space="preserve">Sistemas de lentes</t>
  </si>
  <si>
    <t xml:space="preserve">17.5. Resolución de problemas de sistemas de dos lentes en los que la imagen de la primera actúa como objeto de la segunda.</t>
  </si>
  <si>
    <t xml:space="preserve">Sistemas de lentes por refracción</t>
  </si>
  <si>
    <t xml:space="preserve">Aplicar: calcular imágenes en dos etapas. Razonar: diseñar un sistema que cumpla una condición</t>
  </si>
  <si>
    <t xml:space="preserve">T0385-G11-FÍS</t>
  </si>
  <si>
    <t xml:space="preserve">El ojo humano</t>
  </si>
  <si>
    <t xml:space="preserve">17.6. Análisis del ojo como sistema óptico y cálculo de la potencia de lentes correctoras para miopía e hipermetropía.</t>
  </si>
  <si>
    <t xml:space="preserve">Óptica del ojo y lentes correctoras</t>
  </si>
  <si>
    <t xml:space="preserve">Aplicar: calcular potencias correctoras. Razonar: relacionar defectos visuales con el modelo óptico del ojo</t>
  </si>
  <si>
    <t xml:space="preserve">T0386-G11-FÍS</t>
  </si>
  <si>
    <t xml:space="preserve">Instrumentos ópticos</t>
  </si>
  <si>
    <t xml:space="preserve">17.7. Cálculo del aumento angular de una lupa con la imagen en el punto cercano y en el infinito.</t>
  </si>
  <si>
    <t xml:space="preserve">Lupa: refracción en lentes</t>
  </si>
  <si>
    <t xml:space="preserve">Aplicar: calcular aumentos angulares. Razonar: relacionar distancia focal y aumento</t>
  </si>
  <si>
    <t xml:space="preserve">T0387-G11-FÍS</t>
  </si>
  <si>
    <t xml:space="preserve">17.8. Cálculo del aumento total de un microscopio compuesto a partir de las distancias focales del objetivo y del ocular.</t>
  </si>
  <si>
    <t xml:space="preserve">Microscopio compuesto: sistema de lentes</t>
  </si>
  <si>
    <t xml:space="preserve">Aplicar: calcular aumentos totales. Razonar: explicar la función de cada lente del sistema</t>
  </si>
  <si>
    <t xml:space="preserve">T0388-G11-FÍS</t>
  </si>
  <si>
    <t xml:space="preserve">17.9. Cálculo del aumento angular de un telescopio astronómico a partir de las distancias focales del objetivo y del ocular.</t>
  </si>
  <si>
    <t xml:space="preserve">Telescopio refractor: lentes objetivo y ocular</t>
  </si>
  <si>
    <t xml:space="preserve">Aplicar: calcular aumentos angulares. Razonar: justificar el diseño del instrumento</t>
  </si>
  <si>
    <t xml:space="preserve">T0389-G11-FÍS</t>
  </si>
  <si>
    <t xml:space="preserve">17.10. Análisis de las aberraciones esférica y cromática de las lentes y de las estrategias para corregirlas.</t>
  </si>
  <si>
    <t xml:space="preserve">Aberraciones esférica y cromática en espejos y lentes</t>
  </si>
  <si>
    <t xml:space="preserve">Conocer: identificar aberraciones. Razonar: explicar su origen y justificar estrategias de corrección</t>
  </si>
  <si>
    <t xml:space="preserve">T0390-G11-FÍS</t>
  </si>
  <si>
    <t xml:space="preserve">18. Naturaleza ondulatoria de la luz</t>
  </si>
  <si>
    <t xml:space="preserve">Interferencia</t>
  </si>
  <si>
    <t xml:space="preserve">18.1. Medición de la longitud de onda de un láser a partir del patrón de interferencia de doble rendija.</t>
  </si>
  <si>
    <t xml:space="preserve">Interferencia de doble rendija de Young</t>
  </si>
  <si>
    <t xml:space="preserve">Aplicar: medir y calcular longitudes de onda. Razonar: evaluar incertidumbres y concluir</t>
  </si>
  <si>
    <t xml:space="preserve">T0391-G11-FÍS</t>
  </si>
  <si>
    <t xml:space="preserve">18.2. Análisis de la interferencia en películas delgadas considerando el cambio de fase por reflexión y el espesor de la película.</t>
  </si>
  <si>
    <t xml:space="preserve">Interferencia en películas delgadas</t>
  </si>
  <si>
    <t xml:space="preserve">Aplicar: calcular espesores. Razonar: explicar colores con el modelo de interferencia</t>
  </si>
  <si>
    <t xml:space="preserve">T0392-G11-FÍS</t>
  </si>
  <si>
    <t xml:space="preserve">18.3. Cálculo de desplazamientos microscópicos a partir del número de franjas que cambian en un interferómetro de Michelson.</t>
  </si>
  <si>
    <t xml:space="preserve">Interferómetro de Michelson</t>
  </si>
  <si>
    <t xml:space="preserve">Aplicar: calcular desplazamientos. Razonar: argumentar la precisión del instrumento</t>
  </si>
  <si>
    <t xml:space="preserve">T0393-G11-FÍS</t>
  </si>
  <si>
    <t xml:space="preserve">Difracción</t>
  </si>
  <si>
    <t xml:space="preserve">18.4. Medición del ancho de una rendija o de un cabello a partir del patrón de difracción de un láser.</t>
  </si>
  <si>
    <t xml:space="preserve">Difracción por una rendija</t>
  </si>
  <si>
    <t xml:space="preserve">Aplicar: calcular dimensiones a partir de patrones. Razonar: diseñar y justificar el procedimiento</t>
  </si>
  <si>
    <t xml:space="preserve">T0394-G11-FÍS</t>
  </si>
  <si>
    <t xml:space="preserve">18.5. Aplicación del criterio de Rayleigh para determinar la separación angular mínima que distingue un instrumento óptico.</t>
  </si>
  <si>
    <t xml:space="preserve">Difracción en aberturas circulares y poder de resolución</t>
  </si>
  <si>
    <t xml:space="preserve">Aplicar: calcular resoluciones angulares. Razonar: contrastar predicciones con mediciones</t>
  </si>
  <si>
    <t xml:space="preserve">T0395-G11-FÍS</t>
  </si>
  <si>
    <t xml:space="preserve">18.6. Determinación de la separación entre pistas de discos CD y DVD usándolos como redes de difracción por reflexión.</t>
  </si>
  <si>
    <t xml:space="preserve">Red de difracción y espectroscopia</t>
  </si>
  <si>
    <t xml:space="preserve">Aplicar: calcular separaciones de líneas. Razonar: relacionar la separación con la capacidad de almacenamiento</t>
  </si>
  <si>
    <t xml:space="preserve">T0396-G11-FÍS</t>
  </si>
  <si>
    <t xml:space="preserve">Difracción de rayos X</t>
  </si>
  <si>
    <t xml:space="preserve">18.7. Aplicación de la ley de Bragg para calcular la separación entre planos cristalinos a partir de datos de difracción de rayos X.</t>
  </si>
  <si>
    <t xml:space="preserve">Difracción de rayos X: ley de Bragg</t>
  </si>
  <si>
    <t xml:space="preserve">Aplicar: calcular separaciones interplanares. Razonar: justificar el uso de rayos X y sus aplicaciones</t>
  </si>
  <si>
    <t xml:space="preserve">T0397-G11-FÍS</t>
  </si>
  <si>
    <t xml:space="preserve">19. Relatividad</t>
  </si>
  <si>
    <t xml:space="preserve">Postulados de la relatividad especial</t>
  </si>
  <si>
    <t xml:space="preserve">19.1. Análisis de los dos postulados de Einstein y de su contradicción con la suma galileana de velocidades aplicada a la luz.</t>
  </si>
  <si>
    <t xml:space="preserve">Postulados de relatividad especial fuera del marco</t>
  </si>
  <si>
    <t xml:space="preserve">Conocer: enunciar los postulados. Razonar: justificar la ruptura con la mecánica clásica</t>
  </si>
  <si>
    <t xml:space="preserve">T0398-G11-FÍS</t>
  </si>
  <si>
    <t xml:space="preserve">Consecuencias en el tiempo</t>
  </si>
  <si>
    <t xml:space="preserve">19.2. Cálculo del intervalo de tiempo dilatado mediante el factor de Lorentz en relojes que se mueven a gran rapidez.</t>
  </si>
  <si>
    <t xml:space="preserve">Dilatación del tiempo relativista fuera del marco</t>
  </si>
  <si>
    <t xml:space="preserve">Aplicar: calcular γ y Δt. Razonar: justificar con datos experimentales</t>
  </si>
  <si>
    <t xml:space="preserve">T0399-G11-FÍS</t>
  </si>
  <si>
    <t xml:space="preserve">Dinámica relativista</t>
  </si>
  <si>
    <t xml:space="preserve">19.3. Comparación del momento clásico y el momento relativista de partículas aceleradas a rapideces próximas a la de la luz.</t>
  </si>
  <si>
    <t xml:space="preserve">Momento relativista fuera del marco</t>
  </si>
  <si>
    <t xml:space="preserve">Aplicar: calcular momentos. Razonar: comparar modelos clásico y relativista</t>
  </si>
  <si>
    <t xml:space="preserve">T0400-G11-FÍS</t>
  </si>
  <si>
    <t xml:space="preserve">19.4. Aplicación de la equivalencia masa-energía y de la relación E² = (pc)² + (mc²)² en partículas y procesos nucleares.</t>
  </si>
  <si>
    <t xml:space="preserve">Energía en reposo E=mc² y energía relativista</t>
  </si>
  <si>
    <t xml:space="preserve">Aplicar: calcular energías relativistas. Razonar: justificar el límite clásico</t>
  </si>
  <si>
    <t xml:space="preserve">T0401-G11-FÍS</t>
  </si>
  <si>
    <t xml:space="preserve">Cinemática relativista</t>
  </si>
  <si>
    <t xml:space="preserve">19.5. Cálculo de velocidades relativas mediante la fórmula relativista de adición y comparación con la suma galileana.</t>
  </si>
  <si>
    <t xml:space="preserve">Adición relativista de velocidades fuera del marco</t>
  </si>
  <si>
    <t xml:space="preserve">Aplicar: calcular velocidades relativas. Razonar: evaluar la validez de la aproximación clásica</t>
  </si>
  <si>
    <t xml:space="preserve">T0402-G11-FÍS</t>
  </si>
  <si>
    <t xml:space="preserve">20. Física nuclear</t>
  </si>
  <si>
    <t xml:space="preserve">El núcleo atómico</t>
  </si>
  <si>
    <t xml:space="preserve">20.1. Cálculo del radio y la densidad nuclear mediante R = R₀A^(1/3) y comparación con la densidad de la materia ordinaria.</t>
  </si>
  <si>
    <t xml:space="preserve">Estructura del núcleo: nucleones, isótopos, tamaño</t>
  </si>
  <si>
    <t xml:space="preserve">Aplicar: calcular radio y densidad nuclear. Razonar: generalizar una tendencia</t>
  </si>
  <si>
    <t xml:space="preserve">T0403-G11-FÍS</t>
  </si>
  <si>
    <t xml:space="preserve">20.2. Análisis de la competencia entre la fuerza nuclear fuerte y la repulsión eléctrica en la banda de estabilidad N frente a Z.</t>
  </si>
  <si>
    <t xml:space="preserve">Estabilidad nuclear: fuerza fuerte y repulsión eléctrica</t>
  </si>
  <si>
    <t xml:space="preserve">Aplicar: calcular fuerzas eléctricas. Razonar: explicar la estabilidad con un modelo</t>
  </si>
  <si>
    <t xml:space="preserve">T0404-G11-FÍS</t>
  </si>
  <si>
    <t xml:space="preserve">Energía nuclear</t>
  </si>
  <si>
    <t xml:space="preserve">20.3. Cálculo del defecto de masa y la energía de enlace por nucleón, y construcción de la curva de energía de enlace.</t>
  </si>
  <si>
    <t xml:space="preserve">Defecto de masa y energía de enlace</t>
  </si>
  <si>
    <t xml:space="preserve">Aplicar: calcular defectos de masa y energías de enlace. Razonar: interpretar una curva</t>
  </si>
  <si>
    <t xml:space="preserve">T0405-G11-FÍS</t>
  </si>
  <si>
    <t xml:space="preserve">Partículas subatómicas</t>
  </si>
  <si>
    <t xml:space="preserve">20.4. Análisis del espectro continuo de energía de la desintegración beta como evidencia de la existencia del neutrino.</t>
  </si>
  <si>
    <t xml:space="preserve">Desintegración beta y neutrino</t>
  </si>
  <si>
    <t xml:space="preserve">Conocer: describir el neutrino. Razonar: justificar su existencia con la conservación de la energía</t>
  </si>
  <si>
    <t xml:space="preserve">T0406-G11-FÍS</t>
  </si>
  <si>
    <t xml:space="preserve">Partículas elementales</t>
  </si>
  <si>
    <t xml:space="preserve">20.5. Clasificación de las partículas elementales según el modelo estándar y descripción de las interacciones fundamentales.</t>
  </si>
  <si>
    <t xml:space="preserve">Partículas elementales y modelo estándar</t>
  </si>
  <si>
    <t xml:space="preserve">Conocer: clasificar partículas. Aplicar: calcular cargas de hadrones. Razonar: argumentar</t>
  </si>
  <si>
    <t xml:space="preserve">T0407-G11-FÍS</t>
  </si>
  <si>
    <t xml:space="preserve">Cosmología</t>
  </si>
  <si>
    <t xml:space="preserve">20.6. Interpretación de las evidencias de la teoría del Big Bang: ley de Hubble, radiación cósmica de fondo y abundancia de elementos ligeros.</t>
  </si>
  <si>
    <t xml:space="preserve">Cosmología y Big Bang</t>
  </si>
  <si>
    <t xml:space="preserve">Aplicar: calcular la constante de Hubble. Razonar: evaluar evidencias</t>
  </si>
  <si>
    <t xml:space="preserve">T0408-G11-FÍS</t>
  </si>
  <si>
    <t xml:space="preserve">21. Física radiactiva</t>
  </si>
  <si>
    <t xml:space="preserve">Desintegración radiactiva</t>
  </si>
  <si>
    <t xml:space="preserve">21.1. Escritura y balance de ecuaciones de desintegración alfa, beta y gamma aplicando la conservación del número másico y de la carga.</t>
  </si>
  <si>
    <t xml:space="preserve">Ecuaciones de desintegración alfa, beta y gamma</t>
  </si>
  <si>
    <t xml:space="preserve">Aplicar: balancear ecuaciones nucleares. Razonar: generalizar reglas de conservación</t>
  </si>
  <si>
    <t xml:space="preserve">T0409-G11-FÍS</t>
  </si>
  <si>
    <t xml:space="preserve">Ley de desintegración</t>
  </si>
  <si>
    <t xml:space="preserve">21.2. Modelación de la desintegración radiactiva con dados y simulaciones, y cálculo de la actividad y la vida media con la ley exponencial.</t>
  </si>
  <si>
    <t xml:space="preserve">Ley de desintegración radiactiva y vida media</t>
  </si>
  <si>
    <t xml:space="preserve">Aplicar: calcular actividades y vidas medias. Razonar: evaluar un modelo estadístico</t>
  </si>
  <si>
    <t xml:space="preserve">T0410-G11-FÍS</t>
  </si>
  <si>
    <t xml:space="preserve">Aplicaciones de la ley de desintegración</t>
  </si>
  <si>
    <t xml:space="preserve">21.3. Cálculo de la edad de muestras arqueológicas y geológicas con la ley de desintegración a partir de datos publicados.</t>
  </si>
  <si>
    <t xml:space="preserve">Datación radiactiva con vida media</t>
  </si>
  <si>
    <t xml:space="preserve">Aplicar: calcular edades radiométricas. Razonar: evaluar incertidumbres y métodos</t>
  </si>
  <si>
    <t xml:space="preserve">T0411-G11-FÍS</t>
  </si>
  <si>
    <t xml:space="preserve">Medición de la radiación</t>
  </si>
  <si>
    <t xml:space="preserve">21.4. Análisis del principio de funcionamiento de los detectores de radiación a partir de la ionización y la excitación que produce la radiación.</t>
  </si>
  <si>
    <t xml:space="preserve">Detección de radiación de decaimiento</t>
  </si>
  <si>
    <t xml:space="preserve">Conocer: describir detectores. Razonar: seleccionar el detector adecuado</t>
  </si>
  <si>
    <t xml:space="preserve">T0412-G11-FÍS</t>
  </si>
  <si>
    <t xml:space="preserve">22. Ciencias del espacio</t>
  </si>
  <si>
    <t xml:space="preserve">Sistema solar</t>
  </si>
  <si>
    <t xml:space="preserve">22.1. Exploración del razonamiento que originó los sistemas geocéntrico y heliocéntrico.</t>
  </si>
  <si>
    <t xml:space="preserve">Modelos geocéntrico y heliocéntrico: historia de la astronomía</t>
  </si>
  <si>
    <t xml:space="preserve">Conocer: describir modelos. Razonar: argumentar con evidencias históricas</t>
  </si>
  <si>
    <t xml:space="preserve">T0413-G11-FÍS</t>
  </si>
  <si>
    <t xml:space="preserve">22.2. Simulación de los parámetros orbitales de sistemas planetarios descritos por las leyes de Kepler.</t>
  </si>
  <si>
    <t xml:space="preserve">Leyes de Kepler del movimiento planetario</t>
  </si>
  <si>
    <t xml:space="preserve">Aplicar: calcular periodos orbitales. Razonar: generalizar una ley con datos</t>
  </si>
  <si>
    <t xml:space="preserve">T0414-G11-FÍS</t>
  </si>
  <si>
    <t xml:space="preserve">22.3. Cálculo de la masa de la Tierra a partir de la ley de la gravitación universal de Newton.</t>
  </si>
  <si>
    <t xml:space="preserve">Gravitación universal para calcular masa terrestre</t>
  </si>
  <si>
    <t xml:space="preserve">Aplicar: calcular la masa de la Tierra. Razonar: evaluar métodos y errores</t>
  </si>
  <si>
    <t xml:space="preserve">T0415-G11-FÍS</t>
  </si>
  <si>
    <t xml:space="preserve">Tecnologías para la observación espacial</t>
  </si>
  <si>
    <t xml:space="preserve">22.4. Análisis del espectro de radiación térmica emitido por un cuerpo celeste.</t>
  </si>
  <si>
    <t xml:space="preserve">Radiación emitida según temperatura del objeto</t>
  </si>
  <si>
    <t xml:space="preserve">Aplicar: calcular temperaturas con la ley de Wien. Razonar: relacionar temperatura y radiación</t>
  </si>
  <si>
    <t xml:space="preserve">T0416-G11-FÍS</t>
  </si>
  <si>
    <t xml:space="preserve">22.5. Reconocimiento de las ventajas y desventajas en el uso de telescopios de refracción y reflexión.</t>
  </si>
  <si>
    <t xml:space="preserve">Telescopios refractores y reflectores: refracción y reflexión</t>
  </si>
  <si>
    <t xml:space="preserve">Aplicar: calcular aumentos. Razonar: justificar la selección de un instrumento</t>
  </si>
  <si>
    <t xml:space="preserve">T0417-G11-FÍS</t>
  </si>
  <si>
    <t xml:space="preserve">22.6. Exploración de los tipos de detectores de imágenes empleados en los observatorios astronómicos terrestres y espaciales.</t>
  </si>
  <si>
    <t xml:space="preserve">Detectores astronómicos; tecnología sin contenido del catálogo</t>
  </si>
  <si>
    <t xml:space="preserve">Conocer: clasificar detectores. Aplicar: relacionar detector y longitud de onda</t>
  </si>
  <si>
    <t xml:space="preserve">T0418-G11-FÍS</t>
  </si>
  <si>
    <t xml:space="preserve">Sistemas planetarios</t>
  </si>
  <si>
    <t xml:space="preserve">22.7. Indagación de los métodos para detectar y caracterizar un exoplaneta.</t>
  </si>
  <si>
    <t xml:space="preserve">Métodos de detección de exoplanetas; astronomía aplicada</t>
  </si>
  <si>
    <t xml:space="preserve">Aplicar: calcular el radio de un exoplaneta. Razonar: evaluar sesgos de un método</t>
  </si>
  <si>
    <t xml:space="preserve">T0419-G11-FÍS</t>
  </si>
  <si>
    <t xml:space="preserve">22.8. Exploración de las propiedades deducibles de los exoplanetas.</t>
  </si>
  <si>
    <t xml:space="preserve">Propiedades de exoplanetas; astronomía sin objetivo explícito</t>
  </si>
  <si>
    <t xml:space="preserve">Aplicar: calcular densidades. Razonar: argumentar sobre la habitabilidad</t>
  </si>
  <si>
    <t xml:space="preserve">T0420-G11-FÍS</t>
  </si>
  <si>
    <t xml:space="preserve">22.9. Discusión acerca de las condiciones que permiten el desarrollo de vida en un planeta y cómo detectarlas.</t>
  </si>
  <si>
    <t xml:space="preserve">Astrobiología fuera del marco</t>
  </si>
  <si>
    <t xml:space="preserve">Razonar: argumentar sobre condiciones de habitabilidad y evaluar evidencias</t>
  </si>
  <si>
    <t xml:space="preserve">T0421-G11-FÍS</t>
  </si>
  <si>
    <t xml:space="preserve">23. Introducción a la física moderna</t>
  </si>
  <si>
    <t xml:space="preserve">Teoría de la relatividad especial</t>
  </si>
  <si>
    <t xml:space="preserve">23.1. Reconocimiento de las métricas del espacio relativista y no relativista, y sus invarianzas.</t>
  </si>
  <si>
    <t xml:space="preserve">Métricas euclidiana y de Minkowski: relatividad</t>
  </si>
  <si>
    <t xml:space="preserve">Aplicar: calcular intervalos. Razonar: justificar invariancias</t>
  </si>
  <si>
    <t xml:space="preserve">T0422-G11-FÍS</t>
  </si>
  <si>
    <t xml:space="preserve">23.2. Interpretación de los marcos de referencia inerciales para eventos simultáneos.</t>
  </si>
  <si>
    <t xml:space="preserve">Simultaneidad relativista fuera del marco</t>
  </si>
  <si>
    <t xml:space="preserve">Razonar: interpretar la relatividad de la simultaneidad con diagramas</t>
  </si>
  <si>
    <t xml:space="preserve">T0423-G11-FÍS</t>
  </si>
  <si>
    <t xml:space="preserve">23.3. Cálculo de la longitud de objetos que se mueven a una rapidez cercana a la de la luz.</t>
  </si>
  <si>
    <t xml:space="preserve">Contracción de la longitud fuera del marco</t>
  </si>
  <si>
    <t xml:space="preserve">Aplicar: calcular longitudes contraídas. Razonar: relacionar contracción y dilatación</t>
  </si>
  <si>
    <t xml:space="preserve">T0424-G11-FÍS</t>
  </si>
  <si>
    <t xml:space="preserve">Interacción de la radiación y la materia</t>
  </si>
  <si>
    <t xml:space="preserve">23.4. Exploración de los tipos de radiación ionizante y sus efectos en las células.</t>
  </si>
  <si>
    <t xml:space="preserve">Radiación ionizante de decaimiento y efectos biológicos</t>
  </si>
  <si>
    <t xml:space="preserve">Conocer: clasificar radiaciones. Razonar: distinguir evidencia de opinión</t>
  </si>
  <si>
    <t xml:space="preserve">T0425-G11-FÍS</t>
  </si>
  <si>
    <t xml:space="preserve">23.5. Reconocimiento de la radiación de partículas y la radiación electromagnética a partir de sus interacciones con la materia.</t>
  </si>
  <si>
    <t xml:space="preserve">Radiación de partículas y electromagnética con la materia</t>
  </si>
  <si>
    <t xml:space="preserve">Aplicar: interpretar datos de atenuación. Razonar: justificar blindajes</t>
  </si>
  <si>
    <t xml:space="preserve">T0426-G11-FÍS</t>
  </si>
  <si>
    <t xml:space="preserve">23.6. Identificación de los tipos de radiación ionizante y sus aplicaciones médicas.</t>
  </si>
  <si>
    <t xml:space="preserve">Aplicaciones médicas de radiación ionizante</t>
  </si>
  <si>
    <t xml:space="preserve">Conocer: identificar aplicaciones médicas. Razonar: valorar riesgos y beneficios</t>
  </si>
  <si>
    <t xml:space="preserve">T0427-G11-FÍS</t>
  </si>
  <si>
    <t xml:space="preserve">Física nuclear</t>
  </si>
  <si>
    <t xml:space="preserve">23.7. Indagación del concepto y características fundamentales de las reacciones de fisión y fusión nuclear.</t>
  </si>
  <si>
    <t xml:space="preserve">Reacciones de fisión y fusión nuclear</t>
  </si>
  <si>
    <t xml:space="preserve">Aplicar: calcular la energía liberada. Razonar: comparar fuentes de energía</t>
  </si>
  <si>
    <t xml:space="preserve">T0428-G11-FÍS</t>
  </si>
  <si>
    <t xml:space="preserve">23.8. Generalización del proceso de transformación del combustible nuclear en energía eléctrica.</t>
  </si>
  <si>
    <t xml:space="preserve">Reactores: fisión y conversión de energía</t>
  </si>
  <si>
    <t xml:space="preserve">Conocer: identificar componentes. Aplicar: representar transformaciones de energía</t>
  </si>
  <si>
    <t xml:space="preserve">T0429-G11-FÍS</t>
  </si>
  <si>
    <t xml:space="preserve">23.9. Investigación de las aplicaciones tecnológicas nucleares no eléctricas.</t>
  </si>
  <si>
    <t xml:space="preserve">Aplicaciones tecnológicas nucleares no eléctricas</t>
  </si>
  <si>
    <t xml:space="preserve">Conocer: ejemplificar aplicaciones. Razonar: justificar decisiones con criterios</t>
  </si>
  <si>
    <t xml:space="preserve">T0430-G10-QUÍ</t>
  </si>
  <si>
    <t xml:space="preserve">Matriz_Bachillerato_Quimica_10_11.xlsx</t>
  </si>
  <si>
    <t xml:space="preserve">Química 10.°</t>
  </si>
  <si>
    <t xml:space="preserve">1. La química como ciencia: ciclo de indagación</t>
  </si>
  <si>
    <t xml:space="preserve">La química y su método</t>
  </si>
  <si>
    <t xml:space="preserve">1.1. Análisis de la química como ciencia central que conecta las ciencias físicas, las ciencias de la vida y las ciencias aplicadas.</t>
  </si>
  <si>
    <t xml:space="preserve">Sin marco</t>
  </si>
  <si>
    <t xml:space="preserve">N/A</t>
  </si>
  <si>
    <t xml:space="preserve">Sin marco TIMSS de contenido para esta asignatura en Bachillerato</t>
  </si>
  <si>
    <t xml:space="preserve">Conocer: identificar el objeto de estudio. Razonar: relacionar disciplinas científicas</t>
  </si>
  <si>
    <t xml:space="preserve">Química 10°–11°</t>
  </si>
  <si>
    <t xml:space="preserve">T0431-G10-QUÍ</t>
  </si>
  <si>
    <t xml:space="preserve">1.2. Clasificación de problemas y productos cotidianos según la rama de la química que los estudia.</t>
  </si>
  <si>
    <t xml:space="preserve">Conocer: describir ramas de la química. Aplicar: clasificar situaciones. Razonar: justificar</t>
  </si>
  <si>
    <t xml:space="preserve">T0432-G10-QUÍ</t>
  </si>
  <si>
    <t xml:space="preserve">1.3. Evaluación de avances tecnológicos basados en conocimientos químicos, con sus beneficios y riesgos.</t>
  </si>
  <si>
    <t xml:space="preserve">Aplicar: comparar beneficios y riesgos. Razonar: evaluar argumentos con datos</t>
  </si>
  <si>
    <t xml:space="preserve">T0433-G10-QUÍ</t>
  </si>
  <si>
    <t xml:space="preserve">1.4. Reconstrucción de la historia de la química a partir de descubrimientos que transformaron la sociedad.</t>
  </si>
  <si>
    <t xml:space="preserve">Conocer: identificar científicos y aportes. Razonar: relacionar descubrimientos con cambios de método</t>
  </si>
  <si>
    <t xml:space="preserve">T0434-G10-QUÍ</t>
  </si>
  <si>
    <t xml:space="preserve">1.5. Análisis de la contribución social de la química y la tecnología a la calidad de vida en El Salvador.</t>
  </si>
  <si>
    <t xml:space="preserve">Aplicar: interpretar datos sociales. Razonar: argumentar el aporte de la química</t>
  </si>
  <si>
    <t xml:space="preserve">T0435-G10-QUÍ</t>
  </si>
  <si>
    <t xml:space="preserve">El método científico en química</t>
  </si>
  <si>
    <t xml:space="preserve">1.6. Aplicación de las etapas del método científico a una investigación química sencilla con materiales seguros.</t>
  </si>
  <si>
    <t xml:space="preserve">Aplicar: controlar variables y medir. Razonar: contrastar hipótesis con datos</t>
  </si>
  <si>
    <t xml:space="preserve">T0436-G10-QUÍ</t>
  </si>
  <si>
    <t xml:space="preserve">La medición en el laboratorio químico</t>
  </si>
  <si>
    <t xml:space="preserve">1.7. Uso de la notación científica y los órdenes de magnitud para expresar y operar cantidades químicas muy grandes o muy pequeñas.</t>
  </si>
  <si>
    <t xml:space="preserve">Aplicar: transformar y operar en notación científica. Razonar: estimar órdenes de magnitud</t>
  </si>
  <si>
    <t xml:space="preserve">T0437-G10-QUÍ</t>
  </si>
  <si>
    <t xml:space="preserve">1.8. Comparación de la exactitud y la precisión de mediciones de volumen realizadas con distintos instrumentos de laboratorio.</t>
  </si>
  <si>
    <t xml:space="preserve">Aplicar: calcular error relativo y dispersión. Razonar: distinguir errores sistemáticos y aleatorios</t>
  </si>
  <si>
    <t xml:space="preserve">T0438-G10-QUÍ</t>
  </si>
  <si>
    <t xml:space="preserve">1.9. Aplicación de las reglas de las cifras significativas al registro de mediciones y a los cálculos de magnitudes derivadas.</t>
  </si>
  <si>
    <t xml:space="preserve">Aplicar: contar y redondear cifras significativas. Razonar: justificar la precisión de un resultado</t>
  </si>
  <si>
    <t xml:space="preserve">T0439-G10-QUÍ</t>
  </si>
  <si>
    <t xml:space="preserve">1.10. Aplicación de una técnica sistemática para resolver problemas químicos cuantitativos.</t>
  </si>
  <si>
    <t xml:space="preserve">Aplicar: planificar y calcular. Razonar: verificar la razonabilidad del resultado</t>
  </si>
  <si>
    <t xml:space="preserve">T0440-G10-QUÍ</t>
  </si>
  <si>
    <t xml:space="preserve">La materia y sus propiedades</t>
  </si>
  <si>
    <t xml:space="preserve">1.11. Interpretación de los estados de la materia y de los sistemas materiales mediante el modelo cinético-molecular.</t>
  </si>
  <si>
    <t xml:space="preserve">Conocer: describir estados de la materia. Razonar: explicar con el modelo cinético-molecular</t>
  </si>
  <si>
    <t xml:space="preserve">T0441-G10-QUÍ</t>
  </si>
  <si>
    <t xml:space="preserve">1.12. Determinación experimental de la densidad de sólidos y líquidos como propiedad intensiva para identificar sustancias.</t>
  </si>
  <si>
    <t xml:space="preserve">Aplicar: medir y calcular la densidad. Razonar: identificar sustancias con datos</t>
  </si>
  <si>
    <t xml:space="preserve">T0442-G10-QUÍ</t>
  </si>
  <si>
    <t xml:space="preserve">1.13. Clasificación de muestras de materia en sustancias puras, mezclas homogéneas, mezclas heterogéneas, coloides y emulsiones.</t>
  </si>
  <si>
    <t xml:space="preserve">Conocer: diferenciar sustancias y mezclas. Aplicar: clasificar muestras. Razonar: justificar</t>
  </si>
  <si>
    <t xml:space="preserve">T0443-G10-QUÍ</t>
  </si>
  <si>
    <t xml:space="preserve">1.14. Selección y aplicación de métodos de separación de mezclas según las propiedades de sus componentes.</t>
  </si>
  <si>
    <t xml:space="preserve">Aplicar: seleccionar y ejecutar métodos de separación. Razonar: justificar con propiedades</t>
  </si>
  <si>
    <t xml:space="preserve">T0444-G10-QUÍ</t>
  </si>
  <si>
    <t xml:space="preserve">2. Las cantidades en química</t>
  </si>
  <si>
    <t xml:space="preserve">Leyes de la combinación química</t>
  </si>
  <si>
    <t xml:space="preserve">2.1. Comprobación experimental de la ley de conservación de la masa y análisis de datos de las leyes de las proporciones definidas y múltiples.</t>
  </si>
  <si>
    <t xml:space="preserve">Aplicar: calcular razones de masa. Razonar: interpretar datos para comprobar una ley</t>
  </si>
  <si>
    <t xml:space="preserve">T0445-G10-QUÍ</t>
  </si>
  <si>
    <t xml:space="preserve">2.2. Explicación de las leyes ponderales a partir de los postulados de la teoría atómica de Dalton y análisis de sus limitaciones.</t>
  </si>
  <si>
    <t xml:space="preserve">Conocer: enunciar postulados. Razonar: explicar leyes con un modelo y evaluar sus límites</t>
  </si>
  <si>
    <t xml:space="preserve">T0446-G10-QUÍ</t>
  </si>
  <si>
    <t xml:space="preserve">2.3. Interpretación de la ley de los volúmenes de combinación y de la hipótesis de Avogadro como complemento de la teoría atómica.</t>
  </si>
  <si>
    <t xml:space="preserve">Aplicar: relacionar volúmenes y fórmulas. Razonar: explicar con la hipótesis de Avogadro</t>
  </si>
  <si>
    <t xml:space="preserve">T0447-G10-QUÍ</t>
  </si>
  <si>
    <t xml:space="preserve">La cantidad de sustancia</t>
  </si>
  <si>
    <t xml:space="preserve">2.4. Resolución de problemas que relacionan masa, cantidad de sustancia y número de partículas en muestras reales.</t>
  </si>
  <si>
    <t xml:space="preserve">Aplicar: convertir entre masa, moles y partículas. Razonar: comparar cantidades</t>
  </si>
  <si>
    <t xml:space="preserve">T0448-G10-QUÍ</t>
  </si>
  <si>
    <t xml:space="preserve">2.5. Cálculo de la composición centesimal, la fórmula empírica y la fórmula molecular de compuestos a partir de datos experimentales.</t>
  </si>
  <si>
    <t xml:space="preserve">Aplicar: calcular composición y fórmulas. Razonar: comparar compuestos con datos</t>
  </si>
  <si>
    <t xml:space="preserve">T0449-G10-QUÍ</t>
  </si>
  <si>
    <t xml:space="preserve">2.6. Determinación de la fórmula de compuestos orgánicos a partir de datos de análisis elemental y reconocimiento de isómeros.</t>
  </si>
  <si>
    <t xml:space="preserve">Aplicar: calcular fórmulas a partir de datos analíticos. Razonar: distinguir isómeros con evidencia</t>
  </si>
  <si>
    <t xml:space="preserve">T0450-G10-QUÍ</t>
  </si>
  <si>
    <t xml:space="preserve">3. Modelos atómicos y estructura</t>
  </si>
  <si>
    <t xml:space="preserve">Evolución de los modelos atómicos</t>
  </si>
  <si>
    <t xml:space="preserve">3.1. Análisis de los experimentos con rayos catódicos que condujeron al descubrimiento del electrón y al modelo de Thomson.</t>
  </si>
  <si>
    <t xml:space="preserve">Conocer: describir experimentos históricos. Aplicar: calcular la masa del electrón. Razonar: interpretar evidencia</t>
  </si>
  <si>
    <t xml:space="preserve">T0451-G10-QUÍ</t>
  </si>
  <si>
    <t xml:space="preserve">3.2. Interpretación del experimento de Geiger y Marsden y de las propiedades de las radiaciones alfa, beta y gamma mediante un simulador.</t>
  </si>
  <si>
    <t xml:space="preserve">Aplicar: registrar y analizar datos simulados. Razonar: deducir la estructura nuclear</t>
  </si>
  <si>
    <t xml:space="preserve">T0452-G10-QUÍ</t>
  </si>
  <si>
    <t xml:space="preserve">3.3. Análisis del descubrimiento del protón y del neutrón y comparación de las propiedades de las partículas subatómicas.</t>
  </si>
  <si>
    <t xml:space="preserve">Conocer: comparar propiedades de partículas. Razonar: justificar con evidencia histórica</t>
  </si>
  <si>
    <t xml:space="preserve">T0453-G10-QUÍ</t>
  </si>
  <si>
    <t xml:space="preserve">Estructura del átomo</t>
  </si>
  <si>
    <t xml:space="preserve">3.4. Cálculo de las partículas subatómicas de átomos e iones y de la masa atómica promedio de un elemento a partir de la abundancia de sus isótopos.</t>
  </si>
  <si>
    <t xml:space="preserve">Aplicar: calcular partículas y masa atómica promedio. Razonar: argumentar con datos isotópicos</t>
  </si>
  <si>
    <t xml:space="preserve">T0454-G10-QUÍ</t>
  </si>
  <si>
    <t xml:space="preserve">3.5. Observación y análisis de espectros de emisión con un espectroscopio sencillo y relación de la luz con la energía de los fotones.</t>
  </si>
  <si>
    <t xml:space="preserve">Aplicar: calcular frecuencia y energía. Razonar: identificar elementos con espectros</t>
  </si>
  <si>
    <t xml:space="preserve">T0455-G10-QUÍ</t>
  </si>
  <si>
    <t xml:space="preserve">3.6. Cálculo de las energías y longitudes de onda de las transiciones del átomo de hidrógeno con el modelo de Bohr.</t>
  </si>
  <si>
    <t xml:space="preserve">Aplicar: calcular longitudes de onda con la ecuación de Rydberg. Razonar: validar un modelo con datos</t>
  </si>
  <si>
    <t xml:space="preserve">T0456-G10-QUÍ</t>
  </si>
  <si>
    <t xml:space="preserve">El modelo mecanocuántico</t>
  </si>
  <si>
    <t xml:space="preserve">3.7. Análisis de las limitaciones del modelo de Bohr y de las hipótesis que fundamentan el modelo mecanocuántico del átomo.</t>
  </si>
  <si>
    <t xml:space="preserve">Aplicar: calcular la longitud de onda de De Broglie. Razonar: contrastar modelos</t>
  </si>
  <si>
    <t xml:space="preserve">T0457-G10-QUÍ</t>
  </si>
  <si>
    <t xml:space="preserve">3.8. Determinación de los valores permitidos de los números cuánticos y de su relación con niveles, subniveles y orbitales.</t>
  </si>
  <si>
    <t xml:space="preserve">Aplicar: asignar números cuánticos. Razonar: detectar conjuntos imposibles</t>
  </si>
  <si>
    <t xml:space="preserve">T0458-G10-QUÍ</t>
  </si>
  <si>
    <t xml:space="preserve">3.9. Interpretación de la forma, el tamaño y la energía relativa de los orbitales y de su orden de llenado mediante el diagrama de Möller.</t>
  </si>
  <si>
    <t xml:space="preserve">Conocer: describir la forma de orbitales. Aplicar: ordenar subniveles. Razonar: justificar con la regla n + l</t>
  </si>
  <si>
    <t xml:space="preserve">T0459-G10-QUÍ</t>
  </si>
  <si>
    <t xml:space="preserve">3.10. Escritura de configuraciones electrónicas y diagramas de orbitales de átomos e iones, incluidos los elementos de transición, aplicando los principios de construcción.</t>
  </si>
  <si>
    <t xml:space="preserve">Aplicar: escribir configuraciones electrónicas. Razonar: predecir propiedades magnéticas</t>
  </si>
  <si>
    <t xml:space="preserve">T0460-G10-QUÍ</t>
  </si>
  <si>
    <t xml:space="preserve">4. Tabla periódica de los elementos</t>
  </si>
  <si>
    <t xml:space="preserve">Construcción de la tabla periódica</t>
  </si>
  <si>
    <t xml:space="preserve">4.1. Análisis de los aportes y las limitaciones de las clasificaciones históricas de los elementos hasta la tabla de Mendeléiev.</t>
  </si>
  <si>
    <t xml:space="preserve">Conocer: describir clasificaciones históricas. Razonar: evaluar el valor predictivo de un modelo</t>
  </si>
  <si>
    <t xml:space="preserve">T0461-G10-QUÍ</t>
  </si>
  <si>
    <t xml:space="preserve">4.2. Interpretación de la ley periódica actual y de la organización de la tabla en grupos, periodos y tipos de elementos.</t>
  </si>
  <si>
    <t xml:space="preserve">Conocer: identificar grupos y periodos. Aplicar: ubicar elementos. Razonar: explicar la ley periódica</t>
  </si>
  <si>
    <t xml:space="preserve">T0462-G10-QUÍ</t>
  </si>
  <si>
    <t xml:space="preserve">4.3. Relación entre la configuración electrónica de la capa de valencia y la posición de los elementos en los bloques de la tabla periódica.</t>
  </si>
  <si>
    <t xml:space="preserve">Aplicar: relacionar configuración y posición. Razonar: justificar semejanzas de grupo</t>
  </si>
  <si>
    <t xml:space="preserve">T0463-G10-QUÍ</t>
  </si>
  <si>
    <t xml:space="preserve">Propiedades periódicas</t>
  </si>
  <si>
    <t xml:space="preserve">4.4. Análisis de la variación del radio atómico y del radio iónico en la tabla periódica en función de la carga nuclear efectiva.</t>
  </si>
  <si>
    <t xml:space="preserve">Aplicar: graficar datos periódicos. Razonar: explicar tendencias con la carga nuclear efectiva</t>
  </si>
  <si>
    <t xml:space="preserve">T0464-G10-QUÍ</t>
  </si>
  <si>
    <t xml:space="preserve">4.5. Interpretación de las energías de ionización sucesivas y de su variación en la tabla periódica a partir de datos reales.</t>
  </si>
  <si>
    <t xml:space="preserve">Aplicar: graficar energías de ionización. Razonar: deducir electrones de valencia y explicar anomalías</t>
  </si>
  <si>
    <t xml:space="preserve">T0465-G10-QUÍ</t>
  </si>
  <si>
    <t xml:space="preserve">4.6. Interpretación de la afinidad electrónica como cambio de energía y de su variación según la posición de los elementos en la tabla periódica.</t>
  </si>
  <si>
    <t xml:space="preserve">Aplicar: interpretar datos energéticos. Razonar: justificar tendencias y excepciones</t>
  </si>
  <si>
    <t xml:space="preserve">T0466-G10-QUÍ</t>
  </si>
  <si>
    <t xml:space="preserve">4.7. Comparación de las escalas de electronegatividad y uso de la diferencia de electronegatividad para anticipar el tipo de enlace.</t>
  </si>
  <si>
    <t xml:space="preserve">Aplicar: calcular diferencias de electronegatividad. Razonar: predecir el tipo de enlace</t>
  </si>
  <si>
    <t xml:space="preserve">T0467-G10-QUÍ</t>
  </si>
  <si>
    <t xml:space="preserve">4.8. Análisis de las tendencias de reactividad de metales y no metales en la tabla periódica a partir de demostraciones y videos.</t>
  </si>
  <si>
    <t xml:space="preserve">Aplicar: ordenar por reactividad. Razonar: explicar tendencias con propiedades periódicas</t>
  </si>
  <si>
    <t xml:space="preserve">T0468-G10-QUÍ</t>
  </si>
  <si>
    <t xml:space="preserve">5. Los enlaces químicos</t>
  </si>
  <si>
    <t xml:space="preserve">Naturaleza del enlace químico</t>
  </si>
  <si>
    <t xml:space="preserve">5.1. Interpretación de la curva de energía potencial frente a la distancia internuclear en la formación de un enlace.</t>
  </si>
  <si>
    <t xml:space="preserve">Aplicar: interpretar una gráfica energía-distancia. Razonar: justificar la estabilidad del enlace</t>
  </si>
  <si>
    <t xml:space="preserve">T0469-G10-QUÍ</t>
  </si>
  <si>
    <t xml:space="preserve">Enlace covalente</t>
  </si>
  <si>
    <t xml:space="preserve">5.2. Construcción de estructuras de Lewis de moléculas e iones poliatómicos, incluidas las excepciones a la regla del octeto.</t>
  </si>
  <si>
    <t xml:space="preserve">Aplicar: representar moléculas con estructuras de Lewis. Razonar: evaluar la validez de una estructura</t>
  </si>
  <si>
    <t xml:space="preserve">T0470-G10-QUÍ</t>
  </si>
  <si>
    <t xml:space="preserve">5.3. Comparación de la teoría del enlace de valencia y la teoría de orbitales moleculares en la explicación del enlace covalente.</t>
  </si>
  <si>
    <t xml:space="preserve">Aplicar: calcular el orden de enlace. Razonar: comparar el poder explicativo de dos modelos</t>
  </si>
  <si>
    <t xml:space="preserve">T0471-G10-QUÍ</t>
  </si>
  <si>
    <t xml:space="preserve">5.4. Representación de enlaces múltiples y estructuras resonantes en moléculas e iones.</t>
  </si>
  <si>
    <t xml:space="preserve">Aplicar: representar estructuras resonantes. Razonar: relacionar la resonancia con datos de longitud de enlace</t>
  </si>
  <si>
    <t xml:space="preserve">T0472-G10-QUÍ</t>
  </si>
  <si>
    <t xml:space="preserve">Polaridad de las moléculas</t>
  </si>
  <si>
    <t xml:space="preserve">5.5. Clasificación de enlaces y moléculas según la diferencia de electronegatividad y el momento dipolar.</t>
  </si>
  <si>
    <t xml:space="preserve">Aplicar: calcular diferencias de electronegatividad. Razonar: inferir la polaridad a partir de la geometría</t>
  </si>
  <si>
    <t xml:space="preserve">T0473-G10-QUÍ</t>
  </si>
  <si>
    <t xml:space="preserve">Geometría molecular</t>
  </si>
  <si>
    <t xml:space="preserve">5.6. Predicción de la geometría molecular y los ángulos de enlace mediante la teoría de repulsión de los pares electrónicos de la capa de valencia.</t>
  </si>
  <si>
    <t xml:space="preserve">Aplicar: predecir geometrías con la TRPECV. Razonar: explicar desviaciones de los ángulos ideales</t>
  </si>
  <si>
    <t xml:space="preserve">T0474-G10-QUÍ</t>
  </si>
  <si>
    <t xml:space="preserve">5.7. Relación entre el tipo de hibridación del átomo central y la geometría de la molécula.</t>
  </si>
  <si>
    <t xml:space="preserve">Aplicar: asignar hibridaciones. Razonar: vincular hibridación, geometría y tipo de enlace</t>
  </si>
  <si>
    <t xml:space="preserve">T0475-G10-QUÍ</t>
  </si>
  <si>
    <t xml:space="preserve">Fuerzas intermoleculares</t>
  </si>
  <si>
    <t xml:space="preserve">5.8. Análisis de la relación entre el tipo de fuerza intermolecular y el punto de ebullición de sustancias moleculares.</t>
  </si>
  <si>
    <t xml:space="preserve">Aplicar: graficar datos de ebullición. Razonar: explicar anomalías con modelos de interacción</t>
  </si>
  <si>
    <t xml:space="preserve">T0476-G10-QUÍ</t>
  </si>
  <si>
    <t xml:space="preserve">Sustancias covalentes</t>
  </si>
  <si>
    <t xml:space="preserve">5.9. Comparación de las propiedades de las sustancias moleculares y los sólidos covalentes reticulares.</t>
  </si>
  <si>
    <t xml:space="preserve">Conocer: identificar tipos de sustancias covalentes. Razonar: argumentar usos a partir de propiedades</t>
  </si>
  <si>
    <t xml:space="preserve">T0477-G10-QUÍ</t>
  </si>
  <si>
    <t xml:space="preserve">Enlace iónico</t>
  </si>
  <si>
    <t xml:space="preserve">5.10. Descripción de las etapas de formación de un compuesto iónico y de los tipos de redes cristalinas.</t>
  </si>
  <si>
    <t xml:space="preserve">Aplicar: modelar redes iónicas. Razonar: relacionar el tamaño de los iones con la estructura</t>
  </si>
  <si>
    <t xml:space="preserve">T0478-G10-QUÍ</t>
  </si>
  <si>
    <t xml:space="preserve">5.11. Cálculo de la energía reticular de compuestos iónicos mediante el ciclo de Born-Haber.</t>
  </si>
  <si>
    <t xml:space="preserve">Aplicar: calcular con el ciclo de Born-Haber. Razonar: relacionar carga, radio y estabilidad</t>
  </si>
  <si>
    <t xml:space="preserve">T0479-G10-QUÍ</t>
  </si>
  <si>
    <t xml:space="preserve">Propiedades de las sustancias iónicas</t>
  </si>
  <si>
    <t xml:space="preserve">5.12. Comprobación experimental de la conductividad eléctrica de sustancias iónicas en estado sólido y en disolución.</t>
  </si>
  <si>
    <t xml:space="preserve">Aplicar: comprobar experimentalmente la conductividad. Razonar: explicar resultados con el modelo iónico</t>
  </si>
  <si>
    <t xml:space="preserve">T0480-G10-QUÍ</t>
  </si>
  <si>
    <t xml:space="preserve">Enlace metálico</t>
  </si>
  <si>
    <t xml:space="preserve">5.13. Explicación del enlace metálico mediante el modelo de la nube electrónica y la teoría de bandas.</t>
  </si>
  <si>
    <t xml:space="preserve">Conocer: describir modelos de enlace metálico. Razonar: explicar la conductividad con la teoría de bandas</t>
  </si>
  <si>
    <t xml:space="preserve">T0481-G10-QUÍ</t>
  </si>
  <si>
    <t xml:space="preserve">Propiedades de las sustancias metálicas</t>
  </si>
  <si>
    <t xml:space="preserve">5.14. Relación de las propiedades de los metales y sus aleaciones con el modelo de enlace metálico.</t>
  </si>
  <si>
    <t xml:space="preserve">Aplicar: relacionar propiedades con el modelo de enlace. Razonar: argumentar la elección de un material</t>
  </si>
  <si>
    <t xml:space="preserve">T0482-G10-QUÍ</t>
  </si>
  <si>
    <t xml:space="preserve">6. Los gases</t>
  </si>
  <si>
    <t xml:space="preserve">El estado gaseoso</t>
  </si>
  <si>
    <t xml:space="preserve">6.1. Medición de la presión atmosférica y análisis de su variación con la altitud.</t>
  </si>
  <si>
    <t xml:space="preserve">Aplicar: convertir unidades de presión. Razonar: interpretar la variación de la presión con la altitud</t>
  </si>
  <si>
    <t xml:space="preserve">T0483-G10-QUÍ</t>
  </si>
  <si>
    <t xml:space="preserve">Leyes de los gases</t>
  </si>
  <si>
    <t xml:space="preserve">6.2. Comprobación experimental de la ley de Boyle-Mariotte y análisis gráfico de las leyes de Charles y Gay-Lussac.</t>
  </si>
  <si>
    <t xml:space="preserve">Aplicar: linealizar y graficar datos. Razonar: justificar las condiciones de control del experimento</t>
  </si>
  <si>
    <t xml:space="preserve">T0484-G10-QUÍ</t>
  </si>
  <si>
    <t xml:space="preserve">Ecuación de estado</t>
  </si>
  <si>
    <t xml:space="preserve">6.3. Cálculo de cantidades de gases producidos o consumidos en reacciones químicas mediante la ecuación de estado del gas ideal.</t>
  </si>
  <si>
    <t xml:space="preserve">Aplicar: calcular con PV = nRT y estequiometría. Razonar: comparar resultados teóricos y experimentales</t>
  </si>
  <si>
    <t xml:space="preserve">T0485-G10-QUÍ</t>
  </si>
  <si>
    <t xml:space="preserve">Mezclas de gases</t>
  </si>
  <si>
    <t xml:space="preserve">6.4. Cálculo de presiones parciales y fracciones molares en mezclas de gases, incluida la recolección de gases sobre agua.</t>
  </si>
  <si>
    <t xml:space="preserve">Aplicar: calcular presiones parciales y fracciones molares. Razonar: justificar correcciones experimentales</t>
  </si>
  <si>
    <t xml:space="preserve">T0486-G10-QUÍ</t>
  </si>
  <si>
    <t xml:space="preserve">El aire</t>
  </si>
  <si>
    <t xml:space="preserve">6.5. Análisis de la composición del aire y de datos de humedad y contaminantes atmosféricos en El Salvador.</t>
  </si>
  <si>
    <t xml:space="preserve">Aplicar: interpretar datos atmosféricos. Razonar: fundamentar decisiones ambientales con evidencia</t>
  </si>
  <si>
    <t xml:space="preserve">T0487-G10-QUÍ</t>
  </si>
  <si>
    <t xml:space="preserve">Difusión y efusión</t>
  </si>
  <si>
    <t xml:space="preserve">6.6. Aplicación de la ley de Graham para comparar las velocidades de difusión y efusión de distintos gases.</t>
  </si>
  <si>
    <t xml:space="preserve">Aplicar: calcular con la ley de Graham. Razonar: explicar diferencias de velocidad por la masa molar</t>
  </si>
  <si>
    <t xml:space="preserve">T0488-G10-QUÍ</t>
  </si>
  <si>
    <t xml:space="preserve">Gases reales</t>
  </si>
  <si>
    <t xml:space="preserve">6.7. Comparación del comportamiento de gases reales e ideales mediante el factor de compresibilidad y la ecuación de van der Waals.</t>
  </si>
  <si>
    <t xml:space="preserve">Aplicar: calcular con la ecuación de van der Waals. Razonar: interpretar desviaciones de la idealidad</t>
  </si>
  <si>
    <t xml:space="preserve">T0489-G10-QUÍ</t>
  </si>
  <si>
    <t xml:space="preserve">7. Los líquidos y los sólidos</t>
  </si>
  <si>
    <t xml:space="preserve">Estados de agregación</t>
  </si>
  <si>
    <t xml:space="preserve">7.1. Comparación de las características de sólidos, líquidos y gases mediante el modelo cinético de partículas.</t>
  </si>
  <si>
    <t xml:space="preserve">Conocer: describir los estados de agregación. Razonar: explicar propiedades con el modelo de partículas</t>
  </si>
  <si>
    <t xml:space="preserve">T0490-G10-QUÍ</t>
  </si>
  <si>
    <t xml:space="preserve">Fuerzas entre partículas</t>
  </si>
  <si>
    <t xml:space="preserve">7.2. Relación entre el tipo de partículas y de fuerzas presentes en un sólido y sus puntos de fusión.</t>
  </si>
  <si>
    <t xml:space="preserve">Aplicar: clasificar sólidos por sus fuerzas. Razonar: predecir propiedades a partir del tipo de sólido</t>
  </si>
  <si>
    <t xml:space="preserve">T0491-G10-QUÍ</t>
  </si>
  <si>
    <t xml:space="preserve">Propiedades de los líquidos</t>
  </si>
  <si>
    <t xml:space="preserve">7.3. Medición de la viscosidad, la tensión superficial y la capilaridad de líquidos y su relación con las fuerzas intermoleculares.</t>
  </si>
  <si>
    <t xml:space="preserve">Aplicar: medir propiedades de líquidos. Razonar: relacionar propiedades con fuerzas intermoleculares</t>
  </si>
  <si>
    <t xml:space="preserve">T0492-G10-QUÍ</t>
  </si>
  <si>
    <t xml:space="preserve">Propiedades de los sólidos</t>
  </si>
  <si>
    <t xml:space="preserve">7.4. Análisis de las curvas de calentamiento de sólidos cristalinos y amorfos y del proceso de sublimación.</t>
  </si>
  <si>
    <t xml:space="preserve">Aplicar: interpretar curvas de calentamiento. Razonar: distinguir sólidos cristalinos y amorfos con datos</t>
  </si>
  <si>
    <t xml:space="preserve">T0493-G10-QUÍ</t>
  </si>
  <si>
    <t xml:space="preserve">Diagramas de fases</t>
  </si>
  <si>
    <t xml:space="preserve">7.5. Interpretación de diagramas de fases para predecir el estado de una sustancia a una presión y temperatura dadas.</t>
  </si>
  <si>
    <t xml:space="preserve">Aplicar: leer diagramas de fases. Razonar: predecir estados y cambios de fase</t>
  </si>
  <si>
    <t xml:space="preserve">T0494-G10-QUÍ</t>
  </si>
  <si>
    <t xml:space="preserve">El agua</t>
  </si>
  <si>
    <t xml:space="preserve">7.6. Análisis del comportamiento anómalo de la densidad del agua y de su importancia para los ecosistemas acuáticos.</t>
  </si>
  <si>
    <t xml:space="preserve">Aplicar: calcular densidades y graficar. Razonar: relacionar estructura molecular y propiedades anómalas</t>
  </si>
  <si>
    <t xml:space="preserve">T0495-G10-QUÍ</t>
  </si>
  <si>
    <t xml:space="preserve">Estados frontera</t>
  </si>
  <si>
    <t xml:space="preserve">7.7. Descripción de las características intermedias de los vidrios y los cristales líquidos y de sus aplicaciones tecnológicas.</t>
  </si>
  <si>
    <t xml:space="preserve">Conocer: describir estados frontera. Razonar: justificar decisiones de manejo de residuos tecnológicos</t>
  </si>
  <si>
    <t xml:space="preserve">T0496-G10-QUÍ</t>
  </si>
  <si>
    <t xml:space="preserve">8. Disoluciones y coloides</t>
  </si>
  <si>
    <t xml:space="preserve">Dispersiones</t>
  </si>
  <si>
    <t xml:space="preserve">8.1. Clasificación de dispersiones según el tamaño de las partículas de la fase dispersa y el estado de las fases.</t>
  </si>
  <si>
    <t xml:space="preserve">Conocer: identificar tipos de dispersiones. Aplicar: clasificar muestras según el tamaño de partícula</t>
  </si>
  <si>
    <t xml:space="preserve">T0497-G10-QUÍ</t>
  </si>
  <si>
    <t xml:space="preserve">Coloides</t>
  </si>
  <si>
    <t xml:space="preserve">8.2. Identificación de coloides mediante el efecto Tyndall y clasificación en hidrófilos e hidrófobos.</t>
  </si>
  <si>
    <t xml:space="preserve">Aplicar: identificar coloides experimentalmente. Razonar: explicar su estabilidad con modelos</t>
  </si>
  <si>
    <t xml:space="preserve">T0498-G10-QUÍ</t>
  </si>
  <si>
    <t xml:space="preserve">Concentración de las disoluciones</t>
  </si>
  <si>
    <t xml:space="preserve">8.3. Cálculo de la concentración de disoluciones en molaridad, molalidad, fracción molar y partes por millón.</t>
  </si>
  <si>
    <t xml:space="preserve">Aplicar: calcular y convertir concentraciones. Razonar: seleccionar la unidad adecuada</t>
  </si>
  <si>
    <t xml:space="preserve">T0499-G10-QUÍ</t>
  </si>
  <si>
    <t xml:space="preserve">Preparación de disoluciones</t>
  </si>
  <si>
    <t xml:space="preserve">8.4. Preparación de disoluciones de concentración conocida a partir de un soluto sólido y por dilución de una disolución madre.</t>
  </si>
  <si>
    <t xml:space="preserve">Aplicar: calcular y preparar disoluciones. Razonar: evaluar fuentes de error en un procedimiento</t>
  </si>
  <si>
    <t xml:space="preserve">T0500-G10-QUÍ</t>
  </si>
  <si>
    <t xml:space="preserve">Cálculos con disoluciones</t>
  </si>
  <si>
    <t xml:space="preserve">8.5. Resolución de problemas de conversión de unidades de concentración, mezcla de disoluciones y estequiometría en disolución.</t>
  </si>
  <si>
    <t xml:space="preserve">Aplicar: resolver problemas de concentración. Razonar: argumentar decisiones sobre la calidad del agua</t>
  </si>
  <si>
    <t xml:space="preserve">T0501-G10-QUÍ</t>
  </si>
  <si>
    <t xml:space="preserve">Proceso de disolución</t>
  </si>
  <si>
    <t xml:space="preserve">8.6. Análisis del proceso de disolución de compuestos iónicos y covalentes polares y de su balance energético.</t>
  </si>
  <si>
    <t xml:space="preserve">Aplicar: medir cambios de temperatura en disoluciones. Razonar: explicar el balance energético de la disolución</t>
  </si>
  <si>
    <t xml:space="preserve">T0502-G10-QUÍ</t>
  </si>
  <si>
    <t xml:space="preserve">Solubilidad</t>
  </si>
  <si>
    <t xml:space="preserve">8.7. Interpretación de curvas de solubilidad de sólidos y gases en agua en función de la temperatura.</t>
  </si>
  <si>
    <t xml:space="preserve">Aplicar: interpretar curvas de solubilidad. Razonar: explicar efectos ambientales de la temperatura</t>
  </si>
  <si>
    <t xml:space="preserve">T0503-G10-QUÍ</t>
  </si>
  <si>
    <t xml:space="preserve">Propiedades coligativas</t>
  </si>
  <si>
    <t xml:space="preserve">8.8. Cálculo de las variaciones de las propiedades coligativas y su aplicación en procesos tecnológicos y biológicos.</t>
  </si>
  <si>
    <t xml:space="preserve">Aplicar: calcular propiedades coligativas. Razonar: evaluar aplicaciones tecnológicas de la ósmosis</t>
  </si>
  <si>
    <t xml:space="preserve">T0504-G10-QUÍ</t>
  </si>
  <si>
    <t xml:space="preserve">9. Reacciones químicas</t>
  </si>
  <si>
    <t xml:space="preserve">Representación de las reacciones químicas</t>
  </si>
  <si>
    <t xml:space="preserve">9.1. Interpretación de ecuaciones químicas balanceadas con estados de agregación, condiciones de reacción y conservación de átomos y masa.</t>
  </si>
  <si>
    <t xml:space="preserve">Conocer: identificar reactivos y productos. Aplicar: representar con ecuaciones. Razonar: justificar la conservación de la masa</t>
  </si>
  <si>
    <t xml:space="preserve">T0505-G10-QUÍ</t>
  </si>
  <si>
    <t xml:space="preserve">Clasificación de las reacciones químicas</t>
  </si>
  <si>
    <t xml:space="preserve">9.2. Clasificación de reacciones químicas cotidianas e industriales según la reorganización de sus reactivos y productos.</t>
  </si>
  <si>
    <t xml:space="preserve">Aplicar: clasificar reacciones. Razonar: justificar criterios de clasificación y predecir productos</t>
  </si>
  <si>
    <t xml:space="preserve">T0506-G10-QUÍ</t>
  </si>
  <si>
    <t xml:space="preserve">Evidencias de las reacciones químicas</t>
  </si>
  <si>
    <t xml:space="preserve">9.3. Observación experimental de evidencias de cambio químico en reacciones con reactivos seguros de uso escolar.</t>
  </si>
  <si>
    <t xml:space="preserve">Conocer: identificar evidencias de cambio químico. Razonar: distinguir cambios físicos de químicos</t>
  </si>
  <si>
    <t xml:space="preserve">T0507-G10-QUÍ</t>
  </si>
  <si>
    <t xml:space="preserve">Seguridad en el laboratorio de química</t>
  </si>
  <si>
    <t xml:space="preserve">9.4. Análisis de pictogramas SGA y fichas de datos de seguridad para planificar el manejo y la disposición de residuos de las reacciones escolares.</t>
  </si>
  <si>
    <t xml:space="preserve">Conocer: reconocer pictogramas. Aplicar: interpretar fichas de seguridad. Razonar: decidir la disposición de residuos</t>
  </si>
  <si>
    <t xml:space="preserve">T0508-G10-QUÍ</t>
  </si>
  <si>
    <t xml:space="preserve">10. Cálculos estequiométricos</t>
  </si>
  <si>
    <t xml:space="preserve">10.1. Cálculo de cantidades de reactivos y productos a partir de ecuaciones balanceadas considerando la pureza de los reactivos y la concentración de disoluciones.</t>
  </si>
  <si>
    <t xml:space="preserve">Aplicar: calcular cantidades con pureza y concentración. Razonar: interpretar el significado de los resultados</t>
  </si>
  <si>
    <t xml:space="preserve">T0509-G10-QUÍ</t>
  </si>
  <si>
    <t xml:space="preserve">10.2. Determinación del reactivo limitante y del reactivo en exceso en reacciones con cantidades iniciales arbitrarias.</t>
  </si>
  <si>
    <t xml:space="preserve">Aplicar: identificar el reactivo limitante y calcular. Razonar: interpretar la meseta de la gráfica</t>
  </si>
  <si>
    <t xml:space="preserve">T0510-G10-QUÍ</t>
  </si>
  <si>
    <t xml:space="preserve">Eficiencia de las reacciones</t>
  </si>
  <si>
    <t xml:space="preserve">10.3. Cálculo del rendimiento porcentual de una reacción y análisis de las causas de diferencia entre el rendimiento teórico y el experimental.</t>
  </si>
  <si>
    <t xml:space="preserve">Aplicar: calcular rendimientos. Razonar: explicar diferencias entre valores teóricos y experimentales</t>
  </si>
  <si>
    <t xml:space="preserve">T0511-G10-QUÍ</t>
  </si>
  <si>
    <t xml:space="preserve">10.4. Resolución de problemas de reacciones consecutivas y simultáneas mediante la ecuación neta y el rendimiento global del proceso.</t>
  </si>
  <si>
    <t xml:space="preserve">Aplicar: sumar ecuaciones y calcular rendimientos globales. Razonar: evaluar la eficiencia de un proceso</t>
  </si>
  <si>
    <t xml:space="preserve">T0512-G10-QUÍ</t>
  </si>
  <si>
    <t xml:space="preserve">11. Termodinámica en reacciones químicas</t>
  </si>
  <si>
    <t xml:space="preserve">Energía en las reacciones químicas</t>
  </si>
  <si>
    <t xml:space="preserve">11.1. Medición calorimétrica del calor de reacción a presión constante y representación en diagramas de entalpía.</t>
  </si>
  <si>
    <t xml:space="preserve">Aplicar: calcular q y ΔH a partir de datos calorimétricos. Razonar: evaluar fuentes de error</t>
  </si>
  <si>
    <t xml:space="preserve">T0513-G10-QUÍ</t>
  </si>
  <si>
    <t xml:space="preserve">11.2. Cálculo de entalpías estándar de reacción mediante entalpías de formación tabuladas y la ley de Hess.</t>
  </si>
  <si>
    <t xml:space="preserve">Aplicar: calcular ΔH° con ley de Hess y entalpías de formación. Razonar: comparar combustibles</t>
  </si>
  <si>
    <t xml:space="preserve">T0514-G10-QUÍ</t>
  </si>
  <si>
    <t xml:space="preserve">11.3. Estimación de entalpías de reacción a partir de entalpías medias de enlace y análisis de su relación con la fuerza de los enlaces.</t>
  </si>
  <si>
    <t xml:space="preserve">Aplicar: estimar ΔH con entalpías de enlace. Razonar: explicar diferencias con valores tabulados</t>
  </si>
  <si>
    <t xml:space="preserve">T0515-G10-QUÍ</t>
  </si>
  <si>
    <t xml:space="preserve">Espontaneidad de los procesos</t>
  </si>
  <si>
    <t xml:space="preserve">11.4. Análisis de procesos físicos y químicos espontáneos y no espontáneos a partir del segundo principio de la termodinámica.</t>
  </si>
  <si>
    <t xml:space="preserve">Conocer: definir espontaneidad. Razonar: distinguir espontaneidad de rapidez y justificar con el segundo principio</t>
  </si>
  <si>
    <t xml:space="preserve">T0516-G10-QUÍ</t>
  </si>
  <si>
    <t xml:space="preserve">11.5. Interpretación de la entropía como medida de la dispersión de la energía y de los factores de los que depende en las sustancias.</t>
  </si>
  <si>
    <t xml:space="preserve">Conocer: enunciar el tercer principio. Aplicar: ordenar sustancias por entropía. Razonar: interpretar gráficas S–T</t>
  </si>
  <si>
    <t xml:space="preserve">T0517-G10-QUÍ</t>
  </si>
  <si>
    <t xml:space="preserve">11.6. Cálculo de la variación de entropía estándar de reacción y de la entropía del universo para predecir la espontaneidad.</t>
  </si>
  <si>
    <t xml:space="preserve">Aplicar: calcular ΔS° y ΔS del universo. Razonar: predecir espontaneidad</t>
  </si>
  <si>
    <t xml:space="preserve">T0518-G10-QUÍ</t>
  </si>
  <si>
    <t xml:space="preserve">11.7. Aplicación de la energía de Gibbs para predecir la espontaneidad de reacciones y determinar la temperatura a la que cambia su sentido.</t>
  </si>
  <si>
    <t xml:space="preserve">Aplicar: calcular ΔG° y temperatura de inversión. Razonar: justificar decisiones de proceso</t>
  </si>
  <si>
    <t xml:space="preserve">T0519-G10-QUÍ</t>
  </si>
  <si>
    <t xml:space="preserve">12. Cinética y equilibrio químico</t>
  </si>
  <si>
    <t xml:space="preserve">Velocidad de reacción</t>
  </si>
  <si>
    <t xml:space="preserve">12.1. Cálculo de velocidades medias e instantáneas de reacción a partir de datos de concentración, volumen de gas o masa en función del tiempo.</t>
  </si>
  <si>
    <t xml:space="preserve">Aplicar: calcular velocidades medias e instantáneas. Razonar: interpretar la pendiente de una curva</t>
  </si>
  <si>
    <t xml:space="preserve">T0520-G10-QUÍ</t>
  </si>
  <si>
    <t xml:space="preserve">12.2. Determinación de la ley de velocidad y de los órdenes de reacción mediante el método de las velocidades iniciales.</t>
  </si>
  <si>
    <t xml:space="preserve">Aplicar: determinar órdenes y constantes de velocidad. Razonar: justificar el carácter experimental de la ley de velocidad</t>
  </si>
  <si>
    <t xml:space="preserve">T0521-G10-QUÍ</t>
  </si>
  <si>
    <t xml:space="preserve">12.3. Análisis gráfico de la concentración en función del tiempo mediante las leyes integradas de velocidad y cálculo de la semivida.</t>
  </si>
  <si>
    <t xml:space="preserve">Aplicar: linealizar datos y calcular semividas. Razonar: decidir el orden a partir de gráficas</t>
  </si>
  <si>
    <t xml:space="preserve">T0522-G10-QUÍ</t>
  </si>
  <si>
    <t xml:space="preserve">Modelos de la velocidad de reacción</t>
  </si>
  <si>
    <t xml:space="preserve">12.4. Interpretación de la teoría de las colisiones y del complejo activado mediante diagramas de energía potencial y simulaciones.</t>
  </si>
  <si>
    <t xml:space="preserve">Conocer: describir modelos de reacción. Aplicar: interpretar diagramas de energía. Razonar: explicar choques eficaces</t>
  </si>
  <si>
    <t xml:space="preserve">T0523-G10-QUÍ</t>
  </si>
  <si>
    <t xml:space="preserve">12.5. Análisis de mecanismos de reacción y deducción de la ley de velocidad a partir de la etapa determinante.</t>
  </si>
  <si>
    <t xml:space="preserve">Aplicar: deducir leyes de velocidad desde mecanismos. Razonar: evaluar mecanismos con datos</t>
  </si>
  <si>
    <t xml:space="preserve">T0524-G10-QUÍ</t>
  </si>
  <si>
    <t xml:space="preserve">Factores que modifican la velocidad</t>
  </si>
  <si>
    <t xml:space="preserve">12.6. Determinación experimental de la energía de activación mediante la ecuación de Arrhenius y la gráfica de ln k contra 1/T.</t>
  </si>
  <si>
    <t xml:space="preserve">Aplicar: linealizar y calcular Ea. Razonar: evaluar la validez de las mediciones</t>
  </si>
  <si>
    <t xml:space="preserve">T0525-G10-QUÍ</t>
  </si>
  <si>
    <t xml:space="preserve">12.7. Comparación experimental de catalizadores homogéneos, heterogéneos y enzimáticos en la descomposición del peróxido de hidrógeno diluido.</t>
  </si>
  <si>
    <t xml:space="preserve">Conocer: clasificar tipos de catálisis. Aplicar: representar caminos de reacción. Razonar: comparar catalizadores</t>
  </si>
  <si>
    <t xml:space="preserve">T0526-G10-QUÍ</t>
  </si>
  <si>
    <t xml:space="preserve">Equilibrio químico</t>
  </si>
  <si>
    <t xml:space="preserve">12.8. Deducción de la constante de equilibrio a partir de la igualdad de las velocidades de las reacciones directa e inversa.</t>
  </si>
  <si>
    <t xml:space="preserve">Aplicar: deducir Kc desde las velocidades. Razonar: explicar el carácter dinámico del equilibrio</t>
  </si>
  <si>
    <t xml:space="preserve">T0527-G10-QUÍ</t>
  </si>
  <si>
    <t xml:space="preserve">12.9. Cálculo de Kp y de su relación con Kc, y transformación de la constante al invertir, multiplicar o sumar ecuaciones químicas.</t>
  </si>
  <si>
    <t xml:space="preserve">Aplicar: calcular Kp y transformar K. Razonar: justificar cuándo Kp = Kc</t>
  </si>
  <si>
    <t xml:space="preserve">T0528-G10-QUÍ</t>
  </si>
  <si>
    <t xml:space="preserve">Cálculos de equilibrio</t>
  </si>
  <si>
    <t xml:space="preserve">12.10. Resolución de problemas de equilibrio con tablas ICE para obtener concentraciones en el equilibrio y grados de disociación.</t>
  </si>
  <si>
    <t xml:space="preserve">Aplicar: resolver tablas ICE y calcular α. Razonar: interpretar la magnitud de K y validar aproximaciones</t>
  </si>
  <si>
    <t xml:space="preserve">T0529-G10-QUÍ</t>
  </si>
  <si>
    <t xml:space="preserve">12.11. Predicción cuantitativa del sentido de la reacción comparando Q con K tras perturbaciones de concentración, presión y temperatura.</t>
  </si>
  <si>
    <t xml:space="preserve">Aplicar: calcular Q y compararlo con K. Razonar: predecir y verificar desplazamientos del equilibrio</t>
  </si>
  <si>
    <t xml:space="preserve">T0530-G10-QUÍ</t>
  </si>
  <si>
    <t xml:space="preserve">12.12. Formulación y cálculo de constantes de equilibrios heterogéneos en sistemas de carbonatos y gases de interés ambiental.</t>
  </si>
  <si>
    <t xml:space="preserve">Aplicar: escribir constantes heterogéneas. Razonar: explicar procesos ambientales con equilibrios</t>
  </si>
  <si>
    <t xml:space="preserve">T0531-G10-QUÍ</t>
  </si>
  <si>
    <t xml:space="preserve">Equilibrio y termodinámica</t>
  </si>
  <si>
    <t xml:space="preserve">12.13. Cálculo de la constante de equilibrio a partir de ΔG° y de su variación con la temperatura mediante la ecuación de van't Hoff.</t>
  </si>
  <si>
    <t xml:space="preserve">Aplicar: calcular K desde ΔG° y usar van't Hoff. Razonar: predecir el efecto de la temperatura</t>
  </si>
  <si>
    <t xml:space="preserve">T0532-G10-QUÍ</t>
  </si>
  <si>
    <t xml:space="preserve">12.14. Análisis de las condiciones del proceso Haber como compromiso entre factores termodinámicos y cinéticos.</t>
  </si>
  <si>
    <t xml:space="preserve">Aplicar: analizar condiciones de equilibrio y cinética. Razonar: justificar un compromiso industrial y valorar impactos</t>
  </si>
  <si>
    <t xml:space="preserve">T0533-G10-QUÍ</t>
  </si>
  <si>
    <t xml:space="preserve">13. Química inorgánica</t>
  </si>
  <si>
    <t xml:space="preserve">Elementos metálicos</t>
  </si>
  <si>
    <t xml:space="preserve">13.1. Comparación de las propiedades, métodos de obtención y usos de los metales alcalinos y alcalinotérreos, con énfasis en la sal marina y la cal.</t>
  </si>
  <si>
    <t xml:space="preserve">Conocer: describir propiedades de los grupos 1 y 2. Aplicar: graficar tendencias. Razonar: predecir la reactividad</t>
  </si>
  <si>
    <t xml:space="preserve">T0534-G10-QUÍ</t>
  </si>
  <si>
    <t xml:space="preserve">13.2. Análisis de las propiedades, la obtención y las aplicaciones de los elementos térreos, de otros metales del bloque p y de los semimetales.</t>
  </si>
  <si>
    <t xml:space="preserve">Conocer: ubicar semimetales. Aplicar: explicar propiedades con la estructura electrónica. Razonar: evaluar riesgos y beneficios</t>
  </si>
  <si>
    <t xml:space="preserve">T0535-G10-QUÍ</t>
  </si>
  <si>
    <t xml:space="preserve">13.3. Caracterización de los metales de transición por sus estados de oxidación, el color de sus compuestos y sus aplicaciones en aleaciones.</t>
  </si>
  <si>
    <t xml:space="preserve">Conocer: identificar propiedades de los metales de transición. Aplicar: predecir desplazamientos. Razonar: evaluar el diseño</t>
  </si>
  <si>
    <t xml:space="preserve">T0536-G10-QUÍ</t>
  </si>
  <si>
    <t xml:space="preserve">Elementos no metálicos</t>
  </si>
  <si>
    <t xml:space="preserve">13.4. Relación de las propiedades de los alótropos del carbono y de los carbonoideos con procesos biológicos, climáticos y tecnológicos.</t>
  </si>
  <si>
    <t xml:space="preserve">Conocer: describir alótropos. Aplicar: relacionar estructura y propiedades. Razonar: argumentar con datos climáticos</t>
  </si>
  <si>
    <t xml:space="preserve">T0537-G10-QUÍ</t>
  </si>
  <si>
    <t xml:space="preserve">13.5. Análisis de las propiedades y funciones de los nitrogenoideos y de sus compuestos en los ciclos biogeoquímicos y en la calidad del agua.</t>
  </si>
  <si>
    <t xml:space="preserve">Conocer: describir compuestos nitrogenados. Aplicar: modelar ciclos biogeoquímicos. Razonar: justificar medidas ambientales</t>
  </si>
  <si>
    <t xml:space="preserve">T0538-G10-QUÍ</t>
  </si>
  <si>
    <t xml:space="preserve">13.6. Descripción de las propiedades del oxígeno, el ozono y el azufre, y de los compuestos de azufre de origen volcánico e industrial.</t>
  </si>
  <si>
    <t xml:space="preserve">Conocer: describir propiedades de los anfígenos. Aplicar: explicar reacciones del azufre. Razonar: evaluar riesgos volcánicos</t>
  </si>
  <si>
    <t xml:space="preserve">T0539-G10-QUÍ</t>
  </si>
  <si>
    <t xml:space="preserve">13.7. Análisis de las propiedades, la obtención y las aplicaciones de los halógenos en la salud pública y el tratamiento del agua.</t>
  </si>
  <si>
    <t xml:space="preserve">Conocer: describir propiedades de los halógenos. Aplicar: ordenar el poder oxidante. Razonar: distinguir evidencia de opinión</t>
  </si>
  <si>
    <t xml:space="preserve">T0540-G10-QUÍ</t>
  </si>
  <si>
    <t xml:space="preserve">Gases nobles e hidrógeno</t>
  </si>
  <si>
    <t xml:space="preserve">13.8. Relación de las propiedades de los gases nobles y del hidrógeno con sus aplicaciones y con la obtención de hidrógeno por electrólisis del agua.</t>
  </si>
  <si>
    <t xml:space="preserve">Conocer: describir gases nobles e isótopos. Aplicar: medir volúmenes de electrólisis. Razonar: evaluar un diseño experimental</t>
  </si>
  <si>
    <t xml:space="preserve">T0541-G10-QUÍ</t>
  </si>
  <si>
    <t xml:space="preserve">Elementos de transición interna</t>
  </si>
  <si>
    <t xml:space="preserve">13.9. Clasificación de los elementos de transición interna y exploración de los elementos sintetizados recientemente.</t>
  </si>
  <si>
    <t xml:space="preserve">Conocer: clasificar lantánidos y actínidos. Aplicar: usar configuraciones electrónicas. Razonar: valorar implicaciones</t>
  </si>
  <si>
    <t xml:space="preserve">T0542-G11-QUÍ</t>
  </si>
  <si>
    <t xml:space="preserve">Química 11.°</t>
  </si>
  <si>
    <t xml:space="preserve">1. Ciencia de materiales</t>
  </si>
  <si>
    <t xml:space="preserve">Metales y cerámicas</t>
  </si>
  <si>
    <t xml:space="preserve">1.1. Comparación de las propiedades de los principales metales y aleaciones utilizadas en la industria electrónica.</t>
  </si>
  <si>
    <t xml:space="preserve">Conocer: identificar propiedades. Aplicar: comparar datos tabulados. Razonar: justificar la elección de un material</t>
  </si>
  <si>
    <t xml:space="preserve">T0543-G11-QUÍ</t>
  </si>
  <si>
    <t xml:space="preserve">1.2. Comparación de las estructuras y aplicaciones de los tipos de materiales cerámicos y aceros del entorno.</t>
  </si>
  <si>
    <t xml:space="preserve">Conocer: describir estructuras cristalinas. Razonar: relacionar estructura y propiedades</t>
  </si>
  <si>
    <t xml:space="preserve">T0544-G11-QUÍ</t>
  </si>
  <si>
    <t xml:space="preserve">1.3. Descripción de aplicaciones tecnológicas y médicas de cerámicas y metales.</t>
  </si>
  <si>
    <t xml:space="preserve">Aplicar: relacionar propiedades con aplicaciones. Razonar: fundamentar decisiones con evidencia</t>
  </si>
  <si>
    <t xml:space="preserve">T0545-G11-QUÍ</t>
  </si>
  <si>
    <t xml:space="preserve">Polímeros y materiales compuestos</t>
  </si>
  <si>
    <t xml:space="preserve">1.4. Reconocimiento de la diversidad de polímeros sintéticos en el entorno.</t>
  </si>
  <si>
    <t xml:space="preserve">Conocer: clasificar polímeros. Aplicar: organizar datos en tablas</t>
  </si>
  <si>
    <t xml:space="preserve">T0546-G11-QUÍ</t>
  </si>
  <si>
    <t xml:space="preserve">1.5. Experimentación con el proceso de polimerización y los diferentes tipos de polímeros resultantes.</t>
  </si>
  <si>
    <t xml:space="preserve">Aplicar: representar reacciones. Razonar: generalizar mecanismos de polimerización</t>
  </si>
  <si>
    <t xml:space="preserve">T0547-G11-QUÍ</t>
  </si>
  <si>
    <t xml:space="preserve">1.6. Investigación de la estructura y clasificación de los materiales compuestos y las formas de reciclaje de polímeros.</t>
  </si>
  <si>
    <t xml:space="preserve">Conocer: clasificar compuestos. Razonar: evaluar alternativas de reciclaje</t>
  </si>
  <si>
    <t xml:space="preserve">T0548-G11-QUÍ</t>
  </si>
  <si>
    <t xml:space="preserve">Propiedades de los materiales</t>
  </si>
  <si>
    <t xml:space="preserve">1.7. Relación entre las propiedades de los metales, las cerámicas y los polímeros con sus principales usos.</t>
  </si>
  <si>
    <t xml:space="preserve">Aplicar: clasificar materiales por sus propiedades. Razonar: relacionar propiedad y uso</t>
  </si>
  <si>
    <t xml:space="preserve">T0549-G11-QUÍ</t>
  </si>
  <si>
    <t xml:space="preserve">Nanomateriales</t>
  </si>
  <si>
    <t xml:space="preserve">1.8. Elaboración de una escala comparativa del tamaño de partícula y estructura de los nanomateriales.</t>
  </si>
  <si>
    <t xml:space="preserve">Aplicar: convertir unidades y calcular razones. Razonar: explicar el efecto de la escala</t>
  </si>
  <si>
    <t xml:space="preserve">T0550-G11-QUÍ</t>
  </si>
  <si>
    <t xml:space="preserve">1.9. Investigación de las principales aplicaciones de los nanomateriales.</t>
  </si>
  <si>
    <t xml:space="preserve">Conocer: describir aplicaciones. Razonar: valorar beneficios y riesgos</t>
  </si>
  <si>
    <t xml:space="preserve">T0551-G11-QUÍ</t>
  </si>
  <si>
    <t xml:space="preserve">2. Introducción a la química orgánica</t>
  </si>
  <si>
    <t xml:space="preserve">Propiedades de los compuestos orgánicos</t>
  </si>
  <si>
    <t xml:space="preserve">2.1. Identificación de compuestos orgánicos en las sustancias de uso común.</t>
  </si>
  <si>
    <t xml:space="preserve">Conocer: diferenciar compuestos orgánicos e inorgánicos. Aplicar: clasificar sustancias</t>
  </si>
  <si>
    <t xml:space="preserve">T0552-G11-QUÍ</t>
  </si>
  <si>
    <t xml:space="preserve">2.2. Representación de orbitales híbridos a través de modelos tridimensionales.</t>
  </si>
  <si>
    <t xml:space="preserve">Aplicar: representar orbitales híbridos. Razonar: relacionar hibridación y geometría</t>
  </si>
  <si>
    <t xml:space="preserve">T0553-G11-QUÍ</t>
  </si>
  <si>
    <t xml:space="preserve">2.3. Reconocimiento del carbono como elemento principal en la estructura de los compuestos orgánicos.</t>
  </si>
  <si>
    <t xml:space="preserve">Conocer: describir propiedades del carbono. Aplicar: clasificar carbonos y cadenas</t>
  </si>
  <si>
    <t xml:space="preserve">T0554-G11-QUÍ</t>
  </si>
  <si>
    <t xml:space="preserve">Alcanos</t>
  </si>
  <si>
    <t xml:space="preserve">2.4. Identificación de la función alcano a partir de compuestos de uso común.</t>
  </si>
  <si>
    <t xml:space="preserve">Conocer: reconocer la función alcano. Razonar: criticar afirmaciones</t>
  </si>
  <si>
    <t xml:space="preserve">T0555-G11-QUÍ</t>
  </si>
  <si>
    <t xml:space="preserve">2.5. Experimentación con las propiedades físicas y químicas de los alcanos.</t>
  </si>
  <si>
    <t xml:space="preserve">Aplicar: graficar y analizar tendencias. Razonar: explicar propiedades con fuerzas intermoleculares</t>
  </si>
  <si>
    <t xml:space="preserve">T0556-G11-QUÍ</t>
  </si>
  <si>
    <t xml:space="preserve">2.6. Explicación de la nomenclatura IUPAC para nombrar alcanos.</t>
  </si>
  <si>
    <t xml:space="preserve">Aplicar: nombrar y formular. Razonar: verificar la aplicación de reglas</t>
  </si>
  <si>
    <t xml:space="preserve">T0557-G11-QUÍ</t>
  </si>
  <si>
    <t xml:space="preserve">Alquenos</t>
  </si>
  <si>
    <t xml:space="preserve">2.7. Identificación de la función alqueno a partir de sus aplicaciones.</t>
  </si>
  <si>
    <t xml:space="preserve">Conocer: reconocer la función alqueno. Razonar: justificar su importancia industrial</t>
  </si>
  <si>
    <t xml:space="preserve">T0558-G11-QUÍ</t>
  </si>
  <si>
    <t xml:space="preserve">2.8. Demostración práctica de las propiedades físicas y químicas de los alquenos</t>
  </si>
  <si>
    <t xml:space="preserve">Aplicar: representar reacciones de adición. Razonar: diseñar y controlar variables</t>
  </si>
  <si>
    <t xml:space="preserve">T0559-G11-QUÍ</t>
  </si>
  <si>
    <t xml:space="preserve">2.9. Explicación de la nomenclatura IUPAC para nombrar alquenos.</t>
  </si>
  <si>
    <t xml:space="preserve">Aplicar: nombrar y formular alquenos. Razonar: justificar la numeración</t>
  </si>
  <si>
    <t xml:space="preserve">T0560-G11-QUÍ</t>
  </si>
  <si>
    <t xml:space="preserve">Alquinos</t>
  </si>
  <si>
    <t xml:space="preserve">2.10. Identificación de la función alquino a partir de sus aplicaciones.</t>
  </si>
  <si>
    <t xml:space="preserve">Conocer: reconocer la función alquino. Aplicar: comparar datos de enlace</t>
  </si>
  <si>
    <t xml:space="preserve">T0561-G11-QUÍ</t>
  </si>
  <si>
    <t xml:space="preserve">2.11. Demostración práctica de las propiedades físicas y químicas de los alquinos.</t>
  </si>
  <si>
    <t xml:space="preserve">Aplicar: representar reacciones de los alquinos. Razonar: argumentar con evidencia</t>
  </si>
  <si>
    <t xml:space="preserve">T0562-G11-QUÍ</t>
  </si>
  <si>
    <t xml:space="preserve">2.12. Explicación de la nomenclatura IUPAC para nombrar alquinos.</t>
  </si>
  <si>
    <t xml:space="preserve">Aplicar: nombrar y formular alquinos. Razonar: justificar prioridades de numeración</t>
  </si>
  <si>
    <t xml:space="preserve">T0563-G11-QUÍ</t>
  </si>
  <si>
    <t xml:space="preserve">3. Compuestos orgánicos</t>
  </si>
  <si>
    <t xml:space="preserve">Hidrocarburos aromáticos</t>
  </si>
  <si>
    <t xml:space="preserve">3.1. Reconocimiento de los hidrocarburos aromáticos.</t>
  </si>
  <si>
    <t xml:space="preserve">Conocer: reconocer hidrocarburos aromáticos. Razonar: aplicar criterios de aromaticidad</t>
  </si>
  <si>
    <t xml:space="preserve">T0564-G11-QUÍ</t>
  </si>
  <si>
    <t xml:space="preserve">3.2. Experimentación con las propiedades físicas y químicas de los hidrocarburos aromáticos.</t>
  </si>
  <si>
    <t xml:space="preserve">Aplicar: calcular la energía de resonancia. Razonar: concluir a partir de datos</t>
  </si>
  <si>
    <t xml:space="preserve">T0565-G11-QUÍ</t>
  </si>
  <si>
    <t xml:space="preserve">3.3. Explicación de la nomenclatura IUPAC para nombrar hidrocarburos aromáticos.</t>
  </si>
  <si>
    <t xml:space="preserve">Aplicar: nombrar y formular aromáticos. Razonar: verificar localizadores</t>
  </si>
  <si>
    <t xml:space="preserve">T0566-G11-QUÍ</t>
  </si>
  <si>
    <t xml:space="preserve">Compuestos orgánicos oxigenados</t>
  </si>
  <si>
    <t xml:space="preserve">3.4. Identificación práctica de las funciones alcohol, fenol y éter.</t>
  </si>
  <si>
    <t xml:space="preserve">Conocer: identificar grupos funcionales. Aplicar: clasificar estructuras</t>
  </si>
  <si>
    <t xml:space="preserve">T0567-G11-QUÍ</t>
  </si>
  <si>
    <t xml:space="preserve">3.5. Demostración práctica de las propiedades físicas y químicas de los alcoholes, fenoles y éteres.</t>
  </si>
  <si>
    <t xml:space="preserve">Aplicar: comparar propiedades con datos. Razonar: explicar con modelos de interacción</t>
  </si>
  <si>
    <t xml:space="preserve">T0568-G11-QUÍ</t>
  </si>
  <si>
    <t xml:space="preserve">3.6. Explicación de nomenclatura IUPAC para nombrar alcoholes, fenoles y éteres.</t>
  </si>
  <si>
    <t xml:space="preserve">Aplicar: nombrar y formular compuestos oxigenados. Razonar: aplicar prioridades</t>
  </si>
  <si>
    <t xml:space="preserve">T0569-G11-QUÍ</t>
  </si>
  <si>
    <t xml:space="preserve">3.7. Identificación práctica de las funciones aldehído, cetona, ácido carboxílico y derivados de ácido carboxílico.</t>
  </si>
  <si>
    <t xml:space="preserve">Conocer: identificar grupos carbonilo y carboxilo. Aplicar: clasificar estructuras</t>
  </si>
  <si>
    <t xml:space="preserve">T0570-G11-QUÍ</t>
  </si>
  <si>
    <t xml:space="preserve">3.8. Demostración práctica de las propiedades físicas y químicas de los aldehídos, cetonas, ácidos carboxílicos y sus derivados.</t>
  </si>
  <si>
    <t xml:space="preserve">Aplicar: representar reacciones y medir volúmenes. Razonar: evaluar el diseño</t>
  </si>
  <si>
    <t xml:space="preserve">T0571-G11-QUÍ</t>
  </si>
  <si>
    <t xml:space="preserve">3.9. Explicación de la nomenclatura IUPAC para nombrar aldehídos, cetonas, ácidos carboxílicos y sus derivados.</t>
  </si>
  <si>
    <t xml:space="preserve">Aplicar: nombrar y formular compuestos carbonílicos. Razonar: detectar errores</t>
  </si>
  <si>
    <t xml:space="preserve">T0572-G11-QUÍ</t>
  </si>
  <si>
    <t xml:space="preserve">Otros compuestos orgánicos</t>
  </si>
  <si>
    <t xml:space="preserve">3.10. Reconocimiento de las funciones tioles, tioéteres, aminas, haluros de alquilo y arilo.</t>
  </si>
  <si>
    <t xml:space="preserve">Conocer: identificar grupos funcionales. Razonar: relacionar estructura y uso</t>
  </si>
  <si>
    <t xml:space="preserve">T0573-G11-QUÍ</t>
  </si>
  <si>
    <t xml:space="preserve">3.11. Exploración de las propiedades físicas y químicas de los tioles, tioéteres, aminas, haluros de alquilo y arilo.</t>
  </si>
  <si>
    <t xml:space="preserve">Aplicar: comparar propiedades con datos. Razonar: argumentar implicaciones ambientales</t>
  </si>
  <si>
    <t xml:space="preserve">T0574-G11-QUÍ</t>
  </si>
  <si>
    <t xml:space="preserve">3.12. Explicación de la nomenclatura IUPAC para nombrar tioles, tioéteres, aminas, haluros de alquilo y arilo.</t>
  </si>
  <si>
    <t xml:space="preserve">Aplicar: nombrar y formular. Razonar: aplicar la prioridad de grupos funcionales</t>
  </si>
  <si>
    <t xml:space="preserve">T0575-G11-QUÍ</t>
  </si>
  <si>
    <t xml:space="preserve">Estereoquímica</t>
  </si>
  <si>
    <t xml:space="preserve">3.13. Interpretación de la quiralidad del átomo de carbono.</t>
  </si>
  <si>
    <t xml:space="preserve">Conocer: definir quiralidad. Razonar: identificar carbonos quirales</t>
  </si>
  <si>
    <t xml:space="preserve">T0576-G11-QUÍ</t>
  </si>
  <si>
    <t xml:space="preserve">3.14. Caracterización de isómeros constitucionales y estereoisómeros.</t>
  </si>
  <si>
    <t xml:space="preserve">Aplicar: construir modelos de isómeros. Razonar: clasificar tipos de isomería</t>
  </si>
  <si>
    <t xml:space="preserve">T0577-G11-QUÍ</t>
  </si>
  <si>
    <t xml:space="preserve">4. Reacción ácido-base</t>
  </si>
  <si>
    <t xml:space="preserve">Equilibrios ácido-base</t>
  </si>
  <si>
    <t xml:space="preserve">4.1. Análisis de pares conjugados ácido-base y del sentido favorecido en equilibrios de transferencia de protones.</t>
  </si>
  <si>
    <t xml:space="preserve">Aplicar: identificar pares conjugados. Razonar: predecir el sentido de un equilibrio</t>
  </si>
  <si>
    <t xml:space="preserve">T0578-G11-QUÍ</t>
  </si>
  <si>
    <t xml:space="preserve">4.2. Cálculo de las concentraciones de iones hidronio e hidróxido a partir del producto iónico del agua a distintas temperaturas.</t>
  </si>
  <si>
    <t xml:space="preserve">Aplicar: calcular concentraciones iónicas. Razonar: interpretar el efecto de la temperatura</t>
  </si>
  <si>
    <t xml:space="preserve">T0579-G11-QUÍ</t>
  </si>
  <si>
    <t xml:space="preserve">4.3. Cálculo y medición del pH y el pOH de disoluciones de ácidos y bases fuertes y de sus diluciones sucesivas.</t>
  </si>
  <si>
    <t xml:space="preserve">Aplicar: calcular pH y pOH. Razonar: contrastar cálculos con mediciones</t>
  </si>
  <si>
    <t xml:space="preserve">T0580-G11-QUÍ</t>
  </si>
  <si>
    <t xml:space="preserve">Ácidos y bases débiles</t>
  </si>
  <si>
    <t xml:space="preserve">4.4. Cálculo del pH y del porcentaje de ionización de ácidos y bases débiles a partir de sus constantes de ionización.</t>
  </si>
  <si>
    <t xml:space="preserve">Aplicar: calcular pH con constantes de equilibrio. Razonar: validar aproximaciones</t>
  </si>
  <si>
    <t xml:space="preserve">T0581-G11-QUÍ</t>
  </si>
  <si>
    <t xml:space="preserve">4.5. Análisis de las ionizaciones sucesivas de ácidos polipróticos y cálculo del pH de sus disoluciones.</t>
  </si>
  <si>
    <t xml:space="preserve">Aplicar: calcular pH de ácidos polipróticos. Razonar: interpretar diagramas de distribución</t>
  </si>
  <si>
    <t xml:space="preserve">T0582-G11-QUÍ</t>
  </si>
  <si>
    <t xml:space="preserve">4.6. Predicción y cálculo del pH de disoluciones de sales a partir de la hidrólisis de sus iones.</t>
  </si>
  <si>
    <t xml:space="preserve">Aplicar: calcular el pH de sales. Razonar: predecir con base en el origen de la sal</t>
  </si>
  <si>
    <t xml:space="preserve">T0583-G11-QUÍ</t>
  </si>
  <si>
    <t xml:space="preserve">Aplicaciones de los equilibrios ácido-base</t>
  </si>
  <si>
    <t xml:space="preserve">4.7. Cálculo del pH de disoluciones de ácidos o bases débiles en presencia de un ion común.</t>
  </si>
  <si>
    <t xml:space="preserve">Aplicar: calcular pH con ion común. Razonar: explicar desplazamientos del equilibrio</t>
  </si>
  <si>
    <t xml:space="preserve">T0584-G11-QUÍ</t>
  </si>
  <si>
    <t xml:space="preserve">4.8. Preparación de una disolución amortiguadora de pH definido y medición de su capacidad amortiguadora.</t>
  </si>
  <si>
    <t xml:space="preserve">Aplicar: calcular con Henderson-Hasselbalch. Razonar: evaluar la capacidad amortiguadora</t>
  </si>
  <si>
    <t xml:space="preserve">T0585-G11-QUÍ</t>
  </si>
  <si>
    <t xml:space="preserve">4.9. Análisis cuantitativo de los sistemas amortiguadores biológicos y de las alteraciones del pH sanguíneo.</t>
  </si>
  <si>
    <t xml:space="preserve">Aplicar: calcular razones de amortiguadores. Razonar: interpretar datos clínicos y criticar afirmaciones</t>
  </si>
  <si>
    <t xml:space="preserve">T0586-G11-QUÍ</t>
  </si>
  <si>
    <t xml:space="preserve">Titulaciones y curvas de pH</t>
  </si>
  <si>
    <t xml:space="preserve">4.10. Construcción e interpretación de curvas de titulación ácido-base para determinar concentraciones y constantes de ionización.</t>
  </si>
  <si>
    <t xml:space="preserve">Aplicar: construir y analizar curvas. Razonar: determinar parámetros a partir de datos</t>
  </si>
  <si>
    <t xml:space="preserve">T0587-G11-QUÍ</t>
  </si>
  <si>
    <t xml:space="preserve">4.11. Selección de indicadores ácido-base según su intervalo de viraje y el pH del punto de equivalencia de cada titulación.</t>
  </si>
  <si>
    <t xml:space="preserve">Aplicar: relacionar pKa del indicador y viraje. Razonar: seleccionar y justificar</t>
  </si>
  <si>
    <t xml:space="preserve">T0588-G11-QUÍ</t>
  </si>
  <si>
    <t xml:space="preserve">Lluvia ácida</t>
  </si>
  <si>
    <t xml:space="preserve">4.12. Análisis de datos de pH de la lluvia y de las emisiones que la originan, y modelación de sus efectos sobre materiales y ecosistemas.</t>
  </si>
  <si>
    <t xml:space="preserve">Aplicar: representar reacciones y calcular pH. Razonar: evaluar evidencia ambiental</t>
  </si>
  <si>
    <t xml:space="preserve">T0589-G11-QUÍ</t>
  </si>
  <si>
    <t xml:space="preserve">5. Reacciones de precipitación</t>
  </si>
  <si>
    <t xml:space="preserve">Equilibrio de solubilidad</t>
  </si>
  <si>
    <t xml:space="preserve">5.1. Cálculo de la solubilidad molar de sales poco solubles a partir de su constante del producto de solubilidad.</t>
  </si>
  <si>
    <t xml:space="preserve">Aplicar: plantear la expresión de Kps y calcular la solubilidad. Razonar: comparar sales de distinta estequiometría</t>
  </si>
  <si>
    <t xml:space="preserve">T0590-G11-QUÍ</t>
  </si>
  <si>
    <t xml:space="preserve">5.2. Predicción de la formación de precipitados mediante la comparación del producto iónico con el producto de solubilidad.</t>
  </si>
  <si>
    <t xml:space="preserve">Aplicar: calcular el producto iónico tras la mezcla. Razonar: predecir y justificar la precipitación</t>
  </si>
  <si>
    <t xml:space="preserve">T0591-G11-QUÍ</t>
  </si>
  <si>
    <t xml:space="preserve">Factores que afectan la solubilidad</t>
  </si>
  <si>
    <t xml:space="preserve">5.3. Análisis del efecto del ion común, del pH, de la temperatura y de la formación de iones complejos sobre la solubilidad de un precipitado.</t>
  </si>
  <si>
    <t xml:space="preserve">Aplicar: calcular la solubilidad con ion común. Razonar: explicar desplazamientos del equilibrio con Le Châtelier</t>
  </si>
  <si>
    <t xml:space="preserve">T0592-G11-QUÍ</t>
  </si>
  <si>
    <t xml:space="preserve">Precipitación selectiva</t>
  </si>
  <si>
    <t xml:space="preserve">5.4. Cálculo de la concentración de iones necesaria para iniciar la precipitación y diseño de una separación por precipitación selectiva.</t>
  </si>
  <si>
    <t xml:space="preserve">Aplicar: calcular concentraciones límite de precipitación. Razonar: diseñar y evaluar una separación</t>
  </si>
  <si>
    <t xml:space="preserve">T0593-G11-QUÍ</t>
  </si>
  <si>
    <t xml:space="preserve">5.5. Interpretación de una marcha analítica de cationes basada en reacciones de precipitación selectiva.</t>
  </si>
  <si>
    <t xml:space="preserve">Conocer: reconocer reactivos de grupo. Razonar: deducir la composición de una muestra a partir de observaciones</t>
  </si>
  <si>
    <t xml:space="preserve">T0594-G11-QUÍ</t>
  </si>
  <si>
    <t xml:space="preserve">6. Electroquímica</t>
  </si>
  <si>
    <t xml:space="preserve">Balanceo redox</t>
  </si>
  <si>
    <t xml:space="preserve">6.1. Reconocimiento del balance de masa y carga en las reacciones de oxidación-reducción.</t>
  </si>
  <si>
    <t xml:space="preserve">Conocer: asignar números de oxidación. Razonar: verificar la conservación de masa y carga</t>
  </si>
  <si>
    <t xml:space="preserve">T0595-G11-QUÍ</t>
  </si>
  <si>
    <t xml:space="preserve">6.2. Demostración del método del ion-electrón para balancear ecuaciones de oxidación-reducción.</t>
  </si>
  <si>
    <t xml:space="preserve">Aplicar: seguir un algoritmo de balanceo. Razonar: decidir el método adecuado según el medio</t>
  </si>
  <si>
    <t xml:space="preserve">T0596-G11-QUÍ</t>
  </si>
  <si>
    <t xml:space="preserve">6.3. Balanceo de ecuaciones de oxidación-reducción.</t>
  </si>
  <si>
    <t xml:space="preserve">Aplicar: balancear ecuaciones redox en medio ácido y básico. Razonar: justificar la dismutación</t>
  </si>
  <si>
    <t xml:space="preserve">T0597-G11-QUÍ</t>
  </si>
  <si>
    <t xml:space="preserve">Electrolitos y celdas galvánicas</t>
  </si>
  <si>
    <t xml:space="preserve">6.4. Comparación de la conductividad eléctrica de electrolitos a diferentes concentraciones.</t>
  </si>
  <si>
    <t xml:space="preserve">Aplicar: medir y graficar la conductividad. Razonar: interpretar la tendencia con un modelo de partículas</t>
  </si>
  <si>
    <t xml:space="preserve">T0598-G11-QUÍ</t>
  </si>
  <si>
    <t xml:space="preserve">6.5. Construcción de una celda galvánica con implementos cotidianos.</t>
  </si>
  <si>
    <t xml:space="preserve">Aplicar: construir una celda y medir el voltaje. Razonar: relacionar el montaje con el sentido de los electrones</t>
  </si>
  <si>
    <t xml:space="preserve">T0599-G11-QUÍ</t>
  </si>
  <si>
    <t xml:space="preserve">6.6. Evaluación de una secuencia de instrucciones para la construcción de una celda electroquímica.</t>
  </si>
  <si>
    <t xml:space="preserve">Razonar: evaluar la validez de un procedimiento y justificar correcciones</t>
  </si>
  <si>
    <t xml:space="preserve">T0600-G11-QUÍ</t>
  </si>
  <si>
    <t xml:space="preserve">Celdas electroquímicas y potenciales redox</t>
  </si>
  <si>
    <t xml:space="preserve">6.7. Construcción de una celda electrolítica para la descomposición de agua.</t>
  </si>
  <si>
    <t xml:space="preserve">Aplicar: escribir semirreacciones de electrólisis. Razonar: relacionar volúmenes con la estequiometría</t>
  </si>
  <si>
    <t xml:space="preserve">T0601-G11-QUÍ</t>
  </si>
  <si>
    <t xml:space="preserve">6.8. Deducción de la espontaneidad de una reacción de oxidación-reducción con base en el potencial de celda.</t>
  </si>
  <si>
    <t xml:space="preserve">Aplicar: calcular E°celda. Razonar: deducir la espontaneidad y contrastarla con observaciones</t>
  </si>
  <si>
    <t xml:space="preserve">T0602-G11-QUÍ</t>
  </si>
  <si>
    <t xml:space="preserve">6.9. Reconocimiento de aplicaciones de la electroquímica y sus impactos.</t>
  </si>
  <si>
    <t xml:space="preserve">Conocer: describir aplicaciones. Razonar: evaluar impactos ambientales y justificar decisiones</t>
  </si>
  <si>
    <t xml:space="preserve">T0603-G11-QUÍ</t>
  </si>
  <si>
    <t xml:space="preserve">6.10. Aplicación de la ecuación de Nernst para calcular el potencial de una celda con concentraciones distintas de las estándar.</t>
  </si>
  <si>
    <t xml:space="preserve">Aplicar: calcular E con la ecuación de Nernst y ΔG. Razonar: interpretar la gráfica de E frente a log Q</t>
  </si>
  <si>
    <t xml:space="preserve">T0604-G11-QUÍ</t>
  </si>
  <si>
    <t xml:space="preserve">6.11. Análisis de la corrosión de los metales como una celda galvánica y de los métodos para proteger los metales.</t>
  </si>
  <si>
    <t xml:space="preserve">Aplicar: escribir las semirreacciones de corrosión. Razonar: comparar métodos de protección con evidencia experimental</t>
  </si>
  <si>
    <t xml:space="preserve">T0605-G11-QUÍ</t>
  </si>
  <si>
    <t xml:space="preserve">7. Química industrial</t>
  </si>
  <si>
    <t xml:space="preserve">Del laboratorio a la planta</t>
  </si>
  <si>
    <t xml:space="preserve">7.1. Aplicación del balance de materia a un proceso industrial representado en un diagrama de bloques con sus operaciones unitarias.</t>
  </si>
  <si>
    <t xml:space="preserve">Aplicar: resolver balances de materia. Razonar: justificar los problemas del escalamiento</t>
  </si>
  <si>
    <t xml:space="preserve">T0606-G11-QUÍ</t>
  </si>
  <si>
    <t xml:space="preserve">Industria química de base</t>
  </si>
  <si>
    <t xml:space="preserve">7.2. Análisis de las condiciones de reacción del proceso de contacto y de la síntesis de fertilizantes nitrogenados a partir del amoníaco.</t>
  </si>
  <si>
    <t xml:space="preserve">Aplicar: escribir las etapas del proceso. Razonar: justificar condiciones de compromiso</t>
  </si>
  <si>
    <t xml:space="preserve">T0607-G11-QUÍ</t>
  </si>
  <si>
    <t xml:space="preserve">Agroindustria salvadoreña</t>
  </si>
  <si>
    <t xml:space="preserve">7.3. Descripción de las etapas químicas de la producción de azúcar y etanol a partir de la caña y del aprovechamiento energético del bagazo.</t>
  </si>
  <si>
    <t xml:space="preserve">Aplicar: calcular rendimientos de fermentación. Razonar: relacionar etapas con transformaciones químicas</t>
  </si>
  <si>
    <t xml:space="preserve">T0608-G11-QUÍ</t>
  </si>
  <si>
    <t xml:space="preserve">7.4. Análisis de la carga contaminante de las aguas mieles del beneficiado del café y de sus alternativas de tratamiento.</t>
  </si>
  <si>
    <t xml:space="preserve">Conocer: definir DBO y DQO. Razonar: comparar tratamientos con datos y justificar una propuesta</t>
  </si>
  <si>
    <t xml:space="preserve">T0609-G11-QUÍ</t>
  </si>
  <si>
    <t xml:space="preserve">Materiales de construcción</t>
  </si>
  <si>
    <t xml:space="preserve">7.5. Interpretación de las reacciones de calcinación, hidratación y fraguado en la producción de cal y cemento.</t>
  </si>
  <si>
    <t xml:space="preserve">Aplicar: escribir ecuaciones y calcular emisiones de CO₂. Razonar: evaluar alternativas de reducción</t>
  </si>
  <si>
    <t xml:space="preserve">T0610-G11-QUÍ</t>
  </si>
  <si>
    <t xml:space="preserve">Química del agua</t>
  </si>
  <si>
    <t xml:space="preserve">7.6. Análisis de las etapas químicas de la potabilización del agua y del tratamiento de aguas residuales.</t>
  </si>
  <si>
    <t xml:space="preserve">Aplicar: escribir reacciones de coagulación. Razonar: evaluar un diseño experimental y comparar dosis</t>
  </si>
  <si>
    <t xml:space="preserve">T0611-G11-QUÍ</t>
  </si>
  <si>
    <t xml:space="preserve">Hacia una industria sostenible</t>
  </si>
  <si>
    <t xml:space="preserve">7.7. Aplicación de los principios de la química verde y del cálculo de la economía atómica para comparar rutas de síntesis.</t>
  </si>
  <si>
    <t xml:space="preserve">Aplicar: calcular la economía atómica. Razonar: evaluar la sostenibilidad y justificar una propuesta</t>
  </si>
  <si>
    <t xml:space="preserve">T0612-G11-QUÍ</t>
  </si>
  <si>
    <t xml:space="preserve">8. Reacciones nucleares</t>
  </si>
  <si>
    <t xml:space="preserve">Radiactividad</t>
  </si>
  <si>
    <t xml:space="preserve">8.1. Reconstrucción histórica del descubrimiento de la radiactividad y aplicación de las leyes del desplazamiento de Soddy y Fajans.</t>
  </si>
  <si>
    <t xml:space="preserve">Conocer: describir hitos históricos. Aplicar: usar las leyes del desplazamiento</t>
  </si>
  <si>
    <t xml:space="preserve">T0613-G11-QUÍ</t>
  </si>
  <si>
    <t xml:space="preserve">Ecuaciones nucleares</t>
  </si>
  <si>
    <t xml:space="preserve">8.2. Balanceo de ecuaciones nucleares de desintegración y de transmutación mediante la conservación del número másico y del número atómico.</t>
  </si>
  <si>
    <t xml:space="preserve">Aplicar: balancear ecuaciones nucleares. Razonar: clasificar transmutaciones y predecir productos</t>
  </si>
  <si>
    <t xml:space="preserve">T0614-G11-QUÍ</t>
  </si>
  <si>
    <t xml:space="preserve">8.3. Reconstrucción de una serie de desintegración radiactiva natural a partir de la secuencia de emisiones alfa y beta.</t>
  </si>
  <si>
    <t xml:space="preserve">Aplicar: calcular emisiones alfa y beta. Razonar: interpretar la serie en una gráfica N frente a Z</t>
  </si>
  <si>
    <t xml:space="preserve">T0615-G11-QUÍ</t>
  </si>
  <si>
    <t xml:space="preserve">Gestión de residuos radiactivos</t>
  </si>
  <si>
    <t xml:space="preserve">8.4. Clasificación de los residuos radiactivos según su estado físico, tipo de radiación y actividad, y análisis crítico de su gestión en distintos países.</t>
  </si>
  <si>
    <t xml:space="preserve">Conocer: clasificar residuos. Razonar: evaluar estrategias de gestión con datos</t>
  </si>
  <si>
    <t xml:space="preserve">T0616-G11-QUÍ</t>
  </si>
  <si>
    <t xml:space="preserve">9. Compuestos del carbono</t>
  </si>
  <si>
    <t xml:space="preserve">Fundamentos de la reactividad orgánica</t>
  </si>
  <si>
    <t xml:space="preserve">9.1. Diferenciación de la ruptura homolítica y heterolítica de enlaces y clasificación de los reactivos orgánicos en nucleófilos, electrófilos y radicales.</t>
  </si>
  <si>
    <t xml:space="preserve">Conocer: definir tipos de ruptura. Razonar: clasificar reactivos según su estructura electrónica</t>
  </si>
  <si>
    <t xml:space="preserve">T0617-G11-QUÍ</t>
  </si>
  <si>
    <t xml:space="preserve">9.2. Clasificación de reacciones orgánicas en sustitución, adición y eliminación a partir de los cambios en la estructura de los reactivos.</t>
  </si>
  <si>
    <t xml:space="preserve">Aplicar: representar reacciones con fórmulas. Razonar: clasificar reacciones según cambios estructurales</t>
  </si>
  <si>
    <t xml:space="preserve">T0618-G11-QUÍ</t>
  </si>
  <si>
    <t xml:space="preserve">Reacciones de los hidrocarburos</t>
  </si>
  <si>
    <t xml:space="preserve">9.3. Representación de las reacciones de combustión, halogenación y adición de los hidrocarburos alifáticos y aromáticos.</t>
  </si>
  <si>
    <t xml:space="preserve">Aplicar: escribir y balancear reacciones de hidrocarburos. Razonar: explicar diferencias de reactividad</t>
  </si>
  <si>
    <t xml:space="preserve">T0619-G11-QUÍ</t>
  </si>
  <si>
    <t xml:space="preserve">Reacciones de compuestos oxigenados</t>
  </si>
  <si>
    <t xml:space="preserve">9.4. Predicción de los productos de la oxidación de alcoholes primarios, secundarios y terciarios y diferenciación de aldehídos y cetonas por su reactividad.</t>
  </si>
  <si>
    <t xml:space="preserve">Aplicar: escribir reacciones de oxidación. Razonar: predecir productos según el tipo de alcohol</t>
  </si>
  <si>
    <t xml:space="preserve">T0620-G11-QUÍ</t>
  </si>
  <si>
    <t xml:space="preserve">9.5. Representación de la esterificación entre ácidos carboxílicos y alcoholes y de la hidrólisis ácida y básica de los ésteres.</t>
  </si>
  <si>
    <t xml:space="preserve">Aplicar: escribir reacciones de esterificación e hidrólisis. Razonar: aplicar Le Châtelier al rendimiento</t>
  </si>
  <si>
    <t xml:space="preserve">T0621-G11-QUÍ</t>
  </si>
  <si>
    <t xml:space="preserve">Compuestos nitrogenados</t>
  </si>
  <si>
    <t xml:space="preserve">9.6. Análisis de la basicidad de las aminas y de la formación e hidrólisis de amidas a partir de aminas y ácidos carboxílicos.</t>
  </si>
  <si>
    <t xml:space="preserve">Aplicar: escribir reacciones de formación e hidrólisis de amidas. Razonar: explicar la basicidad con la estructura</t>
  </si>
  <si>
    <t xml:space="preserve">T0622-G11-QUÍ</t>
  </si>
  <si>
    <t xml:space="preserve">Uso seguro de compuestos orgánicos</t>
  </si>
  <si>
    <t xml:space="preserve">9.7. Análisis del uso adecuado y seguro de compuestos orgánicos a partir de su estructura, sus pictogramas de peligro y su impacto ambiental.</t>
  </si>
  <si>
    <t xml:space="preserve">Conocer: interpretar pictogramas. Razonar: justificar normas de seguridad con la estructura y los peligros</t>
  </si>
  <si>
    <t xml:space="preserve">T0623-G11-QUÍ</t>
  </si>
  <si>
    <t xml:space="preserve">10. Polímeros y macromoléculas</t>
  </si>
  <si>
    <t xml:space="preserve">Reacciones de polimerización</t>
  </si>
  <si>
    <t xml:space="preserve">10.1. Representación de las etapas de la polimerización por adición por radicales libres y relación de las propiedades de los polímeros de adición con sus usos.</t>
  </si>
  <si>
    <t xml:space="preserve">Aplicar: escribir ecuaciones de polimerización. Razonar: relacionar el sustituyente con las propiedades</t>
  </si>
  <si>
    <t xml:space="preserve">T0624-G11-QUÍ</t>
  </si>
  <si>
    <t xml:space="preserve">10.2. Representación de la formación de polímeros de condensación a partir de monómeros bifuncionales y comparación con la polimerización por adición.</t>
  </si>
  <si>
    <t xml:space="preserve">Aplicar: representar polimerizaciones por condensación. Razonar: comparar mecanismos de polimerización</t>
  </si>
  <si>
    <t xml:space="preserve">T0625-G11-QUÍ</t>
  </si>
  <si>
    <t xml:space="preserve">Estructura y propiedades de los polímeros</t>
  </si>
  <si>
    <t xml:space="preserve">10.3. Relación entre la estructura espacial de los polímeros, su cristalinidad y sus propiedades físicas.</t>
  </si>
  <si>
    <t xml:space="preserve">Aplicar: relacionar estructura y propiedades. Razonar: interpretar datos y predecir el comportamiento térmico</t>
  </si>
  <si>
    <t xml:space="preserve">T0626-G11-QUÍ</t>
  </si>
  <si>
    <t xml:space="preserve">Polímeros y ambiente</t>
  </si>
  <si>
    <t xml:space="preserve">10.4. Clasificación de los plásticos según su capacidad de degradación y análisis de las alternativas de reciclaje de polímeros.</t>
  </si>
  <si>
    <t xml:space="preserve">Conocer: clasificar plásticos. Razonar: evaluar la biodegradabilidad y el reciclaje con criterios químicos</t>
  </si>
  <si>
    <t xml:space="preserve">T0627-G11-QUÍ</t>
  </si>
  <si>
    <t xml:space="preserve">10.5. Identificación de microplásticos en muestras de arena o agua y análisis de sus efectos en los ecosistemas acuáticos salvadoreños.</t>
  </si>
  <si>
    <t xml:space="preserve">Aplicar: separar y contar partículas. Razonar: interpretar datos y concluir sobre el origen</t>
  </si>
  <si>
    <t xml:space="preserve">T0628-G11-QUÍ</t>
  </si>
  <si>
    <t xml:space="preserve">11. Carbohidratos y lípidos</t>
  </si>
  <si>
    <t xml:space="preserve">Química de los carbohidratos</t>
  </si>
  <si>
    <t xml:space="preserve">11.1. Representación de monosacáridos en proyecciones de Fischer y de Haworth y explicación de su ciclación mediante la formación de un hemiacetal.</t>
  </si>
  <si>
    <t xml:space="preserve">Aplicar: transformar proyecciones. Razonar: explicar la ciclación con la reactividad del carbonilo</t>
  </si>
  <si>
    <t xml:space="preserve">T0629-G11-QUÍ</t>
  </si>
  <si>
    <t xml:space="preserve">11.2. Análisis del enlace O-glucosídico en disacáridos y de su relación con el carácter reductor y la hidrólisis.</t>
  </si>
  <si>
    <t xml:space="preserve">Aplicar: representar enlaces glucosídicos. Razonar: relacionar la estructura con el carácter reductor</t>
  </si>
  <si>
    <t xml:space="preserve">T0630-G11-QUÍ</t>
  </si>
  <si>
    <t xml:space="preserve">11.3. Comparación de la estructura química del almidón, el glucógeno y la celulosa según el tipo de enlace glucosídico y su efecto en las propiedades.</t>
  </si>
  <si>
    <t xml:space="preserve">Aplicar: representar enlaces α y β. Razonar: relacionar la estructura con las propiedades</t>
  </si>
  <si>
    <t xml:space="preserve">T0631-G11-QUÍ</t>
  </si>
  <si>
    <t xml:space="preserve">11.4. Descripción de la estructura de los heterósidos como unión de un carbohidrato con una aglicona mediante un enlace glucosídico.</t>
  </si>
  <si>
    <t xml:space="preserve">Conocer: identificar partes de un heterósido. Razonar: evaluar información sobre usos y riesgos</t>
  </si>
  <si>
    <t xml:space="preserve">T0632-G11-QUÍ</t>
  </si>
  <si>
    <t xml:space="preserve">Química de los lípidos</t>
  </si>
  <si>
    <t xml:space="preserve">11.5. Relación entre la longitud de la cadena, el número de dobles enlaces y la isomería cis-trans de los ácidos grasos y su temperatura de fusión.</t>
  </si>
  <si>
    <t xml:space="preserve">Aplicar: nombrar ácidos grasos y graficar datos. Razonar: explicar tendencias con fuerzas intermoleculares</t>
  </si>
  <si>
    <t xml:space="preserve">T0633-G11-QUÍ</t>
  </si>
  <si>
    <t xml:space="preserve">11.6. Representación de la saponificación de triacilgliceroles y cálculo de la masa de hidróxido necesaria para saponificar una grasa.</t>
  </si>
  <si>
    <t xml:space="preserve">Aplicar: escribir la saponificación y calcular masas. Razonar: explicar la acción limpiadora</t>
  </si>
  <si>
    <t xml:space="preserve">T0634-G11-QUÍ</t>
  </si>
  <si>
    <t xml:space="preserve">11.7. Representación de la estructura de terpenos y esteroides a partir de unidades de isopreno y del núcleo del esterano.</t>
  </si>
  <si>
    <t xml:space="preserve">Aplicar: reconocer unidades estructurales. Razonar: justificar la insolubilidad y la no saponificación</t>
  </si>
  <si>
    <t xml:space="preserve">T0635-G11-QUÍ</t>
  </si>
  <si>
    <t xml:space="preserve">12. Proteínas y ácidos nucleicos</t>
  </si>
  <si>
    <t xml:space="preserve">Química de los aminoácidos</t>
  </si>
  <si>
    <t xml:space="preserve">12.1. Interpretación de la curva de titulación de un aminoácido para identificar sus formas iónicas y calcular su punto isoeléctrico.</t>
  </si>
  <si>
    <t xml:space="preserve">Aplicar: calcular el punto isoeléctrico. Razonar: predecir la carga a distintos pH</t>
  </si>
  <si>
    <t xml:space="preserve">T0636-G11-QUÍ</t>
  </si>
  <si>
    <t xml:space="preserve">Estructura de las proteínas</t>
  </si>
  <si>
    <t xml:space="preserve">12.2. Análisis de las fuerzas químicas que estabilizan cada nivel estructural de las proteínas.</t>
  </si>
  <si>
    <t xml:space="preserve">Aplicar: identificar interacciones en modelos. Razonar: relacionar interacciones con niveles estructurales</t>
  </si>
  <si>
    <t xml:space="preserve">T0637-G11-QUÍ</t>
  </si>
  <si>
    <t xml:space="preserve">12.3. Análisis de la desnaturalización de proteínas por cambios de temperatura, pH y concentración salina.</t>
  </si>
  <si>
    <t xml:space="preserve">Aplicar: identificar interacciones alteradas. Razonar: diseñar un experimento controlado y concluir</t>
  </si>
  <si>
    <t xml:space="preserve">T0638-G11-QUÍ</t>
  </si>
  <si>
    <t xml:space="preserve">Química de los ácidos nucleicos</t>
  </si>
  <si>
    <t xml:space="preserve">12.4. Análisis de la formación del enlace fosfodiéster y del apareamiento de bases como base química de la estabilidad del ADN y del ARN.</t>
  </si>
  <si>
    <t xml:space="preserve">Aplicar: representar enlaces y calcular porcentajes de G-C. Razonar: relacionar estructura con estabilidad térmica</t>
  </si>
  <si>
    <t xml:space="preserve">T0001-G10-BIO</t>
  </si>
  <si>
    <t xml:space="preserve">Matriz_Bachillerato_Biologia_10_11.xlsx</t>
  </si>
  <si>
    <t xml:space="preserve">Biología 10.°</t>
  </si>
  <si>
    <t xml:space="preserve">1. Biomoléculas</t>
  </si>
  <si>
    <t xml:space="preserve">Carbohidratos</t>
  </si>
  <si>
    <t xml:space="preserve">1.1. Identificación de los carbohidratos y sus estructuras.</t>
  </si>
  <si>
    <t xml:space="preserve">Conocer: identificar grupos funcionales. Aplicar: representar estructuras. Razonar: relacionar estructura y función</t>
  </si>
  <si>
    <t xml:space="preserve">Biología 10°–11°</t>
  </si>
  <si>
    <t xml:space="preserve">T0002-G10-BIO</t>
  </si>
  <si>
    <t xml:space="preserve">1.2. Interpretación de las clasificaciones y las propiedades de los carbohidratos.</t>
  </si>
  <si>
    <t xml:space="preserve">Aplicar: clasificar con criterios. Razonar: justificar propiedades a partir de la estructura</t>
  </si>
  <si>
    <t xml:space="preserve">T0003-G10-BIO</t>
  </si>
  <si>
    <t xml:space="preserve">1.3. Explicación de la importancia de los polisacáridos y su metabolismo.</t>
  </si>
  <si>
    <t xml:space="preserve">Aplicar: modelar estructuras. Razonar: relacionar estructura y función biológica</t>
  </si>
  <si>
    <t xml:space="preserve">T0004-G10-BIO</t>
  </si>
  <si>
    <t xml:space="preserve">Lípidos</t>
  </si>
  <si>
    <t xml:space="preserve">1.4. Reconocimiento de los lípidos y su clasificación general.</t>
  </si>
  <si>
    <t xml:space="preserve">Conocer: reconocer lípidos. Aplicar: clasificar. Razonar: interpretar una prueba cualitativa</t>
  </si>
  <si>
    <t xml:space="preserve">T0005-G10-BIO</t>
  </si>
  <si>
    <t xml:space="preserve">1.5. Extracción de distintos tipos de lípidos.</t>
  </si>
  <si>
    <t xml:space="preserve">Aplicar: seguir un procedimiento y calcular rendimiento. Razonar: evaluar el método</t>
  </si>
  <si>
    <t xml:space="preserve">T0006-G10-BIO</t>
  </si>
  <si>
    <t xml:space="preserve">1.6. Explicación del metabolismo de lípidos.</t>
  </si>
  <si>
    <t xml:space="preserve">Aplicar: calcular energía por gramo. Razonar: justificar con datos</t>
  </si>
  <si>
    <t xml:space="preserve">T0007-G10-BIO</t>
  </si>
  <si>
    <t xml:space="preserve">Proteínas</t>
  </si>
  <si>
    <t xml:space="preserve">1.7. Reconocimiento de la estructura de los aminoácidos y su estereoquímica.</t>
  </si>
  <si>
    <t xml:space="preserve">Conocer: reconocer la estructura general. Aplicar: construir modelos. Razonar: explicar la quiralidad</t>
  </si>
  <si>
    <t xml:space="preserve">T0008-G10-BIO</t>
  </si>
  <si>
    <t xml:space="preserve">1.8. Extracción e identificación de proteínas.</t>
  </si>
  <si>
    <t xml:space="preserve">Aplicar: ejecutar una extracción y una prueba de identificación. Razonar: evaluar fuentes de error</t>
  </si>
  <si>
    <t xml:space="preserve">T0009-G10-BIO</t>
  </si>
  <si>
    <t xml:space="preserve">1.9. Clasificación de las proteínas de acuerdo con diferentes criterios.</t>
  </si>
  <si>
    <t xml:space="preserve">Aplicar: clasificar con varios criterios. Razonar: relacionar estructura, desnaturalización y función</t>
  </si>
  <si>
    <t xml:space="preserve">T0010-G10-BIO</t>
  </si>
  <si>
    <t xml:space="preserve">Ácidos nucleicos</t>
  </si>
  <si>
    <t xml:space="preserve">1.10. Identificación de las funciones de los nucleótidos libres.</t>
  </si>
  <si>
    <t xml:space="preserve">Conocer: identificar componentes. Aplicar: relacionar estructura y función. Razonar: predecir consecuencias</t>
  </si>
  <si>
    <t xml:space="preserve">T0011-G10-BIO</t>
  </si>
  <si>
    <t xml:space="preserve">1.11. Interpretación de la estructura química de los ácidos nucleicos.</t>
  </si>
  <si>
    <t xml:space="preserve">Aplicar: construir un modelo a escala. Razonar: comparar estructuras de ADN y ARN</t>
  </si>
  <si>
    <t xml:space="preserve">T0012-G10-BIO</t>
  </si>
  <si>
    <t xml:space="preserve">2. Biología celular</t>
  </si>
  <si>
    <t xml:space="preserve">Alimentación de las células</t>
  </si>
  <si>
    <t xml:space="preserve">2.1. Indagación del uso de energía en los seres vivos a partir de fenómenos cotidianos.</t>
  </si>
  <si>
    <t xml:space="preserve">Conocer: identificar transformaciones de energía. Aplicar: representar. Razonar: explicar con ejemplos</t>
  </si>
  <si>
    <t xml:space="preserve">T0013-G10-BIO</t>
  </si>
  <si>
    <t xml:space="preserve">2.2. Análisis de los conceptos de entropía y organización en los seres vivos.</t>
  </si>
  <si>
    <t xml:space="preserve">Conocer: definir entropía y organización. Razonar: explicar sistemas abiertos con ejemplos</t>
  </si>
  <si>
    <t xml:space="preserve">T0014-G10-BIO</t>
  </si>
  <si>
    <t xml:space="preserve">Información molecular</t>
  </si>
  <si>
    <t xml:space="preserve">2.3. Explicación del código genético y la nomenclatura de aminoácidos.</t>
  </si>
  <si>
    <t xml:space="preserve">Aplicar: traducir con la tabla del código genético. Razonar: predecir efectos de mutaciones puntuales</t>
  </si>
  <si>
    <t xml:space="preserve">T0015-G10-BIO</t>
  </si>
  <si>
    <t xml:space="preserve">Energía biológicamente útil</t>
  </si>
  <si>
    <t xml:space="preserve">2.4. Indagación del concepto de energía biológicamente útil.</t>
  </si>
  <si>
    <t xml:space="preserve">Conocer: definir energía biológicamente útil. Razonar: argumentar con datos energéticos</t>
  </si>
  <si>
    <t xml:space="preserve">T0016-G10-BIO</t>
  </si>
  <si>
    <t xml:space="preserve">2.5. Reconocimiento de los tipos de energía biológicamente útil empleando simulaciones o manipulativos.</t>
  </si>
  <si>
    <t xml:space="preserve">Conocer: reconocer tipos de energía útil. Aplicar: clasificar ejemplos. Razonar: interpretar una simulación</t>
  </si>
  <si>
    <t xml:space="preserve">T0017-G10-BIO</t>
  </si>
  <si>
    <t xml:space="preserve">2.6. Exploración de procesos celulares que emplean energía biológicamente útil.</t>
  </si>
  <si>
    <t xml:space="preserve">Aplicar: observar y estimar velocidades. Razonar: relacionar procesos con consumo de energía</t>
  </si>
  <si>
    <t xml:space="preserve">T0018-G10-BIO</t>
  </si>
  <si>
    <t xml:space="preserve">Enzimas y metabolismo</t>
  </si>
  <si>
    <t xml:space="preserve">2.7. Indagación de la presencia de enzimas en los seres vivos.</t>
  </si>
  <si>
    <t xml:space="preserve">Aplicar: comparar tratamientos. Razonar: argumentar con evidencia experimental</t>
  </si>
  <si>
    <t xml:space="preserve">T0019-G10-BIO</t>
  </si>
  <si>
    <t xml:space="preserve">2.8. Demostración experimental de la actividad enzimática.</t>
  </si>
  <si>
    <t xml:space="preserve">Aplicar: medir y graficar. Razonar: interpretar tendencias y evaluar el diseño</t>
  </si>
  <si>
    <t xml:space="preserve">T0020-G10-BIO</t>
  </si>
  <si>
    <t xml:space="preserve">2.9. Búsqueda y visualización de enzimas en bases de datos.</t>
  </si>
  <si>
    <t xml:space="preserve">Aplicar: extraer información de bases de datos. Razonar: justificar una aplicación biotecnológica</t>
  </si>
  <si>
    <t xml:space="preserve">T0021-G10-BIO</t>
  </si>
  <si>
    <t xml:space="preserve">Respiración celular</t>
  </si>
  <si>
    <t xml:space="preserve">2.10. Indagación de los procesos oxidativos que suceden en la respiración celular.</t>
  </si>
  <si>
    <t xml:space="preserve">Conocer: definir oxidación y reducción. Aplicar: representar con un modelo. Razonar: predecir</t>
  </si>
  <si>
    <t xml:space="preserve">T0022-G10-BIO</t>
  </si>
  <si>
    <t xml:space="preserve">2.11. Comprobación experimental de la respiración celular aerobia y la fermentación.</t>
  </si>
  <si>
    <t xml:space="preserve">Aplicar: controlar variables y medir. Razonar: interpretar gráficas y evaluar controles</t>
  </si>
  <si>
    <t xml:space="preserve">T0023-G10-BIO</t>
  </si>
  <si>
    <t xml:space="preserve">2.12. Simulación del funcionamiento de una cadena de transporte de electrones.</t>
  </si>
  <si>
    <t xml:space="preserve">Aplicar: usar un modelo. Razonar: predecir efectos de un bloqueo en un sistema</t>
  </si>
  <si>
    <t xml:space="preserve">T0024-G10-BIO</t>
  </si>
  <si>
    <t xml:space="preserve">Fotosíntesis</t>
  </si>
  <si>
    <t xml:space="preserve">2.13. Demostración experimental de la actividad fotosintética.</t>
  </si>
  <si>
    <t xml:space="preserve">Aplicar: medir y graficar. Razonar: interpretar la relación entre variables</t>
  </si>
  <si>
    <t xml:space="preserve">T0025-G10-BIO</t>
  </si>
  <si>
    <t xml:space="preserve">2.14. Experimentación con la extracción y separación de pigmentos fotosintéticos.</t>
  </si>
  <si>
    <t xml:space="preserve">Aplicar: calcular el factor de retención. Razonar: relacionar separación y polaridad</t>
  </si>
  <si>
    <t xml:space="preserve">T0026-G10-BIO</t>
  </si>
  <si>
    <t xml:space="preserve">2.15. Simulación de los procesos de fotofosforilación de la fotosíntesis.</t>
  </si>
  <si>
    <t xml:space="preserve">Aplicar: representar con un modelo. Razonar: comparar mecanismos</t>
  </si>
  <si>
    <t xml:space="preserve">T0027-G10-BIO</t>
  </si>
  <si>
    <t xml:space="preserve">3. Anatomía y fisiología humana</t>
  </si>
  <si>
    <t xml:space="preserve">Sistema nervioso</t>
  </si>
  <si>
    <t xml:space="preserve">3.1. Indagación de los tipos de reflejos y las funciones corporales controladas por el sistema nervioso somático y autónomo.</t>
  </si>
  <si>
    <t xml:space="preserve">Aplicar: representar el arco reflejo. Razonar: interpretar datos de tiempo de reacción</t>
  </si>
  <si>
    <t xml:space="preserve">T0028-G10-BIO</t>
  </si>
  <si>
    <t xml:space="preserve">3.2. Construcción de modelos de células nerviosas ajustados a sus funciones.</t>
  </si>
  <si>
    <t xml:space="preserve">Conocer: identificar estructuras. Aplicar: construir un modelo. Razonar: relacionar estructura y función</t>
  </si>
  <si>
    <t xml:space="preserve">T0029-G10-BIO</t>
  </si>
  <si>
    <t xml:space="preserve">3.3. Explicación de la anatomía general y funciones corporales reguladas por el sistema nervioso central y el sistema nervioso periférico.</t>
  </si>
  <si>
    <t xml:space="preserve">Conocer: ubicar estructuras. Aplicar: relacionar región y función. Razonar: justificar medidas de prevención</t>
  </si>
  <si>
    <t xml:space="preserve">T0030-G10-BIO</t>
  </si>
  <si>
    <t xml:space="preserve">Sistemas sensoriales</t>
  </si>
  <si>
    <t xml:space="preserve">3.4. Reconocimiento del papel de los órganos receptores para percibir el entorno.</t>
  </si>
  <si>
    <t xml:space="preserve">Conocer: identificar receptores. Aplicar: medir y comparar. Razonar: valorar riesgos</t>
  </si>
  <si>
    <t xml:space="preserve">T0031-G10-BIO</t>
  </si>
  <si>
    <t xml:space="preserve">3.5. Experimentación con el proceso de recepción de estímulos a través de distintos órganos receptores.</t>
  </si>
  <si>
    <t xml:space="preserve">Aplicar: registrar y graficar datos. Razonar: sintetizar un proceso y evaluar un método</t>
  </si>
  <si>
    <t xml:space="preserve">T0032-G10-BIO</t>
  </si>
  <si>
    <t xml:space="preserve">3.6. Simulación de los procesos fisiológicos de las neuronas sensoriales y motoras.</t>
  </si>
  <si>
    <t xml:space="preserve">Aplicar: usar un modelo. Razonar: predecir el efecto de una alteración sináptica</t>
  </si>
  <si>
    <t xml:space="preserve">T0033-G10-BIO</t>
  </si>
  <si>
    <t xml:space="preserve">Respuesta endocrina</t>
  </si>
  <si>
    <t xml:space="preserve">3.7. Indagación de la importancia de las hormonas y el concepto de órgano diana.</t>
  </si>
  <si>
    <t xml:space="preserve">Conocer: definir hormona y órgano diana. Aplicar: usar un modelo. Razonar: evaluar evidencia</t>
  </si>
  <si>
    <t xml:space="preserve">T0034-G10-BIO</t>
  </si>
  <si>
    <t xml:space="preserve">3.8. Identificación de las principales respuestas endocrinas y las glándulas involucradas.</t>
  </si>
  <si>
    <t xml:space="preserve">Conocer: ubicar glándulas. Aplicar: representar la retroalimentación. Razonar: justificar medidas de prevención</t>
  </si>
  <si>
    <t xml:space="preserve">T0035-G10-BIO</t>
  </si>
  <si>
    <t xml:space="preserve">3.9. Determinación de las respuestas a corto y largo plazo de las glándulas endocrinas ante estímulos del entorno.</t>
  </si>
  <si>
    <t xml:space="preserve">Aplicar: comparar respuestas. Razonar: evaluar fuentes y relacionar estímulo y respuesta</t>
  </si>
  <si>
    <t xml:space="preserve">T0036-G10-BIO</t>
  </si>
  <si>
    <t xml:space="preserve">Sistema inmunitario</t>
  </si>
  <si>
    <t xml:space="preserve">3.10. Reconocimiento de los componentes y líneas de defensa del sistema inmunitario con relación a la respuesta innata y adaptativa.</t>
  </si>
  <si>
    <t xml:space="preserve">Conocer: identificar componentes. Aplicar: interpretar una gráfica. Razonar: argumentar con evidencia</t>
  </si>
  <si>
    <t xml:space="preserve">T0037-G10-BIO</t>
  </si>
  <si>
    <t xml:space="preserve">3.11. Exploración de los impactos del estrés y del sueño en las respuestas inmunitarias.</t>
  </si>
  <si>
    <t xml:space="preserve">Aplicar: interpretar datos publicados. Razonar: justificar decisiones de autocuidado</t>
  </si>
  <si>
    <t xml:space="preserve">T0038-G10-BIO</t>
  </si>
  <si>
    <t xml:space="preserve">3.12. Investigación de las enfermedades que afectan el sistema inmunitario y sus consecuencias.</t>
  </si>
  <si>
    <t xml:space="preserve">Conocer: clasificar enfermedades. Aplicar: interpretar datos oficiales. Razonar: argumentar medidas de prevención</t>
  </si>
  <si>
    <t xml:space="preserve">T0039-G10-BIO</t>
  </si>
  <si>
    <t xml:space="preserve">4. Genética moderna</t>
  </si>
  <si>
    <t xml:space="preserve">Herencia no mendeliana</t>
  </si>
  <si>
    <t xml:space="preserve">4.1. Resolución de cruzamientos con dominancia incompleta y codominancia a partir de proporciones fenotípicas observadas.</t>
  </si>
  <si>
    <t xml:space="preserve">Aplicar: resolver cruzamientos y calcular proporciones. Razonar: distinguir patrones de herencia</t>
  </si>
  <si>
    <t xml:space="preserve">T0040-G10-BIO</t>
  </si>
  <si>
    <t xml:space="preserve">4.2. Análisis de la herencia de los grupos sanguíneos ABO y Rh como ejemplo de alelos múltiples y codominancia.</t>
  </si>
  <si>
    <t xml:space="preserve">Aplicar: determinar genotipos y fenotipos. Razonar: justificar la compatibilidad sanguínea</t>
  </si>
  <si>
    <t xml:space="preserve">T0041-G10-BIO</t>
  </si>
  <si>
    <t xml:space="preserve">Herencia ligada al sexo</t>
  </si>
  <si>
    <t xml:space="preserve">4.3. Resolución de problemas de herencia de rasgos ligados al cromosoma X en casos humanos y en Drosophila melanogaster.</t>
  </si>
  <si>
    <t xml:space="preserve">Aplicar: resolver cruzamientos ligados al sexo. Razonar: explicar diferencias de frecuencia entre sexos</t>
  </si>
  <si>
    <t xml:space="preserve">T0042-G10-BIO</t>
  </si>
  <si>
    <t xml:space="preserve">Análisis de genealogías</t>
  </si>
  <si>
    <t xml:space="preserve">4.4. Interpretación de genealogías publicadas o ficticias para inferir el modo de herencia de un rasgo.</t>
  </si>
  <si>
    <t xml:space="preserve">Aplicar: construir e interpretar pedigríes. Razonar: descartar hipótesis de herencia con evidencia</t>
  </si>
  <si>
    <t xml:space="preserve">T0043-G10-BIO</t>
  </si>
  <si>
    <t xml:space="preserve">Teoría cromosómica de la herencia</t>
  </si>
  <si>
    <t xml:space="preserve">4.5. Cálculo de frecuencias de recombinación entre genes ligados y construcción de mapas genéticos lineales.</t>
  </si>
  <si>
    <t xml:space="preserve">Aplicar: calcular frecuencias de recombinación. Razonar: deducir el orden de genes ligados</t>
  </si>
  <si>
    <t xml:space="preserve">T0044-G10-BIO</t>
  </si>
  <si>
    <t xml:space="preserve">Genética humana</t>
  </si>
  <si>
    <t xml:space="preserve">4.6. Análisis de cariotipos publicados y de casos ficticios de enfermedades hereditarias en el marco del consejo genético.</t>
  </si>
  <si>
    <t xml:space="preserve">Conocer: identificar cromosomas. Aplicar: interpretar cariotipos. Razonar: argumentar decisiones de consejo genético</t>
  </si>
  <si>
    <t xml:space="preserve">T0045-G10-BIO</t>
  </si>
  <si>
    <t xml:space="preserve">Genómica</t>
  </si>
  <si>
    <t xml:space="preserve">4.7. Discusión de los alcances del Proyecto Genoma Humano y de las implicaciones éticas, legales y sociales de la genómica.</t>
  </si>
  <si>
    <t xml:space="preserve">Conocer: describir la genómica. Razonar: evaluar implicaciones éticas y sociales</t>
  </si>
  <si>
    <t xml:space="preserve">T0046-G10-BIO</t>
  </si>
  <si>
    <t xml:space="preserve">5. Evolución</t>
  </si>
  <si>
    <t xml:space="preserve">Historia del pensamiento evolutivo</t>
  </si>
  <si>
    <t xml:space="preserve">5.1. Contraste entre las ideas fijistas y el transformismo de Lamarck a partir de textos históricos y ejemplos.</t>
  </si>
  <si>
    <t xml:space="preserve">Conocer: describir teorías históricas. Razonar: contrastar explicaciones con evidencia</t>
  </si>
  <si>
    <t xml:space="preserve">T0047-G10-BIO</t>
  </si>
  <si>
    <t xml:space="preserve">5.2. Análisis de los postulados de la teoría de la selección natural y del contexto histórico de su formulación por Darwin y Wallace.</t>
  </si>
  <si>
    <t xml:space="preserve">Conocer: enunciar postulados. Razonar: explicar el cambio evolutivo con la selección natural</t>
  </si>
  <si>
    <t xml:space="preserve">T0048-G10-BIO</t>
  </si>
  <si>
    <t xml:space="preserve">Evidencias de la evolución</t>
  </si>
  <si>
    <t xml:space="preserve">5.3. Cálculo de la edad de fósiles y rocas mediante la ley de desintegración radiactiva y los principios de la estratigrafía.</t>
  </si>
  <si>
    <t xml:space="preserve">Aplicar: calcular edades con la vida media. Razonar: elegir el método de datación adecuado</t>
  </si>
  <si>
    <t xml:space="preserve">T0049-G10-BIO</t>
  </si>
  <si>
    <t xml:space="preserve">5.4. Comparación de estructuras anatómicas de distintas especies para diferenciar homologías, analogías y estructuras vestigiales.</t>
  </si>
  <si>
    <t xml:space="preserve">Conocer: identificar estructuras. Razonar: inferir relaciones evolutivas a partir de la anatomía</t>
  </si>
  <si>
    <t xml:space="preserve">T0050-G10-BIO</t>
  </si>
  <si>
    <t xml:space="preserve">5.5. Comparación de etapas del desarrollo embrionario de vertebrados como evidencia de un ancestro común.</t>
  </si>
  <si>
    <t xml:space="preserve">Conocer: describir etapas embrionarias. Razonar: evaluar la validez de una evidencia histórica</t>
  </si>
  <si>
    <t xml:space="preserve">T0051-G10-BIO</t>
  </si>
  <si>
    <t xml:space="preserve">5.6. Análisis de la distribución geográfica de las especies y del Gran Intercambio Biótico Americano tras el cierre del istmo centroamericano.</t>
  </si>
  <si>
    <t xml:space="preserve">Aplicar: interpretar mapas de distribución. Razonar: explicar patrones biogeográficos</t>
  </si>
  <si>
    <t xml:space="preserve">T0052-G10-BIO</t>
  </si>
  <si>
    <t xml:space="preserve">5.7. Comparación de secuencias de proteínas conservadas entre especies para estimar su grado de parentesco.</t>
  </si>
  <si>
    <t xml:space="preserve">Aplicar: contar y comparar diferencias. Razonar: inferir parentesco a partir de datos moleculares</t>
  </si>
  <si>
    <t xml:space="preserve">T0053-G10-BIO</t>
  </si>
  <si>
    <t xml:space="preserve">Síntesis evolutiva y evolución humana</t>
  </si>
  <si>
    <t xml:space="preserve">5.8. Integración de la genética y la selección natural en la síntesis evolutiva moderna y análisis de la evidencia de la evolución humana.</t>
  </si>
  <si>
    <t xml:space="preserve">Conocer: identificar especies de homininos. Razonar: interpretar evidencias de la evolución humana</t>
  </si>
  <si>
    <t xml:space="preserve">T0054-G10-BIO</t>
  </si>
  <si>
    <t xml:space="preserve">6. Termodinámica y sistemas vivos</t>
  </si>
  <si>
    <t xml:space="preserve">Energía libre en los sistemas vivos</t>
  </si>
  <si>
    <t xml:space="preserve">6.1. Cálculo de la variación de energía libre de reacciones biológicas acopladas a la hidrólisis del ATP.</t>
  </si>
  <si>
    <t xml:space="preserve">Aplicar: calcular variaciones de energía libre. Razonar: justificar la espontaneidad de reacciones acopladas</t>
  </si>
  <si>
    <t xml:space="preserve">T0055-G10-BIO</t>
  </si>
  <si>
    <t xml:space="preserve">Metabolismo energético del organismo</t>
  </si>
  <si>
    <t xml:space="preserve">6.2. Medición indirecta de la tasa metabólica de semillas en germinación a partir de la producción de dióxido de carbono.</t>
  </si>
  <si>
    <t xml:space="preserve">Aplicar: calcular tasas de producción de CO2. Razonar: evaluar un diseño experimental</t>
  </si>
  <si>
    <t xml:space="preserve">T0056-G10-BIO</t>
  </si>
  <si>
    <t xml:space="preserve">6.3. Análisis de datos publicados de temperatura corporal y consumo de oxígeno de endotermos y ectotermos frente a la temperatura ambiental.</t>
  </si>
  <si>
    <t xml:space="preserve">Aplicar: interpretar gráficas fisiológicas. Razonar: comparar estrategias de termorregulación</t>
  </si>
  <si>
    <t xml:space="preserve">T0057-G10-BIO</t>
  </si>
  <si>
    <t xml:space="preserve">Tamaño corporal y energía</t>
  </si>
  <si>
    <t xml:space="preserve">6.4. Análisis de la relación entre masa corporal y tasa metabólica mediante gráficas logarítmicas y la ley de Kleiber.</t>
  </si>
  <si>
    <t xml:space="preserve">Aplicar: calcular relaciones S/V y ajustar una ley de potencia. Razonar: explicar el efecto del tamaño corporal</t>
  </si>
  <si>
    <t xml:space="preserve">T0058-G10-BIO</t>
  </si>
  <si>
    <t xml:space="preserve">Energía en los ecosistemas</t>
  </si>
  <si>
    <t xml:space="preserve">6.5. Cálculo de la eficiencia de transferencia de energía entre niveles tróficos con datos de un ecosistema de manglar.</t>
  </si>
  <si>
    <t xml:space="preserve">Aplicar: calcular eficiencias de transferencia. Razonar: argumentar la longitud de las cadenas tróficas</t>
  </si>
  <si>
    <t xml:space="preserve">T0059-G10-BIO</t>
  </si>
  <si>
    <t xml:space="preserve">7. Química de los seres vivos (ciclos de Krebs, Calvin y glucólisis)</t>
  </si>
  <si>
    <t xml:space="preserve">Catabolismo de la glucosa</t>
  </si>
  <si>
    <t xml:space="preserve">7.1. Representación de las etapas de la glucólisis y cálculo de su balance neto de ATP y NADH.</t>
  </si>
  <si>
    <t xml:space="preserve">Conocer: identificar etapas. Aplicar: calcular balances. Razonar: justificar la regeneración de NAD+</t>
  </si>
  <si>
    <t xml:space="preserve">T0060-G10-BIO</t>
  </si>
  <si>
    <t xml:space="preserve">7.2. Análisis de la descarboxilación oxidativa del piruvato y del ciclo de Krebs como fuente de coenzimas reducidas y dióxido de carbono.</t>
  </si>
  <si>
    <t xml:space="preserve">Aplicar: cuantificar productos del ciclo. Razonar: relacionar el ciclo de Krebs con el consumo de oxígeno</t>
  </si>
  <si>
    <t xml:space="preserve">T0061-G10-BIO</t>
  </si>
  <si>
    <t xml:space="preserve">7.3. Cálculo del rendimiento energético total de la oxidación completa de una molécula de glucosa.</t>
  </si>
  <si>
    <t xml:space="preserve">Aplicar: calcular el rendimiento de ATP. Razonar: evaluar la eficiencia energética</t>
  </si>
  <si>
    <t xml:space="preserve">T0062-G10-BIO</t>
  </si>
  <si>
    <t xml:space="preserve">Anabolismo fotosintético</t>
  </si>
  <si>
    <t xml:space="preserve">7.4. Análisis de las fases de fijación, reducción y regeneración del ciclo de Calvin y del papel de la enzima RuBisCO.</t>
  </si>
  <si>
    <t xml:space="preserve">Conocer: identificar las fases. Aplicar: balancear el ciclo. Razonar: explicar la fotorrespiración</t>
  </si>
  <si>
    <t xml:space="preserve">T0063-G10-BIO</t>
  </si>
  <si>
    <t xml:space="preserve">7.5. Comparación experimental y anatómica de las estrategias fotosintéticas C3, C4 y CAM en plantas cultivadas y silvestres.</t>
  </si>
  <si>
    <t xml:space="preserve">Aplicar: comparar rutas fotosintéticas. Razonar: evaluar evidencia experimental de la ruta CAM</t>
  </si>
  <si>
    <t xml:space="preserve">T0064-G10-BIO</t>
  </si>
  <si>
    <t xml:space="preserve">Integración del metabolismo</t>
  </si>
  <si>
    <t xml:space="preserve">7.6. Integración de las rutas catabólicas y anabólicas en un mapa metabólico y análisis de sus puntos de regulación.</t>
  </si>
  <si>
    <t xml:space="preserve">Conocer: diferenciar catabolismo y anabolismo. Razonar: explicar la regulación metabólica</t>
  </si>
  <si>
    <t xml:space="preserve">T0065-G10-BIO</t>
  </si>
  <si>
    <t xml:space="preserve">8. Ciclos biogeoquímicos en la Tierra</t>
  </si>
  <si>
    <t xml:space="preserve">La Tierra como sistema</t>
  </si>
  <si>
    <t xml:space="preserve">8.1. Modelación de los ciclos biogeoquímicos como sistemas de reservorios y flujos con cálculo de tiempos de residencia.</t>
  </si>
  <si>
    <t xml:space="preserve">Aplicar: calcular tiempos de residencia. Razonar: predecir cambios en reservorios</t>
  </si>
  <si>
    <t xml:space="preserve">T0066-G10-BIO</t>
  </si>
  <si>
    <t xml:space="preserve">Ciclo del agua</t>
  </si>
  <si>
    <t xml:space="preserve">8.2. Análisis del balance hídrico de la cuenca del río Lempa con datos de precipitación, evapotranspiración y caudal.</t>
  </si>
  <si>
    <t xml:space="preserve">Aplicar: calcular un balance hídrico. Razonar: interpretar variaciones estacionales del caudal</t>
  </si>
  <si>
    <t xml:space="preserve">T0067-G10-BIO</t>
  </si>
  <si>
    <t xml:space="preserve">Ciclo del carbono</t>
  </si>
  <si>
    <t xml:space="preserve">8.3. Interpretación de la serie de concentración de dióxido de carbono atmosférico de Mauna Loa y de los flujos globales del carbono.</t>
  </si>
  <si>
    <t xml:space="preserve">Aplicar: graficar series temporales y calcular tasas. Razonar: explicar oscilación y tendencia</t>
  </si>
  <si>
    <t xml:space="preserve">T0068-G10-BIO</t>
  </si>
  <si>
    <t xml:space="preserve">Ciclo del nitrógeno</t>
  </si>
  <si>
    <t xml:space="preserve">8.4. Observación de nódulos radicales en leguminosas y análisis de los procesos microbianos del ciclo del nitrógeno.</t>
  </si>
  <si>
    <t xml:space="preserve">Conocer: identificar procesos. Aplicar: comparar tratamientos. Razonar: relacionar la fijación con la productividad</t>
  </si>
  <si>
    <t xml:space="preserve">T0069-G10-BIO</t>
  </si>
  <si>
    <t xml:space="preserve">Ciclos del fósforo y del azufre</t>
  </si>
  <si>
    <t xml:space="preserve">8.5. Comparación de los ciclos del fósforo y del azufre con énfasis en el aporte del vulcanismo salvadoreño.</t>
  </si>
  <si>
    <t xml:space="preserve">Conocer: describir los ciclos. Aplicar: interpretar datos de emisiones. Razonar: evaluar la calidad de las fuentes</t>
  </si>
  <si>
    <t xml:space="preserve">T0070-G10-BIO</t>
  </si>
  <si>
    <t xml:space="preserve">Alteraciones humanas de los ciclos</t>
  </si>
  <si>
    <t xml:space="preserve">8.6. Análisis de datos de calidad del agua de lagos salvadoreños para explicar la eutrofización y las floraciones de cianobacterias.</t>
  </si>
  <si>
    <t xml:space="preserve">Aplicar: interpretar datos de calidad del agua. Razonar: argumentar causas y proponer soluciones</t>
  </si>
  <si>
    <t xml:space="preserve">T0071-G11-BIO</t>
  </si>
  <si>
    <t xml:space="preserve">Biología 11.°</t>
  </si>
  <si>
    <t xml:space="preserve">1. Ecología y ambiente</t>
  </si>
  <si>
    <t xml:space="preserve">Flujo de energía y materiales en los ecosistemas</t>
  </si>
  <si>
    <t xml:space="preserve">1.1. Estimación de la productividad y DBO en las comunidades biológicas.</t>
  </si>
  <si>
    <t xml:space="preserve">Conocer: definir productividad y DBO. Aplicar: calcular productividad neta y DBO₅. Razonar: interpretar la calidad del agua</t>
  </si>
  <si>
    <t xml:space="preserve">T0072-G11-BIO</t>
  </si>
  <si>
    <t xml:space="preserve">1.2. Reconocimiento de procesos biológicos que forman parte de los ciclos biogeoquímicos.</t>
  </si>
  <si>
    <t xml:space="preserve">Conocer: reconocer procesos biológicos. Aplicar: clasificar procesos por ciclo. Razonar: relacionar organismos con flujos de materia</t>
  </si>
  <si>
    <t xml:space="preserve">T0073-G11-BIO</t>
  </si>
  <si>
    <t xml:space="preserve">1.3. Representación de los ciclos biogeoquímicos.</t>
  </si>
  <si>
    <t xml:space="preserve">Aplicar: representar un ciclo en un ecosistema concreto. Razonar: explicar las consecuencias de alterar el ciclo</t>
  </si>
  <si>
    <t xml:space="preserve">T0074-G11-BIO</t>
  </si>
  <si>
    <t xml:space="preserve">Problemática ambiental de El Salvador</t>
  </si>
  <si>
    <t xml:space="preserve">1.4. Indagación de problemáticas ambientales asociadas con la deforestación, la contaminación y la extracción de fauna o flora en la comunidad.</t>
  </si>
  <si>
    <t xml:space="preserve">Conocer: identificar problemáticas ambientales. Razonar: relacionar causas y consecuencias con datos</t>
  </si>
  <si>
    <t xml:space="preserve">T0075-G11-BIO</t>
  </si>
  <si>
    <t xml:space="preserve">1.5. Análisis del impacto de un cambio en el uso del suelo y los factores que llevan a su degradación.</t>
  </si>
  <si>
    <t xml:space="preserve">Aplicar: calcular porcentajes de cambio de cobertura. Razonar: explicar los factores de degradación del suelo</t>
  </si>
  <si>
    <t xml:space="preserve">T0076-G11-BIO</t>
  </si>
  <si>
    <t xml:space="preserve">1.6. Discusión sobre el abordaje de problemáticas ambientales a través de la planificación y gestión territorial.</t>
  </si>
  <si>
    <t xml:space="preserve">Conocer: identificar herramientas de gestión territorial. Razonar: argumentar su valor ambiental</t>
  </si>
  <si>
    <t xml:space="preserve">T0077-G11-BIO</t>
  </si>
  <si>
    <t xml:space="preserve">Problemática ambiental global</t>
  </si>
  <si>
    <t xml:space="preserve">1.7. Exploración de los recursos naturales más explotados y los principales residuos generados a nivel mundial.</t>
  </si>
  <si>
    <t xml:space="preserve">Conocer: reconocer recursos sobreexplotados y tipos de residuos. Aplicar: interpretar datos mundiales</t>
  </si>
  <si>
    <t xml:space="preserve">T0078-G11-BIO</t>
  </si>
  <si>
    <t xml:space="preserve">1.8. Reconocimiento de las causas y consecuencias del cambio climático antropogénico.</t>
  </si>
  <si>
    <t xml:space="preserve">Aplicar: graficar series temporales. Razonar: relacionar causas y consecuencias del cambio climático</t>
  </si>
  <si>
    <t xml:space="preserve">T0079-G11-BIO</t>
  </si>
  <si>
    <t xml:space="preserve">1.9. Análisis de las causas y los impactos globales de la pérdida de biodiversidad.</t>
  </si>
  <si>
    <t xml:space="preserve">Conocer: identificar causas de pérdida de biodiversidad. Razonar: argumentar con tasas de extinción</t>
  </si>
  <si>
    <t xml:space="preserve">T0080-G11-BIO</t>
  </si>
  <si>
    <t xml:space="preserve">Restauración de ecosistemas</t>
  </si>
  <si>
    <t xml:space="preserve">1.10. Indagación de los mecanismos de restauración de ecosistemas.</t>
  </si>
  <si>
    <t xml:space="preserve">Conocer: identificar tipos de restauración. Razonar: seleccionar el mecanismo adecuado a un caso</t>
  </si>
  <si>
    <t xml:space="preserve">T0081-G11-BIO</t>
  </si>
  <si>
    <t xml:space="preserve">1.11. Exploración del estado de regeneración de los ecosistemas.</t>
  </si>
  <si>
    <t xml:space="preserve">Aplicar: calcular índices de diversidad. Razonar: evaluar un método de monitoreo</t>
  </si>
  <si>
    <t xml:space="preserve">T0082-G11-BIO</t>
  </si>
  <si>
    <t xml:space="preserve">1.12. Reconocimiento de estrategias de restauración de ecosistemas.</t>
  </si>
  <si>
    <t xml:space="preserve">Conocer: reconocer estrategias de restauración. Razonar: justificar una propuesta de comunidad sostenible</t>
  </si>
  <si>
    <t xml:space="preserve">T0083-G11-BIO</t>
  </si>
  <si>
    <t xml:space="preserve">2. Biotecnología microbiana y los virus</t>
  </si>
  <si>
    <t xml:space="preserve">Introducción a la biotecnología microbiana</t>
  </si>
  <si>
    <t xml:space="preserve">2.1. Indagación del concepto y aplicaciones de la biotecnología microbiana a través de la observación de productos comerciales.</t>
  </si>
  <si>
    <t xml:space="preserve">Conocer: definir biotecnología microbiana. Aplicar: clasificar productos y procesos por su campo de aplicación</t>
  </si>
  <si>
    <t xml:space="preserve">T0084-G11-BIO</t>
  </si>
  <si>
    <t xml:space="preserve">2.2. Observación de microorganismos de interés industrial o médico empleando técnicas de tinción.</t>
  </si>
  <si>
    <t xml:space="preserve">Conocer: identificar morfología microbiana. Aplicar: preparar y observar muestras teñidas. Razonar: distinguir grupos</t>
  </si>
  <si>
    <t xml:space="preserve">T0085-G11-BIO</t>
  </si>
  <si>
    <t xml:space="preserve">2.3. Reconocimiento de las aplicaciones de las técnicas de tinción microbiana.</t>
  </si>
  <si>
    <t xml:space="preserve">Conocer: describir técnicas de tinción. Razonar: justificar su utilidad diagnóstica e industrial</t>
  </si>
  <si>
    <t xml:space="preserve">T0086-G11-BIO</t>
  </si>
  <si>
    <t xml:space="preserve">Cultivo de microorganismos</t>
  </si>
  <si>
    <t xml:space="preserve">2.4. Demostración práctica de las condiciones de crecimiento y medios de cultivo apropiados para distintos grupos de microrganismos.</t>
  </si>
  <si>
    <t xml:space="preserve">Aplicar: controlar variables en un diseño. Razonar: relacionar condiciones con proliferación microbiana</t>
  </si>
  <si>
    <t xml:space="preserve">T0087-G11-BIO</t>
  </si>
  <si>
    <t xml:space="preserve">2.5. Elaboración de cultivos bacterianos en medios sólidos.</t>
  </si>
  <si>
    <t xml:space="preserve">Aplicar: seguir un procedimiento aséptico. Razonar: evaluar la calidad de un cultivo</t>
  </si>
  <si>
    <t xml:space="preserve">T0088-G11-BIO</t>
  </si>
  <si>
    <t xml:space="preserve">2.6. Estimación de la cantidad de colonias en placas de cultivo.</t>
  </si>
  <si>
    <t xml:space="preserve">Aplicar: calcular UFC/mL con diluciones seriadas. Razonar: evaluar la validez de un recuento</t>
  </si>
  <si>
    <t xml:space="preserve">T0089-G11-BIO</t>
  </si>
  <si>
    <t xml:space="preserve">Aplicaciones agrícolas y alimentarias</t>
  </si>
  <si>
    <t xml:space="preserve">2.7. Indagación de la importancia demetabolismo bacteriano en el ambiente y sus aplicaciones en agricultura y alimentación..</t>
  </si>
  <si>
    <t xml:space="preserve">Conocer: identificar aplicaciones del metabolismo bacteriano. Razonar: justificar su uso en la agricultura</t>
  </si>
  <si>
    <t xml:space="preserve">T0090-G11-BIO</t>
  </si>
  <si>
    <t xml:space="preserve">2.8. Aplicación de tecnologías basadas en la fermentación.</t>
  </si>
  <si>
    <t xml:space="preserve">Aplicar: seguir un proceso fermentativo y graficar pH-tiempo. Razonar: interpretar el fin de la fermentación</t>
  </si>
  <si>
    <t xml:space="preserve">T0091-G11-BIO</t>
  </si>
  <si>
    <t xml:space="preserve">2.9. Explicación de los mecanismos de fermentación y sus aplicaciones.</t>
  </si>
  <si>
    <t xml:space="preserve">Conocer: describir rutas fermentativas. Aplicar: representar el balance energético. Razonar: relacionar con aplicaciones</t>
  </si>
  <si>
    <t xml:space="preserve">T0092-G11-BIO</t>
  </si>
  <si>
    <t xml:space="preserve">Aplicaciones en medicina y farmacología</t>
  </si>
  <si>
    <t xml:space="preserve">2.10. Exploración del rol de las vacunas y de las pruebas de detección clínica en la prevención y diagnóstico de enfermedades de origen microbiano.</t>
  </si>
  <si>
    <t xml:space="preserve">Conocer: reconocer tipos de vacunas y pruebas diagnósticas. Razonar: evaluar información sobre su seguridad</t>
  </si>
  <si>
    <t xml:space="preserve">T0093-G11-BIO</t>
  </si>
  <si>
    <t xml:space="preserve">2.11. Visualización de respuestas macroscópicas de microorganismos frente a antibióticos, antimicóticos u organismos antagonistas.</t>
  </si>
  <si>
    <t xml:space="preserve">Aplicar: medir halos de inhibición. Razonar: explicar el rol de antimicrobianos, probióticos y prebióticos</t>
  </si>
  <si>
    <t xml:space="preserve">T0094-G11-BIO</t>
  </si>
  <si>
    <t xml:space="preserve">2.12. Exposición sobre los mecanismos de acción de las sustancias antimicrobianas más comunes.</t>
  </si>
  <si>
    <t xml:space="preserve">Conocer: describir mecanismos de acción. Aplicar: representar un mecanismo con un modelo</t>
  </si>
  <si>
    <t xml:space="preserve">T0095-G11-BIO</t>
  </si>
  <si>
    <t xml:space="preserve">Los virus</t>
  </si>
  <si>
    <t xml:space="preserve">2.13. Caracterización de la estructura y clasificación de los virus según su material genético y su envoltura.</t>
  </si>
  <si>
    <t xml:space="preserve">Conocer: describir componentes virales. Aplicar: clasificar virus por genoma y envoltura</t>
  </si>
  <si>
    <t xml:space="preserve">T0096-G11-BIO</t>
  </si>
  <si>
    <t xml:space="preserve">2.14. Comparación de los ciclos de replicación viral lítico y lisogénico.</t>
  </si>
  <si>
    <t xml:space="preserve">Conocer: ordenar etapas de replicación. Razonar: comparar ciclos e interpretar una curva de crecimiento viral</t>
  </si>
  <si>
    <t xml:space="preserve">T0097-G11-BIO</t>
  </si>
  <si>
    <t xml:space="preserve">2.15. Análisis del uso de bacteriófagos y vectores virales en la biotecnología médica.</t>
  </si>
  <si>
    <t xml:space="preserve">Conocer: describir aplicaciones biotecnológicas de los virus. Razonar: evaluar ventajas y riesgos</t>
  </si>
  <si>
    <t xml:space="preserve">T0098-G11-BIO</t>
  </si>
  <si>
    <t xml:space="preserve">3. Biotecnología vegetal y agroindustria</t>
  </si>
  <si>
    <t xml:space="preserve">Introducción a la biotecnología vegetal</t>
  </si>
  <si>
    <t xml:space="preserve">3.1. Indagación del concepto y aplicaciones de la biotecnología vegetal.</t>
  </si>
  <si>
    <t xml:space="preserve">Conocer: definir biotecnología vegetal. Aplicar: ejemplificar aplicaciones en cultivos salvadoreños</t>
  </si>
  <si>
    <t xml:space="preserve">T0099-G11-BIO</t>
  </si>
  <si>
    <t xml:space="preserve">3.2. Identificación de tejidos y células vegetales aplicando técnicas de tinción.</t>
  </si>
  <si>
    <t xml:space="preserve">Aplicar: aplicar técnicas de tinción. Razonar: relacionar estructura y función de tejidos vegetales</t>
  </si>
  <si>
    <t xml:space="preserve">T0100-G11-BIO</t>
  </si>
  <si>
    <t xml:space="preserve">3.3. Modelación de las características de la célula vegetal.</t>
  </si>
  <si>
    <t xml:space="preserve">Conocer: identificar estructuras de la célula vegetal. Aplicar: representar con un modelo</t>
  </si>
  <si>
    <t xml:space="preserve">T0101-G11-BIO</t>
  </si>
  <si>
    <t xml:space="preserve">Reproducción y mejoramiento vegetal</t>
  </si>
  <si>
    <t xml:space="preserve">3.4. Indagación de la importancia del tipo de reproducción en las plantas para la producción agrícola.</t>
  </si>
  <si>
    <t xml:space="preserve">Conocer: distinguir tipos de reproducción. Razonar: relacionarlos con la producción agrícola</t>
  </si>
  <si>
    <t xml:space="preserve">T0102-G11-BIO</t>
  </si>
  <si>
    <t xml:space="preserve">3.5. Experimentación con técnicas de propagación vegetativa.</t>
  </si>
  <si>
    <t xml:space="preserve">Aplicar: ejecutar una técnica de propagación. Razonar: evaluar un diseño experimental</t>
  </si>
  <si>
    <t xml:space="preserve">T0103-G11-BIO</t>
  </si>
  <si>
    <t xml:space="preserve">3.6. Comparación entre el mejoramiento genético tradicional y contemporáneo de las plantas.</t>
  </si>
  <si>
    <t xml:space="preserve">Conocer: describir técnicas de mejoramiento. Razonar: comparar métodos tradicionales y contemporáneos</t>
  </si>
  <si>
    <t xml:space="preserve">T0104-G11-BIO</t>
  </si>
  <si>
    <t xml:space="preserve">Nutrición de las plantas</t>
  </si>
  <si>
    <t xml:space="preserve">3.7. Indagación en el proceso de nutrición de las plantas y el papel de los fertilizantes.</t>
  </si>
  <si>
    <t xml:space="preserve">Conocer: clasificar nutrientes. Aplicar: interpretar fórmulas de fertilizantes. Razonar: diagnosticar deficiencias</t>
  </si>
  <si>
    <t xml:space="preserve">T0105-G11-BIO</t>
  </si>
  <si>
    <t xml:space="preserve">3.8. Experimentación con técnicas de cultivo de plantas en distintos sustratos.</t>
  </si>
  <si>
    <t xml:space="preserve">Aplicar: establecer un cultivo en sustrato. Razonar: comparar tratamientos con datos de crecimiento</t>
  </si>
  <si>
    <t xml:space="preserve">T0106-G11-BIO</t>
  </si>
  <si>
    <t xml:space="preserve">3.9. Reconocimiento de los efectos de los cambios del pH del suelo en la nutrición mineral de las plantas.</t>
  </si>
  <si>
    <t xml:space="preserve">Aplicar: medir e interpretar el pH del suelo. Razonar: relacionarlo con la disponibilidad de nutrientes</t>
  </si>
  <si>
    <t xml:space="preserve">T0107-G11-BIO</t>
  </si>
  <si>
    <t xml:space="preserve">Desarrollo vegetal</t>
  </si>
  <si>
    <t xml:space="preserve">3.10. Indagación de la existencia de hormonas vegetales.</t>
  </si>
  <si>
    <t xml:space="preserve">Conocer: definir hormona vegetal. Razonar: interpretar experimentos clásicos de fototropismo</t>
  </si>
  <si>
    <t xml:space="preserve">T0108-G11-BIO</t>
  </si>
  <si>
    <t xml:space="preserve">3.11. Experimentación con los efectos de hormonas vegetales y fitorreguladores en el desarrollo de las plantas.</t>
  </si>
  <si>
    <t xml:space="preserve">Aplicar: comparar tratamientos con control. Razonar: explicar efectos de fitorreguladores en el desarrollo</t>
  </si>
  <si>
    <t xml:space="preserve">T0109-G11-BIO</t>
  </si>
  <si>
    <t xml:space="preserve">3.12. Reconocimiento de los efectos del fotoperíodo en plantas.</t>
  </si>
  <si>
    <t xml:space="preserve">Aplicar: graficar la duración del día. Razonar: explicar la floración según el fotoperíodo</t>
  </si>
  <si>
    <t xml:space="preserve">T0110-G11-BIO</t>
  </si>
  <si>
    <t xml:space="preserve">Cultivo in vitro de plantas</t>
  </si>
  <si>
    <t xml:space="preserve">3.13. Preparación de las condiciones para un cultivo in vitro de plantas.</t>
  </si>
  <si>
    <t xml:space="preserve">Conocer: identificar condiciones de un cultivo in vitro. Razonar: generalizar los requisitos de asepsia y nutrición</t>
  </si>
  <si>
    <t xml:space="preserve">T0111-G11-BIO</t>
  </si>
  <si>
    <t xml:space="preserve">3.14. Experimentación con métodos caseros de cultivo in vitro de plantas.</t>
  </si>
  <si>
    <t xml:space="preserve">Aplicar: ejecutar un método casero de cultivo in vitro. Razonar: evaluar la contaminación de los frascos</t>
  </si>
  <si>
    <t xml:space="preserve">T0112-G11-BIO</t>
  </si>
  <si>
    <t xml:space="preserve">3.15. Caracterización de los métodos para regeneración in vitro de plantas.</t>
  </si>
  <si>
    <t xml:space="preserve">Conocer: caracterizar métodos de regeneración. Aplicar: calcular tasas de multiplicación</t>
  </si>
  <si>
    <t xml:space="preserve">T0113-G11-BIO</t>
  </si>
  <si>
    <t xml:space="preserve">Manejo de germoplasma</t>
  </si>
  <si>
    <t xml:space="preserve">3.16. Indagación de la importancia de la conservación del germoplasma.</t>
  </si>
  <si>
    <t xml:space="preserve">Conocer: definir germoplasma. Razonar: justificar su conservación</t>
  </si>
  <si>
    <t xml:space="preserve">T0114-G11-BIO</t>
  </si>
  <si>
    <t xml:space="preserve">3.17. Experimentación con métodos de almacenamiento de semillas.</t>
  </si>
  <si>
    <t xml:space="preserve">Aplicar: calcular porcentajes de germinación. Razonar: explicar condiciones de almacenamiento adecuadas</t>
  </si>
  <si>
    <t xml:space="preserve">T0115-G11-BIO</t>
  </si>
  <si>
    <t xml:space="preserve">Manejo de plagas</t>
  </si>
  <si>
    <t xml:space="preserve">3.18. Clasificación de los agroquímicos para el control de plagas según su uso y etiquetado de seguridad.</t>
  </si>
  <si>
    <t xml:space="preserve">Conocer: clasificar agroquímicos por uso. Aplicar: interpretar etiquetado de seguridad. Razonar: comparar riesgos</t>
  </si>
  <si>
    <t xml:space="preserve">T0116-G11-BIO</t>
  </si>
  <si>
    <t xml:space="preserve">4. Bases genéticas de la evolución</t>
  </si>
  <si>
    <t xml:space="preserve">Material genético y genoma</t>
  </si>
  <si>
    <t xml:space="preserve">4.1. Demostración de las diferencias en cuanto al tamaño del genoma y ploidía entre especies.</t>
  </si>
  <si>
    <t xml:space="preserve">Aplicar: representar datos en escala logarítmica. Razonar: justificar la ausencia de correlación entre tamaño del genoma y complejidad</t>
  </si>
  <si>
    <t xml:space="preserve">T0117-G11-BIO</t>
  </si>
  <si>
    <t xml:space="preserve">4.2. Comprobación de las propiedades fisicoquímicas del material genético y la organización cromosómica del ADN.</t>
  </si>
  <si>
    <t xml:space="preserve">Conocer: describir la organización cromosómica. Aplicar: relacionar pasos con propiedades. Razonar: evaluar un procedimiento</t>
  </si>
  <si>
    <t xml:space="preserve">T0118-G11-BIO</t>
  </si>
  <si>
    <t xml:space="preserve">4.3. Búsqueda y tamizaje de información genética en bases de datos biológicas.</t>
  </si>
  <si>
    <t xml:space="preserve">Aplicar: buscar y obtener secuencias. Razonar: evaluar la calidad de un registro genético</t>
  </si>
  <si>
    <t xml:space="preserve">T0119-G11-BIO</t>
  </si>
  <si>
    <t xml:space="preserve">Ciclo celular</t>
  </si>
  <si>
    <t xml:space="preserve">4.4. Exploración del ciclo celular y su regulación.</t>
  </si>
  <si>
    <t xml:space="preserve">Conocer: identificar fases del ciclo. Aplicar: representar la replicación. Razonar: predecir efectos de fallas en los puntos de control</t>
  </si>
  <si>
    <t xml:space="preserve">T0120-G11-BIO</t>
  </si>
  <si>
    <t xml:space="preserve">4.5. Simulación de los principales procesos de la división mitótica.</t>
  </si>
  <si>
    <t xml:space="preserve">Aplicar: calcular el índice mitótico. Razonar: inferir duraciones relativas a partir de frecuencias</t>
  </si>
  <si>
    <t xml:space="preserve">T0121-G11-BIO</t>
  </si>
  <si>
    <t xml:space="preserve">4.6. Uso de herramientas virtuales para explorar la división meiótica.</t>
  </si>
  <si>
    <t xml:space="preserve">Conocer: describir las fases de la meiosis. Aplicar: calcular combinaciones. Razonar: relacionar meiosis con variabilidad</t>
  </si>
  <si>
    <t xml:space="preserve">T0122-G11-BIO</t>
  </si>
  <si>
    <t xml:space="preserve">Expresión génica</t>
  </si>
  <si>
    <t xml:space="preserve">4.7. Reconocimiento de procesos cotidianos que involucran el control de la expresión génica.</t>
  </si>
  <si>
    <t xml:space="preserve">Conocer: definir expresión génica. Aplicar: ejemplificar su control. Razonar: evaluar afirmaciones pseudocientíficas</t>
  </si>
  <si>
    <t xml:space="preserve">T0123-G11-BIO</t>
  </si>
  <si>
    <t xml:space="preserve">4.8. Simulación de los procesos de transcripción y traducción.</t>
  </si>
  <si>
    <t xml:space="preserve">Aplicar: transcribir y traducir secuencias. Razonar: predecir efectos de cambios en la secuencia</t>
  </si>
  <si>
    <t xml:space="preserve">T0124-G11-BIO</t>
  </si>
  <si>
    <t xml:space="preserve">4.9. Explicación de los procesos de transcripción y traducción.</t>
  </si>
  <si>
    <t xml:space="preserve">Conocer: usar la terminología científica. Razonar: explicar el flujo de información genética</t>
  </si>
  <si>
    <t xml:space="preserve">T0125-G11-BIO</t>
  </si>
  <si>
    <t xml:space="preserve">Mecanismos evolutivos</t>
  </si>
  <si>
    <t xml:space="preserve">4.10. Reconocimiento del proceso de recombinación genética y su papel como mecanismo evolutivo.</t>
  </si>
  <si>
    <t xml:space="preserve">Aplicar: calcular frecuencias de recombinación. Razonar: inferir ligamiento a partir de datos</t>
  </si>
  <si>
    <t xml:space="preserve">T0126-G11-BIO</t>
  </si>
  <si>
    <t xml:space="preserve">4.11. Reconocimiento del papel de las mutaciones en la adaptabilidad y en el incremento de la diversidad genética.</t>
  </si>
  <si>
    <t xml:space="preserve">Conocer: clasificar mutaciones. Razonar: argumentar su papel en la adaptabilidad</t>
  </si>
  <si>
    <t xml:space="preserve">T0127-G11-BIO</t>
  </si>
  <si>
    <t xml:space="preserve">4.12. Análisis de los mecanismos de selección natural, artificial y sexual a partir de casos.</t>
  </si>
  <si>
    <t xml:space="preserve">Aplicar: clasificar casos de selección. Razonar: justificar efectos sobre la variabilidad genética</t>
  </si>
  <si>
    <t xml:space="preserve">T0128-G11-BIO</t>
  </si>
  <si>
    <t xml:space="preserve">Transferencia genética horizontal (TGH)</t>
  </si>
  <si>
    <t xml:space="preserve">4.13. Reconocimiento de mecanismos de transducción y transfección celular.</t>
  </si>
  <si>
    <t xml:space="preserve">Conocer: identificar mecanismos de transferencia. Aplicar: representarlos en diagramas</t>
  </si>
  <si>
    <t xml:space="preserve">T0129-G11-BIO</t>
  </si>
  <si>
    <t xml:space="preserve">4.14. Simulación de un proceso de transferencia genética horizontal (TGH).</t>
  </si>
  <si>
    <t xml:space="preserve">Aplicar: modelar la transferencia horizontal. Razonar: evaluar las limitaciones de un modelo</t>
  </si>
  <si>
    <t xml:space="preserve">T0130-G11-BIO</t>
  </si>
  <si>
    <t xml:space="preserve">4.15. Explicación de mecanismos de transgénesis y edición genética.</t>
  </si>
  <si>
    <t xml:space="preserve">Aplicar: representar un mecanismo de edición genética. Razonar: evaluar implicaciones éticas</t>
  </si>
  <si>
    <t xml:space="preserve">T0131-G11-BIO</t>
  </si>
  <si>
    <t xml:space="preserve">5. Análisis de biodiversidad</t>
  </si>
  <si>
    <t xml:space="preserve">Biodiversidad genética poblacional</t>
  </si>
  <si>
    <t xml:space="preserve">5.1. Determinación de las proporciones genotípicas y fenotípicas a partir de cruces genéticos.</t>
  </si>
  <si>
    <t xml:space="preserve">Aplicar: construir cuadros de Punnett y calcular proporciones. Razonar: justificar las condiciones del modelo</t>
  </si>
  <si>
    <t xml:space="preserve">T0132-G11-BIO</t>
  </si>
  <si>
    <t xml:space="preserve">5.2. Cálculo de las frecuencias genotípicas y alélicas para una población.</t>
  </si>
  <si>
    <t xml:space="preserve">Aplicar: calcular frecuencias genotípicas y alélicas. Razonar: evaluar el efecto del tamaño de muestra</t>
  </si>
  <si>
    <t xml:space="preserve">T0133-G11-BIO</t>
  </si>
  <si>
    <t xml:space="preserve">5.3. Resolución de problemas que involucran la determinación de frecuencias genotípicas y alélicas.</t>
  </si>
  <si>
    <t xml:space="preserve">Aplicar: resolver problemas de frecuencias. Razonar: interpretar resultados en contextos de conservación</t>
  </si>
  <si>
    <t xml:space="preserve">T0134-G11-BIO</t>
  </si>
  <si>
    <t xml:space="preserve">Origen común de la vida</t>
  </si>
  <si>
    <t xml:space="preserve">5.4. Indagación de las características de los seres vivos y las evidencias que apuntan a su origen común.</t>
  </si>
  <si>
    <t xml:space="preserve">Conocer: enumerar características de los seres vivos. Razonar: relacionarlas con evidencias de origen común</t>
  </si>
  <si>
    <t xml:space="preserve">T0135-G11-BIO</t>
  </si>
  <si>
    <t xml:space="preserve">5.5. Relación de las variantes genéticas con los conceptos de especie, subespecie, variedad y cepa.</t>
  </si>
  <si>
    <t xml:space="preserve">Conocer: definir categorías infraespecíficas. Razonar: clasificar casos con criterios genéticos</t>
  </si>
  <si>
    <t xml:space="preserve">T0136-G11-BIO</t>
  </si>
  <si>
    <t xml:space="preserve">5.6. Exploración de las formas naturales de especiación a partir de casos.</t>
  </si>
  <si>
    <t xml:space="preserve">Conocer: identificar formas de especiación. Razonar: aplicar modelos a casos reales e hipotéticos</t>
  </si>
  <si>
    <t xml:space="preserve">T0137-G11-BIO</t>
  </si>
  <si>
    <t xml:space="preserve">Estimación de la biodiversidad</t>
  </si>
  <si>
    <t xml:space="preserve">5.7. Indagación de los conceptos de riqueza y abundancia de especies a partir de la observación.</t>
  </si>
  <si>
    <t xml:space="preserve">Aplicar: registrar y graficar riqueza y abundancia. Razonar: comparar zonas con datos</t>
  </si>
  <si>
    <t xml:space="preserve">T0138-G11-BIO</t>
  </si>
  <si>
    <t xml:space="preserve">5.8. Estimación de similitud y distancia entre comunidades biológicas.</t>
  </si>
  <si>
    <t xml:space="preserve">Aplicar: calcular índices de similitud y distancia. Razonar: evaluar la validez de la comparación</t>
  </si>
  <si>
    <t xml:space="preserve">T0139-G11-BIO</t>
  </si>
  <si>
    <t xml:space="preserve">5.9. Exploración de la biodiversidad funcional a partir de los nichos ecológicos.</t>
  </si>
  <si>
    <t xml:space="preserve">Conocer: definir nicho ecológico. Razonar: explicar la importancia de la biodiversidad funcional</t>
  </si>
  <si>
    <t xml:space="preserve">T0140-G11-BIO</t>
  </si>
  <si>
    <t xml:space="preserve">Agrupamiento de organismos</t>
  </si>
  <si>
    <t xml:space="preserve">5.10. Exploración de aplicaciones de los índices de biodiversidad.</t>
  </si>
  <si>
    <t xml:space="preserve">Aplicar: calcular índices de diversidad. Razonar: tomar decisiones de conservación con datos</t>
  </si>
  <si>
    <t xml:space="preserve">T0141-G11-BIO</t>
  </si>
  <si>
    <t xml:space="preserve">5.11. Construcción de dendrogramas a partir de algoritmos.</t>
  </si>
  <si>
    <t xml:space="preserve">Aplicar: construir matrices de distancia y dendrogramas. Razonar: evaluar la robustez de un agrupamiento</t>
  </si>
  <si>
    <t xml:space="preserve">T0142-G11-BIO</t>
  </si>
  <si>
    <t xml:space="preserve">5.12. Interpretación de agrupamientos de organismos a partir de diagramas.</t>
  </si>
  <si>
    <t xml:space="preserve">Conocer: definir tipos de agrupamiento. Aplicar: interpretar cladogramas. Razonar: justificar clasificaciones</t>
  </si>
  <si>
    <t xml:space="preserve">T0143-G11-BIO</t>
  </si>
  <si>
    <t xml:space="preserve">6. Mecánica de fluidos en los seres vivos</t>
  </si>
  <si>
    <t xml:space="preserve">Circulación sanguínea</t>
  </si>
  <si>
    <t xml:space="preserve">6.1. Interpretación de la presión arterial como presión manométrica y de los principios físicos de su medición.</t>
  </si>
  <si>
    <t xml:space="preserve">Aplicar: convertir unidades y calcular presiones hidrostáticas. Razonar: interpretar datos fisiológicos</t>
  </si>
  <si>
    <t xml:space="preserve">T0144-G11-BIO</t>
  </si>
  <si>
    <t xml:space="preserve">6.2. Aplicación de la ecuación de continuidad al flujo sanguíneo desde la aorta hasta los capilares.</t>
  </si>
  <si>
    <t xml:space="preserve">Aplicar: calcular rapidez con la ecuación de continuidad. Razonar: relacionar estructura y función</t>
  </si>
  <si>
    <t xml:space="preserve">T0145-G11-BIO</t>
  </si>
  <si>
    <t xml:space="preserve">6.3. Análisis de la ley de Poiseuille para relacionar el radio de un vaso sanguíneo con el caudal y la presión necesaria.</t>
  </si>
  <si>
    <t xml:space="preserve">Aplicar: calcular caudales con la ley de Poiseuille. Razonar: explicar consecuencias fisiológicas</t>
  </si>
  <si>
    <t xml:space="preserve">T0146-G11-BIO</t>
  </si>
  <si>
    <t xml:space="preserve">Transporte de agua en las plantas</t>
  </si>
  <si>
    <t xml:space="preserve">6.4. Medición de la transpiración de una rama y explicación del ascenso del agua por cohesión-tensión y capilaridad.</t>
  </si>
  <si>
    <t xml:space="preserve">Aplicar: calcular alturas capilares y tasas de transpiración. Razonar: evaluar modelos explicativos</t>
  </si>
  <si>
    <t xml:space="preserve">T0147-G11-BIO</t>
  </si>
  <si>
    <t xml:space="preserve">Respiración y flotación</t>
  </si>
  <si>
    <t xml:space="preserve">6.5. Modelización de la mecánica respiratoria mediante la ley de Boyle y un modelo de pulmón con botella y globos.</t>
  </si>
  <si>
    <t xml:space="preserve">Aplicar: calcular presiones con la ley de Boyle. Razonar: evaluar un modelo físico del sistema respiratorio</t>
  </si>
  <si>
    <t xml:space="preserve">T0148-G11-BIO</t>
  </si>
  <si>
    <t xml:space="preserve">6.6. Aplicación del principio de Arquímedes a la regulación de la flotación y la locomoción en organismos acuáticos.</t>
  </si>
  <si>
    <t xml:space="preserve">Aplicar: calcular volúmenes y densidades con el principio de Arquímedes. Razonar: comparar adaptaciones</t>
  </si>
  <si>
    <t xml:space="preserve">T0149-G11-BIO</t>
  </si>
  <si>
    <t xml:space="preserve">7. Dinámica de poblaciones (relaciones intra e interespecíficas)</t>
  </si>
  <si>
    <t xml:space="preserve">Atributos de una población</t>
  </si>
  <si>
    <t xml:space="preserve">7.1. Análisis de la densidad y del patrón de distribución espacial de una población a partir de conteos por cuadrantes.</t>
  </si>
  <si>
    <t xml:space="preserve">Aplicar: calcular densidad y relación varianza-media. Razonar: inferir causas de un patrón espacial</t>
  </si>
  <si>
    <t xml:space="preserve">T0150-G11-BIO</t>
  </si>
  <si>
    <t xml:space="preserve">7.2. Estimación del tamaño de una población mediante el método de captura-recaptura con un modelo de frijoles y con datos publicados.</t>
  </si>
  <si>
    <t xml:space="preserve">Aplicar: estimar tamaños poblacionales. Razonar: evaluar supuestos y precisión de un método</t>
  </si>
  <si>
    <t xml:space="preserve">T0151-G11-BIO</t>
  </si>
  <si>
    <t xml:space="preserve">Crecimiento poblacional</t>
  </si>
  <si>
    <t xml:space="preserve">7.3. Modelización del crecimiento poblacional con los modelos exponencial y logístico y determinación de la capacidad de carga.</t>
  </si>
  <si>
    <t xml:space="preserve">Aplicar: calcular y graficar modelos de crecimiento. Razonar: seleccionar el modelo que mejor describe los datos</t>
  </si>
  <si>
    <t xml:space="preserve">T0152-G11-BIO</t>
  </si>
  <si>
    <t xml:space="preserve">7.4. Construcción de tablas de vida y curvas de supervivencia para caracterizar las estrategias r y K.</t>
  </si>
  <si>
    <t xml:space="preserve">Aplicar: construir tablas de vida y curvas de supervivencia. Razonar: clasificar estrategias con datos</t>
  </si>
  <si>
    <t xml:space="preserve">T0153-G11-BIO</t>
  </si>
  <si>
    <t xml:space="preserve">Relaciones entre organismos</t>
  </si>
  <si>
    <t xml:space="preserve">7.5. Análisis de relaciones intraespecíficas y de su efecto dependiente de la densidad sobre el crecimiento poblacional.</t>
  </si>
  <si>
    <t xml:space="preserve">Conocer: clasificar relaciones intraespecíficas. Aplicar: analizar datos de densidad. Razonar: explicar la regulación dependiente de la densidad</t>
  </si>
  <si>
    <t xml:space="preserve">T0154-G11-BIO</t>
  </si>
  <si>
    <t xml:space="preserve">7.6. Modelización de la relación depredador-presa con las ecuaciones de Lotka-Volterra y comparación con datos históricos.</t>
  </si>
  <si>
    <t xml:space="preserve">Aplicar: simular un modelo de ecuaciones acopladas. Razonar: contrastar un modelo con datos y evaluar sus supuestos</t>
  </si>
  <si>
    <t xml:space="preserve">T0155-G11-BIO</t>
  </si>
  <si>
    <t xml:space="preserve">Poblaciones y conservación</t>
  </si>
  <si>
    <t xml:space="preserve">7.7. Análisis de datos de anidación y de viveros de tortugas marinas para evaluar medidas de conservación.</t>
  </si>
  <si>
    <t xml:space="preserve">Aplicar: estimar supervivencia con tablas de vida. Razonar: evaluar medidas de conservación con datos</t>
  </si>
  <si>
    <t xml:space="preserve">T0156-G11-BIO</t>
  </si>
  <si>
    <t xml:space="preserve">8. Microevolución y adaptaciones</t>
  </si>
  <si>
    <t xml:space="preserve">El modelo de Hardy-Weinberg</t>
  </si>
  <si>
    <t xml:space="preserve">8.1. Contraste de frecuencias genotípicas observadas con las esperadas por el modelo de Hardy-Weinberg mediante la prueba de chi cuadrado.</t>
  </si>
  <si>
    <t xml:space="preserve">Aplicar: calcular frecuencias esperadas y el estadístico chi cuadrado. Razonar: inferir el supuesto que se incumple</t>
  </si>
  <si>
    <t xml:space="preserve">T0157-G11-BIO</t>
  </si>
  <si>
    <t xml:space="preserve">Fuerzas evolutivas en acción</t>
  </si>
  <si>
    <t xml:space="preserve">8.2. Simulación de la deriva génica, el efecto fundador y el cuello de botella con modelos físicos y digitales.</t>
  </si>
  <si>
    <t xml:space="preserve">Aplicar: simular la deriva génica. Razonar: relacionar tamaño poblacional y pérdida de alelos</t>
  </si>
  <si>
    <t xml:space="preserve">T0158-G11-BIO</t>
  </si>
  <si>
    <t xml:space="preserve">8.3. Análisis del efecto de la fragmentación del hábitat sobre el flujo génico y la diversidad genética de las poblaciones.</t>
  </si>
  <si>
    <t xml:space="preserve">Aplicar: interpretar datos de heterocigosis. Razonar: argumentar decisiones de conservación con base genética</t>
  </si>
  <si>
    <t xml:space="preserve">T0159-G11-BIO</t>
  </si>
  <si>
    <t xml:space="preserve">Selección natural y adaptación</t>
  </si>
  <si>
    <t xml:space="preserve">8.4. Interpretación de histogramas de caracteres cuantitativos para identificar el tipo de selección que actúa sobre una población.</t>
  </si>
  <si>
    <t xml:space="preserve">Aplicar: construir e interpretar histogramas. Razonar: inferir el tipo de selección a partir de cambios en la distribución</t>
  </si>
  <si>
    <t xml:space="preserve">T0160-G11-BIO</t>
  </si>
  <si>
    <t xml:space="preserve">8.5. Clasificación de adaptaciones morfológicas, fisiológicas y conductuales de especies salvadoreñas en relación con su ambiente.</t>
  </si>
  <si>
    <t xml:space="preserve">Conocer: clasificar adaptaciones. Razonar: relacionar adaptaciones con presiones selectivas del ambiente</t>
  </si>
  <si>
    <t xml:space="preserve">T0161-G11-BIO</t>
  </si>
  <si>
    <t xml:space="preserve">8.6. Análisis de casos de coevolución entre especies que interactúan estrechamente.</t>
  </si>
  <si>
    <t xml:space="preserve">Conocer: definir coevolución. Razonar: explicar la adaptación recíproca con casos</t>
  </si>
  <si>
    <t xml:space="preserve">T0162-G11-BIO</t>
  </si>
  <si>
    <t xml:space="preserve">Evolución en tiempo real</t>
  </si>
  <si>
    <t xml:space="preserve">8.7. Análisis de datos publicados sobre la evolución de la resistencia a antibióticos y a plaguicidas.</t>
  </si>
  <si>
    <t xml:space="preserve">Aplicar: interpretar series de datos de resistencia. Razonar: argumentar con datos el papel de la presión de selección</t>
  </si>
  <si>
    <t xml:space="preserve">Catálogo de referencia TIMSS (objetivos de contenido)</t>
  </si>
  <si>
    <t xml:space="preserve">T4 = TIMSS 2023 4.° grado · T8 = TIMSS 2023 8.° grado · TA = TIMSS Advanced 2015 Física. Objetivos parafraseados al español (no son traducción oficial). Meta = % de puntos de la prueba asignado al dominio en el marco.</t>
  </si>
  <si>
    <t xml:space="preserve">Meta del dominio</t>
  </si>
  <si>
    <t xml:space="preserve">Código área</t>
  </si>
  <si>
    <t xml:space="preserve">Objetivo (paráfrasis)</t>
  </si>
  <si>
    <t xml:space="preserve">Fuente</t>
  </si>
  <si>
    <t xml:space="preserve">T4-V1</t>
  </si>
  <si>
    <t xml:space="preserve">IEA, TIMSS 2023 Frameworks, cap. 2 (Science), 4.° grado</t>
  </si>
  <si>
    <t xml:space="preserve">T4-V2</t>
  </si>
  <si>
    <t xml:space="preserve">T4-V3</t>
  </si>
  <si>
    <t xml:space="preserve">T4-V4</t>
  </si>
  <si>
    <t xml:space="preserve">T4-V5</t>
  </si>
  <si>
    <t xml:space="preserve">T4-F1</t>
  </si>
  <si>
    <t xml:space="preserve">T4-F2</t>
  </si>
  <si>
    <t xml:space="preserve">T4-F3</t>
  </si>
  <si>
    <t xml:space="preserve">T4-T1</t>
  </si>
  <si>
    <t xml:space="preserve">T4-T2</t>
  </si>
  <si>
    <t xml:space="preserve">T4-T3</t>
  </si>
  <si>
    <t xml:space="preserve">T8-B1</t>
  </si>
  <si>
    <t xml:space="preserve">IEA, TIMSS 2023 Frameworks, cap. 2 (Science), 8.° grado</t>
  </si>
  <si>
    <t xml:space="preserve">T8-B2</t>
  </si>
  <si>
    <t xml:space="preserve">T8-B3</t>
  </si>
  <si>
    <t xml:space="preserve">T8-B4</t>
  </si>
  <si>
    <t xml:space="preserve">T8-B5</t>
  </si>
  <si>
    <t xml:space="preserve">T8-B6</t>
  </si>
  <si>
    <t xml:space="preserve">T8-Q1</t>
  </si>
  <si>
    <t xml:space="preserve">T8-Q2</t>
  </si>
  <si>
    <t xml:space="preserve">T8-Q3</t>
  </si>
  <si>
    <t xml:space="preserve">T8-F1</t>
  </si>
  <si>
    <t xml:space="preserve">T8-F2</t>
  </si>
  <si>
    <t xml:space="preserve">T8-F3</t>
  </si>
  <si>
    <t xml:space="preserve">T8-F4</t>
  </si>
  <si>
    <t xml:space="preserve">T8-F5</t>
  </si>
  <si>
    <t xml:space="preserve">T8-T1</t>
  </si>
  <si>
    <t xml:space="preserve">T8-T2</t>
  </si>
  <si>
    <t xml:space="preserve">T8-T3</t>
  </si>
  <si>
    <t xml:space="preserve">T8-T4</t>
  </si>
  <si>
    <t xml:space="preserve">TA-M1</t>
  </si>
  <si>
    <t xml:space="preserve">IEA, TIMSS Advanced 2015 Frameworks, cap. 2 (Physics)</t>
  </si>
  <si>
    <t xml:space="preserve">TA-M2</t>
  </si>
  <si>
    <t xml:space="preserve">TA-M3</t>
  </si>
  <si>
    <t xml:space="preserve">TA-E1</t>
  </si>
  <si>
    <t xml:space="preserve">TA-E2</t>
  </si>
  <si>
    <t xml:space="preserve">TA-O1</t>
  </si>
  <si>
    <t xml:space="preserve">TA-O2</t>
  </si>
  <si>
    <t xml:space="preserve">Fuentes y versiones usadas</t>
  </si>
  <si>
    <t xml:space="preserve">Archivo (carpeta «Mallas sugeridas», Drive)</t>
  </si>
  <si>
    <t xml:space="preserve">ID Drive</t>
  </si>
  <si>
    <t xml:space="preserve">Última modificación</t>
  </si>
  <si>
    <t xml:space="preserve">Temas extraídos</t>
  </si>
  <si>
    <t xml:space="preserve">Nota</t>
  </si>
  <si>
    <t xml:space="preserve">1ivJe3XBmtbIi_Pgjc6Z2Xc4pn1tL0Rw3</t>
  </si>
  <si>
    <t xml:space="preserve">descargado 2026-10-01</t>
  </si>
  <si>
    <t xml:space="preserve">Matriz_Ciencias_3er_Grado_U1_U6 (Hoja de cálculo de Google)</t>
  </si>
  <si>
    <t xml:space="preserve">1de6X-m-0tCrVH5g6FSYx5rYdWtCYM9UurTG5mdAWXS0</t>
  </si>
  <si>
    <t xml:space="preserve">2026-09-28</t>
  </si>
  <si>
    <t xml:space="preserve">Se usó la versión Google Sheets (más reciente que el .xlsx).</t>
  </si>
  <si>
    <t xml:space="preserve">1ijnmjjWjW1YwhtiHeqh4hX17UX_OqB1y</t>
  </si>
  <si>
    <t xml:space="preserve">1V9G2VP2Vbe-GCCYYQAZdGBYH6MPLYJY6</t>
  </si>
  <si>
    <t xml:space="preserve">11jnnAGb8NZvI0jQuFxXVvX73dCVR7DKC</t>
  </si>
  <si>
    <t xml:space="preserve">1OR7NdtVVqI8P8NFaHgzIE2kpHCu-621X</t>
  </si>
  <si>
    <t xml:space="preserve">1trSwU3iYDitze9gH-VuOsXcWm9Hhs095</t>
  </si>
  <si>
    <t xml:space="preserve">1or_yQdA1e1iLSx-x8XDs1vNSZC_-HM1D</t>
  </si>
  <si>
    <t xml:space="preserve">1SMhkw4GQloLiBSHTS3rvnQoroZmHTh38</t>
  </si>
  <si>
    <t xml:space="preserve">2026-09-30</t>
  </si>
  <si>
    <t xml:space="preserve">1PGQKwpI0KnyUQicq4HQY4ghVZSCF4d6V</t>
  </si>
  <si>
    <t xml:space="preserve">Solo se usa para el análisis cognitivo (sin marco TIMSS de contenido).</t>
  </si>
  <si>
    <t xml:space="preserve">1f3nWhHBpQS1vajP1PZqNGcKZEYLh7oF2</t>
  </si>
  <si>
    <t xml:space="preserve">Total</t>
  </si>
  <si>
    <t xml:space="preserve">Marcos de referencia</t>
  </si>
  <si>
    <t xml:space="preserve">IEA (2021). TIMSS 2023 Assessment Frameworks, cap. 2 Science. https://timss.bc.edu/timss2023/frameworks/pdf/T23_Frameworks_Ch2_Science.pdf</t>
  </si>
  <si>
    <t xml:space="preserve">IEA (2014). TIMSS Advanced 2015 Assessment Frameworks, cap. 2 Physics. https://elvis.bc.edu/timss2015-advanced/downloads/TA15_FW_Chap2.pdf</t>
  </si>
  <si>
    <t xml:space="preserve">Mallas: columna «Habilidad TIMSS» (dominios Conocer/Aplicar/Razonar) elaborada por el equipo de Ciencias (MINED).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</si>
</sst>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%"/>
    <numFmt numFmtId="167" formatCode="0.0"/>
    <numFmt numFmtId="168" formatCode="\+0.0;\-0.0;0.0"/>
    <numFmt numFmtId="169" formatCode="\+0.0&quot; pp&quot;;\-0.0&quot; pp&quot;;0.0&quot; pp&quot;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color rgb="FFBFBFBF"/>
        <sz val="10"/>
      </font>
    </dxf>
    <dxf>
      <fill>
        <patternFill patternType="solid">
          <fgColor rgb="FFF2F2F2"/>
          <bgColor rgb="FF000000"/>
        </patternFill>
      </fill>
    </dxf>
    <dxf>
      <fill>
        <patternFill>
          <bgColor rgb="FFF2F2F2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27.75" hidden="false" customHeight="tru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7.75" hidden="false" customHeight="true" outlineLevel="0" collapsed="false">
      <c r="B5" s="4" t="s">
        <v>3</v>
      </c>
    </row>
    <row r="6" customFormat="false" ht="27.75" hidden="false" customHeight="tru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42" hidden="false" customHeight="true" outlineLevel="0" collapsed="false">
      <c r="B10" s="4" t="s">
        <v>7</v>
      </c>
    </row>
    <row r="11" customFormat="false" ht="42" hidden="false" customHeight="true" outlineLevel="0" collapsed="false">
      <c r="B11" s="4" t="s">
        <v>8</v>
      </c>
    </row>
    <row r="12" customFormat="false" ht="69.75" hidden="false" customHeight="true" outlineLevel="0" collapsed="false">
      <c r="B12" s="4" t="s">
        <v>9</v>
      </c>
    </row>
    <row r="13" customFormat="false" ht="42" hidden="false" customHeight="true" outlineLevel="0" collapsed="false">
      <c r="B13" s="4" t="s">
        <v>10</v>
      </c>
    </row>
    <row r="14" customFormat="false" ht="55.5" hidden="false" customHeight="true" outlineLevel="0" collapsed="false">
      <c r="B14" s="4" t="s">
        <v>11</v>
      </c>
    </row>
    <row r="15" customFormat="false" ht="27.75" hidden="false" customHeight="true" outlineLevel="0" collapsed="false">
      <c r="B15" s="4" t="s">
        <v>12</v>
      </c>
    </row>
    <row r="16" customFormat="false" ht="27.75" hidden="false" customHeight="true" outlineLevel="0" collapsed="false">
      <c r="B16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27.75" hidden="false" customHeight="tru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4" t="s">
        <v>20</v>
      </c>
    </row>
    <row r="25" customFormat="false" ht="15" hidden="false" customHeight="false" outlineLevel="0" collapsed="false">
      <c r="B25" s="4" t="s">
        <v>21</v>
      </c>
    </row>
    <row r="27" customFormat="false" ht="15" hidden="false" customHeight="false" outlineLevel="0" collapsed="false">
      <c r="B27" s="3" t="s">
        <v>22</v>
      </c>
    </row>
    <row r="28" customFormat="false" ht="27.75" hidden="false" customHeight="true" outlineLevel="0" collapsed="false">
      <c r="B28" s="4" t="s">
        <v>23</v>
      </c>
    </row>
    <row r="29" customFormat="false" ht="27.75" hidden="false" customHeight="true" outlineLevel="0" collapsed="false">
      <c r="B29" s="4" t="s">
        <v>24</v>
      </c>
    </row>
    <row r="30" customFormat="false" ht="27.75" hidden="false" customHeight="true" outlineLevel="0" collapsed="false">
      <c r="B30" s="4" t="s">
        <v>25</v>
      </c>
    </row>
    <row r="31" customFormat="false" ht="27.75" hidden="false" customHeight="true" outlineLevel="0" collapsed="false">
      <c r="B31" s="4" t="s">
        <v>26</v>
      </c>
    </row>
    <row r="32" customFormat="false" ht="15" hidden="false" customHeight="false" outlineLevel="0" collapsed="false">
      <c r="B32" s="4" t="s">
        <v>27</v>
      </c>
    </row>
    <row r="33" customFormat="false" ht="15" hidden="false" customHeight="false" outlineLevel="0" collapsed="false">
      <c r="B33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2" style="0" width="10"/>
  </cols>
  <sheetData>
    <row r="1" customFormat="false" ht="17.35" hidden="false" customHeight="false" outlineLevel="0" collapsed="false">
      <c r="A1" s="5" t="s">
        <v>29</v>
      </c>
    </row>
    <row r="2" customFormat="false" ht="30" hidden="false" customHeight="true" outlineLevel="0" collapsed="false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customFormat="false" ht="60" hidden="false" customHeight="tru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n">
        <f aca="false">COUNTIFS(Temas_TIMSS!$V$5:$V$1264,$A5)</f>
        <v>70</v>
      </c>
      <c r="D5" s="9" t="n">
        <f aca="false">Balance_grado!N6</f>
        <v>13</v>
      </c>
      <c r="E5" s="10" t="n">
        <f aca="false">IF(C5=0,0,D5/C5)</f>
        <v>0.185714285714286</v>
      </c>
      <c r="F5" s="8" t="str">
        <f aca="false">INDEX(Balance_grado!$C$6:$C$8,MATCH(MAX(Balance_grado!$I$6:$I$8),Balance_grado!$I$6:$I$8,0))</f>
        <v>Ciencias de la vida</v>
      </c>
      <c r="G5" s="8" t="n">
        <f aca="false">ROUND(MAX(Balance_grado!$I$6:$I$8),0)</f>
        <v>2</v>
      </c>
      <c r="H5" s="8" t="str">
        <f aca="false">INDEX(Balance_grado!$C$6:$C$8,MATCH(MIN(Balance_grado!$I$6:$I$8),Balance_grado!$I$6:$I$8,0))</f>
        <v>Ciencias físicas</v>
      </c>
      <c r="I5" s="8" t="n">
        <f aca="false">ROUND(-MIN(Balance_grado!$I$6:$I$8),0)</f>
        <v>3</v>
      </c>
      <c r="J5" s="9" t="n">
        <f aca="false">Balance_grado!M9</f>
        <v>10</v>
      </c>
      <c r="K5" s="8" t="str">
        <f aca="false">COUNTIF(Balance_grado!$K$6:$K$8,"En meta")&amp;" de "&amp;ROWS(Balance_grado!$K$6:$K$8)</f>
        <v>2 de 3</v>
      </c>
      <c r="L5" s="11" t="n">
        <f aca="false">Cognitivo_grado!I5</f>
        <v>0.271428571428571</v>
      </c>
      <c r="M5" s="12" t="n">
        <f aca="false">Cognitivo_grado!L5</f>
        <v>0.2</v>
      </c>
    </row>
    <row r="6" customFormat="false" ht="15" hidden="false" customHeight="false" outlineLevel="0" collapsed="false">
      <c r="A6" s="8" t="s">
        <v>46</v>
      </c>
      <c r="B6" s="8" t="s">
        <v>45</v>
      </c>
      <c r="C6" s="8" t="n">
        <f aca="false">COUNTIFS(Temas_TIMSS!$V$5:$V$1264,$A6)</f>
        <v>66</v>
      </c>
      <c r="D6" s="9" t="n">
        <f aca="false">Balance_grado!N11</f>
        <v>9</v>
      </c>
      <c r="E6" s="10" t="n">
        <f aca="false">IF(C6=0,0,D6/C6)</f>
        <v>0.136363636363636</v>
      </c>
      <c r="F6" s="8" t="str">
        <f aca="false">INDEX(Balance_grado!$C$11:$C$13,MATCH(MAX(Balance_grado!$I$11:$I$13),Balance_grado!$I$11:$I$13,0))</f>
        <v>Ciencias físicas</v>
      </c>
      <c r="G6" s="8" t="n">
        <f aca="false">ROUND(MAX(Balance_grado!$I$11:$I$13),0)</f>
        <v>3</v>
      </c>
      <c r="H6" s="8" t="str">
        <f aca="false">INDEX(Balance_grado!$C$11:$C$13,MATCH(MIN(Balance_grado!$I$11:$I$13),Balance_grado!$I$11:$I$13,0))</f>
        <v>Ciencias de la vida</v>
      </c>
      <c r="I6" s="8" t="n">
        <f aca="false">ROUND(-MIN(Balance_grado!$I$11:$I$13),0)</f>
        <v>5</v>
      </c>
      <c r="J6" s="9" t="n">
        <f aca="false">Balance_grado!M14</f>
        <v>13</v>
      </c>
      <c r="K6" s="8" t="str">
        <f aca="false">COUNTIF(Balance_grado!$K$11:$K$13,"En meta")&amp;" de "&amp;ROWS(Balance_grado!$K$11:$K$13)</f>
        <v>1 de 3</v>
      </c>
      <c r="L6" s="11" t="n">
        <f aca="false">Cognitivo_grado!I6</f>
        <v>0.265151515151515</v>
      </c>
      <c r="M6" s="12" t="n">
        <f aca="false">Cognitivo_grado!L6</f>
        <v>0.2</v>
      </c>
    </row>
    <row r="7" customFormat="false" ht="15" hidden="false" customHeight="false" outlineLevel="0" collapsed="false">
      <c r="A7" s="8" t="s">
        <v>47</v>
      </c>
      <c r="B7" s="8" t="s">
        <v>45</v>
      </c>
      <c r="C7" s="8" t="n">
        <f aca="false">COUNTIFS(Temas_TIMSS!$V$5:$V$1264,$A7)</f>
        <v>72</v>
      </c>
      <c r="D7" s="9" t="n">
        <f aca="false">Balance_grado!N16</f>
        <v>8</v>
      </c>
      <c r="E7" s="10" t="n">
        <f aca="false">IF(C7=0,0,D7/C7)</f>
        <v>0.111111111111111</v>
      </c>
      <c r="F7" s="8" t="str">
        <f aca="false">INDEX(Balance_grado!$C$16:$C$18,MATCH(MAX(Balance_grado!$I$16:$I$18),Balance_grado!$I$16:$I$18,0))</f>
        <v>Ciencias físicas</v>
      </c>
      <c r="G7" s="8" t="n">
        <f aca="false">ROUND(MAX(Balance_grado!$I$16:$I$18),0)</f>
        <v>13</v>
      </c>
      <c r="H7" s="8" t="str">
        <f aca="false">INDEX(Balance_grado!$C$16:$C$18,MATCH(MIN(Balance_grado!$I$16:$I$18),Balance_grado!$I$16:$I$18,0))</f>
        <v>Ciencias de la vida</v>
      </c>
      <c r="I7" s="8" t="n">
        <f aca="false">ROUND(-MIN(Balance_grado!$I$16:$I$18),0)</f>
        <v>8</v>
      </c>
      <c r="J7" s="9" t="n">
        <f aca="false">Balance_grado!M19</f>
        <v>27</v>
      </c>
      <c r="K7" s="8" t="str">
        <f aca="false">COUNTIF(Balance_grado!$K$16:$K$18,"En meta")&amp;" de "&amp;ROWS(Balance_grado!$K$16:$K$18)</f>
        <v>0 de 3</v>
      </c>
      <c r="L7" s="11" t="n">
        <f aca="false">Cognitivo_grado!I7</f>
        <v>0.201388888888889</v>
      </c>
      <c r="M7" s="12" t="n">
        <f aca="false">Cognitivo_grado!L7</f>
        <v>0.2</v>
      </c>
    </row>
    <row r="8" customFormat="false" ht="15" hidden="false" customHeight="false" outlineLevel="0" collapsed="false">
      <c r="A8" s="8" t="s">
        <v>48</v>
      </c>
      <c r="B8" s="8" t="s">
        <v>49</v>
      </c>
      <c r="C8" s="8" t="n">
        <f aca="false">COUNTIFS(Temas_TIMSS!$V$5:$V$1264,$A8)</f>
        <v>72</v>
      </c>
      <c r="D8" s="9" t="n">
        <f aca="false">Balance_grado!N21</f>
        <v>14</v>
      </c>
      <c r="E8" s="10" t="n">
        <f aca="false">IF(C8=0,0,D8/C8)</f>
        <v>0.194444444444444</v>
      </c>
      <c r="F8" s="8" t="str">
        <f aca="false">INDEX(Balance_grado!$C$21:$C$24,MATCH(MAX(Balance_grado!$I$21:$I$24),Balance_grado!$I$21:$I$24,0))</f>
        <v>Biología</v>
      </c>
      <c r="G8" s="8" t="n">
        <f aca="false">ROUND(MAX(Balance_grado!$I$21:$I$24),0)</f>
        <v>19</v>
      </c>
      <c r="H8" s="8" t="str">
        <f aca="false">INDEX(Balance_grado!$C$21:$C$24,MATCH(MIN(Balance_grado!$I$21:$I$24),Balance_grado!$I$21:$I$24,0))</f>
        <v>Ciencias de la Tierra</v>
      </c>
      <c r="I8" s="8" t="n">
        <f aca="false">ROUND(-MIN(Balance_grado!$I$21:$I$24),0)</f>
        <v>12</v>
      </c>
      <c r="J8" s="9" t="n">
        <f aca="false">Balance_grado!M25</f>
        <v>62</v>
      </c>
      <c r="K8" s="8" t="str">
        <f aca="false">COUNTIF(Balance_grado!$K$21:$K$24,"En meta")&amp;" de "&amp;ROWS(Balance_grado!$K$21:$K$24)</f>
        <v>1 de 4</v>
      </c>
      <c r="L8" s="11" t="n">
        <f aca="false">Cognitivo_grado!I8</f>
        <v>0.243055555555556</v>
      </c>
      <c r="M8" s="12" t="n">
        <f aca="false">Cognitivo_grado!L8</f>
        <v>0.3</v>
      </c>
    </row>
    <row r="9" customFormat="false" ht="15" hidden="false" customHeight="false" outlineLevel="0" collapsed="false">
      <c r="A9" s="8" t="s">
        <v>50</v>
      </c>
      <c r="B9" s="8" t="s">
        <v>49</v>
      </c>
      <c r="C9" s="8" t="n">
        <f aca="false">COUNTIFS(Temas_TIMSS!$V$5:$V$1264,$A9)</f>
        <v>68</v>
      </c>
      <c r="D9" s="9" t="n">
        <f aca="false">Balance_grado!N27</f>
        <v>0</v>
      </c>
      <c r="E9" s="10" t="n">
        <f aca="false">IF(C9=0,0,D9/C9)</f>
        <v>0</v>
      </c>
      <c r="F9" s="8" t="str">
        <f aca="false">INDEX(Balance_grado!$C$27:$C$30,MATCH(MAX(Balance_grado!$I$27:$I$30),Balance_grado!$I$27:$I$30,0))</f>
        <v>Ciencias de la Tierra</v>
      </c>
      <c r="G9" s="8" t="n">
        <f aca="false">ROUND(MAX(Balance_grado!$I$27:$I$30),0)</f>
        <v>14</v>
      </c>
      <c r="H9" s="8" t="str">
        <f aca="false">INDEX(Balance_grado!$C$27:$C$30,MATCH(MIN(Balance_grado!$I$27:$I$30),Balance_grado!$I$27:$I$30,0))</f>
        <v>Biología</v>
      </c>
      <c r="I9" s="8" t="n">
        <f aca="false">ROUND(-MIN(Balance_grado!$I$27:$I$30),0)</f>
        <v>10</v>
      </c>
      <c r="J9" s="9" t="n">
        <f aca="false">Balance_grado!M31</f>
        <v>37</v>
      </c>
      <c r="K9" s="8" t="str">
        <f aca="false">COUNTIF(Balance_grado!$K$27:$K$30,"En meta")&amp;" de "&amp;ROWS(Balance_grado!$K$27:$K$30)</f>
        <v>0 de 4</v>
      </c>
      <c r="L9" s="11" t="n">
        <f aca="false">Cognitivo_grado!I9</f>
        <v>0.191176470588235</v>
      </c>
      <c r="M9" s="12" t="n">
        <f aca="false">Cognitivo_grado!L9</f>
        <v>0.3</v>
      </c>
    </row>
    <row r="10" customFormat="false" ht="15" hidden="false" customHeight="false" outlineLevel="0" collapsed="false">
      <c r="A10" s="8" t="s">
        <v>51</v>
      </c>
      <c r="B10" s="8" t="s">
        <v>49</v>
      </c>
      <c r="C10" s="8" t="n">
        <f aca="false">COUNTIFS(Temas_TIMSS!$V$5:$V$1264,$A10)</f>
        <v>91</v>
      </c>
      <c r="D10" s="9" t="n">
        <f aca="false">Balance_grado!N33</f>
        <v>6</v>
      </c>
      <c r="E10" s="10" t="n">
        <f aca="false">IF(C10=0,0,D10/C10)</f>
        <v>0.0659340659340659</v>
      </c>
      <c r="F10" s="8" t="str">
        <f aca="false">INDEX(Balance_grado!$C$33:$C$36,MATCH(MAX(Balance_grado!$I$33:$I$36),Balance_grado!$I$33:$I$36,0))</f>
        <v>Física</v>
      </c>
      <c r="G10" s="8" t="n">
        <f aca="false">ROUND(MAX(Balance_grado!$I$33:$I$36),0)</f>
        <v>18</v>
      </c>
      <c r="H10" s="8" t="str">
        <f aca="false">INDEX(Balance_grado!$C$33:$C$36,MATCH(MIN(Balance_grado!$I$33:$I$36),Balance_grado!$I$33:$I$36,0))</f>
        <v>Biología</v>
      </c>
      <c r="I10" s="8" t="n">
        <f aca="false">ROUND(-MIN(Balance_grado!$I$33:$I$36),0)</f>
        <v>18</v>
      </c>
      <c r="J10" s="9" t="n">
        <f aca="false">Balance_grado!M37</f>
        <v>54</v>
      </c>
      <c r="K10" s="8" t="str">
        <f aca="false">COUNTIF(Balance_grado!$K$33:$K$36,"En meta")&amp;" de "&amp;ROWS(Balance_grado!$K$33:$K$36)</f>
        <v>0 de 4</v>
      </c>
      <c r="L10" s="11" t="n">
        <f aca="false">Cognitivo_grado!I10</f>
        <v>0.285714285714286</v>
      </c>
      <c r="M10" s="12" t="n">
        <f aca="false">Cognitivo_grado!L10</f>
        <v>0.3</v>
      </c>
    </row>
    <row r="11" customFormat="false" ht="15" hidden="false" customHeight="false" outlineLevel="0" collapsed="false">
      <c r="A11" s="8" t="s">
        <v>52</v>
      </c>
      <c r="B11" s="8" t="s">
        <v>49</v>
      </c>
      <c r="C11" s="8" t="n">
        <f aca="false">COUNTIFS(Temas_TIMSS!$V$5:$V$1264,$A11)</f>
        <v>93</v>
      </c>
      <c r="D11" s="9" t="n">
        <f aca="false">Balance_grado!N39</f>
        <v>2</v>
      </c>
      <c r="E11" s="10" t="n">
        <f aca="false">IF(C11=0,0,D11/C11)</f>
        <v>0.021505376344086</v>
      </c>
      <c r="F11" s="8" t="str">
        <f aca="false">INDEX(Balance_grado!$C$39:$C$42,MATCH(MAX(Balance_grado!$I$39:$I$42),Balance_grado!$I$39:$I$42,0))</f>
        <v>Ciencias de la Tierra</v>
      </c>
      <c r="G11" s="8" t="n">
        <f aca="false">ROUND(MAX(Balance_grado!$I$39:$I$42),0)</f>
        <v>14</v>
      </c>
      <c r="H11" s="8" t="str">
        <f aca="false">INDEX(Balance_grado!$C$39:$C$42,MATCH(MIN(Balance_grado!$I$39:$I$42),Balance_grado!$I$39:$I$42,0))</f>
        <v>Física</v>
      </c>
      <c r="I11" s="8" t="n">
        <f aca="false">ROUND(-MIN(Balance_grado!$I$39:$I$42),0)</f>
        <v>12</v>
      </c>
      <c r="J11" s="9" t="n">
        <f aca="false">Balance_grado!M43</f>
        <v>49</v>
      </c>
      <c r="K11" s="8" t="str">
        <f aca="false">COUNTIF(Balance_grado!$K$39:$K$42,"En meta")&amp;" de "&amp;ROWS(Balance_grado!$K$39:$K$42)</f>
        <v>1 de 4</v>
      </c>
      <c r="L11" s="11" t="n">
        <f aca="false">Cognitivo_grado!I11</f>
        <v>0.209677419354839</v>
      </c>
      <c r="M11" s="12" t="n">
        <f aca="false">Cognitivo_grado!L11</f>
        <v>0.3</v>
      </c>
    </row>
    <row r="12" customFormat="false" ht="15" hidden="false" customHeight="false" outlineLevel="0" collapsed="false">
      <c r="A12" s="8" t="s">
        <v>53</v>
      </c>
      <c r="B12" s="8" t="s">
        <v>49</v>
      </c>
      <c r="C12" s="8" t="n">
        <f aca="false">COUNTIFS(Temas_TIMSS!$V$5:$V$1264,$A12)</f>
        <v>90</v>
      </c>
      <c r="D12" s="9" t="n">
        <f aca="false">Balance_grado!N45</f>
        <v>8</v>
      </c>
      <c r="E12" s="10" t="n">
        <f aca="false">IF(C12=0,0,D12/C12)</f>
        <v>0.0888888888888889</v>
      </c>
      <c r="F12" s="8" t="str">
        <f aca="false">INDEX(Balance_grado!$C$45:$C$48,MATCH(MAX(Balance_grado!$I$45:$I$48),Balance_grado!$I$45:$I$48,0))</f>
        <v>Biología</v>
      </c>
      <c r="G12" s="8" t="n">
        <f aca="false">ROUND(MAX(Balance_grado!$I$45:$I$48),0)</f>
        <v>25</v>
      </c>
      <c r="H12" s="8" t="str">
        <f aca="false">INDEX(Balance_grado!$C$45:$C$48,MATCH(MIN(Balance_grado!$I$45:$I$48),Balance_grado!$I$45:$I$48,0))</f>
        <v>Física</v>
      </c>
      <c r="I12" s="8" t="n">
        <f aca="false">ROUND(-MIN(Balance_grado!$I$45:$I$48),0)</f>
        <v>18</v>
      </c>
      <c r="J12" s="9" t="n">
        <f aca="false">Balance_grado!M49</f>
        <v>72</v>
      </c>
      <c r="K12" s="8" t="str">
        <f aca="false">COUNTIF(Balance_grado!$K$45:$K$48,"En meta")&amp;" de "&amp;ROWS(Balance_grado!$K$45:$K$48)</f>
        <v>2 de 4</v>
      </c>
      <c r="L12" s="11" t="n">
        <f aca="false">Cognitivo_grado!I12</f>
        <v>0.177777777777778</v>
      </c>
      <c r="M12" s="12" t="n">
        <f aca="false">Cognitivo_grado!L12</f>
        <v>0.3</v>
      </c>
    </row>
    <row r="13" customFormat="false" ht="15" hidden="false" customHeight="false" outlineLevel="0" collapsed="false">
      <c r="A13" s="8" t="s">
        <v>54</v>
      </c>
      <c r="B13" s="8" t="s">
        <v>55</v>
      </c>
      <c r="C13" s="8" t="n">
        <f aca="false">COUNTIFS(Temas_TIMSS!$V$5:$V$1264,$A13)</f>
        <v>121</v>
      </c>
      <c r="D13" s="9" t="n">
        <f aca="false">Balance_grado!N51</f>
        <v>41</v>
      </c>
      <c r="E13" s="10" t="n">
        <f aca="false">IF(C13=0,0,D13/C13)</f>
        <v>0.338842975206612</v>
      </c>
      <c r="F13" s="8" t="str">
        <f aca="false">INDEX(Balance_grado!$C$51:$C$53,MATCH(MAX(Balance_grado!$I$51:$I$53),Balance_grado!$I$51:$I$53,0))</f>
        <v>Electricidad y magnetismo</v>
      </c>
      <c r="G13" s="8" t="n">
        <f aca="false">ROUND(MAX(Balance_grado!$I$51:$I$53),0)</f>
        <v>20</v>
      </c>
      <c r="H13" s="8" t="str">
        <f aca="false">INDEX(Balance_grado!$C$51:$C$53,MATCH(MIN(Balance_grado!$I$51:$I$53),Balance_grado!$I$51:$I$53,0))</f>
        <v>Mecánica y termodinámica</v>
      </c>
      <c r="I13" s="8" t="n">
        <f aca="false">ROUND(-MIN(Balance_grado!$I$51:$I$53),0)</f>
        <v>35</v>
      </c>
      <c r="J13" s="9" t="n">
        <f aca="false">Balance_grado!M54</f>
        <v>88</v>
      </c>
      <c r="K13" s="8" t="str">
        <f aca="false">COUNTIF(Balance_grado!$K$51:$K$53,"En meta")&amp;" de "&amp;ROWS(Balance_grado!$K$51:$K$53)</f>
        <v>0 de 3</v>
      </c>
      <c r="L13" s="11" t="n">
        <f aca="false">Cognitivo_grado!I13</f>
        <v>0.480716253443526</v>
      </c>
      <c r="M13" s="12" t="n">
        <f aca="false">Cognitivo_grado!L13</f>
        <v>0.3</v>
      </c>
    </row>
    <row r="14" customFormat="false" ht="15" hidden="false" customHeight="false" outlineLevel="0" collapsed="false">
      <c r="A14" s="8" t="s">
        <v>56</v>
      </c>
      <c r="B14" s="8" t="s">
        <v>55</v>
      </c>
      <c r="C14" s="8" t="n">
        <f aca="false">COUNTIFS(Temas_TIMSS!$V$5:$V$1264,$A14)</f>
        <v>146</v>
      </c>
      <c r="D14" s="9" t="n">
        <f aca="false">Balance_grado!N56</f>
        <v>27</v>
      </c>
      <c r="E14" s="10" t="n">
        <f aca="false">IF(C14=0,0,D14/C14)</f>
        <v>0.184931506849315</v>
      </c>
      <c r="F14" s="8" t="str">
        <f aca="false">INDEX(Balance_grado!$C$56:$C$58,MATCH(MAX(Balance_grado!$I$56:$I$58),Balance_grado!$I$56:$I$58,0))</f>
        <v>Mecánica y termodinámica</v>
      </c>
      <c r="G14" s="8" t="n">
        <f aca="false">ROUND(MAX(Balance_grado!$I$56:$I$58),0)</f>
        <v>44</v>
      </c>
      <c r="H14" s="8" t="str">
        <f aca="false">INDEX(Balance_grado!$C$56:$C$58,MATCH(MIN(Balance_grado!$I$56:$I$58),Balance_grado!$I$56:$I$58,0))</f>
        <v>Ondas y física atómica/nuclear</v>
      </c>
      <c r="I14" s="8" t="n">
        <f aca="false">ROUND(-MIN(Balance_grado!$I$56:$I$58),0)</f>
        <v>30</v>
      </c>
      <c r="J14" s="9" t="n">
        <f aca="false">Balance_grado!M59</f>
        <v>88</v>
      </c>
      <c r="K14" s="8" t="str">
        <f aca="false">COUNTIF(Balance_grado!$K$56:$K$58,"En meta")&amp;" de "&amp;ROWS(Balance_grado!$K$56:$K$58)</f>
        <v>0 de 3</v>
      </c>
      <c r="L14" s="11" t="n">
        <f aca="false">Cognitivo_grado!I14</f>
        <v>0.465753424657534</v>
      </c>
      <c r="M14" s="12" t="n">
        <f aca="false">Cognitivo_grado!L14</f>
        <v>0.3</v>
      </c>
    </row>
    <row r="16" customFormat="false" ht="15" hidden="false" customHeight="false" outlineLevel="0" collapsed="false">
      <c r="A16" s="13" t="s">
        <v>57</v>
      </c>
    </row>
    <row r="17" customFormat="false" ht="45" hidden="false" customHeight="true" outlineLevel="0" collapsed="false">
      <c r="A17" s="7" t="s">
        <v>58</v>
      </c>
      <c r="B17" s="7" t="s">
        <v>32</v>
      </c>
      <c r="C17" s="7" t="s">
        <v>59</v>
      </c>
      <c r="D17" s="7" t="s">
        <v>36</v>
      </c>
      <c r="E17" s="7" t="s">
        <v>37</v>
      </c>
      <c r="F17" s="7" t="s">
        <v>38</v>
      </c>
      <c r="G17" s="7" t="s">
        <v>39</v>
      </c>
      <c r="H17" s="7" t="s">
        <v>60</v>
      </c>
      <c r="I17" s="7" t="s">
        <v>61</v>
      </c>
      <c r="J17" s="7" t="s">
        <v>62</v>
      </c>
      <c r="K17" s="7" t="s">
        <v>63</v>
      </c>
      <c r="L17" s="7" t="s">
        <v>64</v>
      </c>
      <c r="M17" s="7" t="s">
        <v>65</v>
      </c>
    </row>
    <row r="18" customFormat="false" ht="15" hidden="false" customHeight="false" outlineLevel="0" collapsed="false">
      <c r="A18" s="8" t="s">
        <v>66</v>
      </c>
      <c r="B18" s="8" t="s">
        <v>45</v>
      </c>
      <c r="C18" s="8" t="n">
        <f aca="false">Balance_ciclo!E6</f>
        <v>178</v>
      </c>
      <c r="D18" s="8" t="str">
        <f aca="false">INDEX(Balance_ciclo!$C$6:$C$8,MATCH(MAX(Balance_ciclo!$I$6:$I$8),Balance_ciclo!$I$6:$I$8,0))</f>
        <v>Ciencias físicas</v>
      </c>
      <c r="E18" s="8" t="n">
        <f aca="false">ROUND(MAX(Balance_ciclo!$I$6:$I$8),0)</f>
        <v>13</v>
      </c>
      <c r="F18" s="8" t="str">
        <f aca="false">INDEX(Balance_ciclo!$C$6:$C$8,MATCH(MIN(Balance_ciclo!$I$6:$I$8),Balance_ciclo!$I$6:$I$8,0))</f>
        <v>Ciencias de la vida</v>
      </c>
      <c r="G18" s="8" t="n">
        <f aca="false">ROUND(-MIN(Balance_ciclo!$I$6:$I$8),0)</f>
        <v>12</v>
      </c>
      <c r="H18" s="8" t="n">
        <f aca="false">Balance_ciclo!M9</f>
        <v>27</v>
      </c>
      <c r="I18" s="8" t="str">
        <f aca="false">COUNTIF(Balance_ciclo!$K$6:$K$8,"En meta")&amp;" de "&amp;ROWS(Balance_ciclo!$K$6:$K$8)</f>
        <v>1 de 3</v>
      </c>
      <c r="J18" s="8" t="n">
        <f aca="false">Cobertura_objetivos!C113</f>
        <v>32</v>
      </c>
      <c r="K18" s="8" t="n">
        <f aca="false">Cobertura_objetivos!D113</f>
        <v>31</v>
      </c>
      <c r="L18" s="10" t="n">
        <f aca="false">Cobertura_objetivos!E113</f>
        <v>0.96875</v>
      </c>
      <c r="M18" s="8" t="n">
        <f aca="false">Cobertura_objetivos!F113</f>
        <v>1</v>
      </c>
    </row>
    <row r="19" customFormat="false" ht="15" hidden="false" customHeight="false" outlineLevel="0" collapsed="false">
      <c r="A19" s="8" t="s">
        <v>67</v>
      </c>
      <c r="B19" s="8" t="s">
        <v>49</v>
      </c>
      <c r="C19" s="8" t="n">
        <f aca="false">Balance_ciclo!E11</f>
        <v>302</v>
      </c>
      <c r="D19" s="8" t="str">
        <f aca="false">INDEX(Balance_ciclo!$C$11:$C$14,MATCH(MAX(Balance_ciclo!$I$11:$I$14),Balance_ciclo!$I$11:$I$14,0))</f>
        <v>Ciencias de la Tierra</v>
      </c>
      <c r="E19" s="8" t="n">
        <f aca="false">ROUND(MAX(Balance_ciclo!$I$11:$I$14),0)</f>
        <v>6</v>
      </c>
      <c r="F19" s="8" t="str">
        <f aca="false">INDEX(Balance_ciclo!$C$11:$C$14,MATCH(MIN(Balance_ciclo!$I$11:$I$14),Balance_ciclo!$I$11:$I$14,0))</f>
        <v>Biología</v>
      </c>
      <c r="G19" s="8" t="n">
        <f aca="false">ROUND(-MIN(Balance_ciclo!$I$11:$I$14),0)</f>
        <v>5</v>
      </c>
      <c r="H19" s="8" t="n">
        <f aca="false">Balance_ciclo!M15</f>
        <v>17</v>
      </c>
      <c r="I19" s="8" t="str">
        <f aca="false">COUNTIF(Balance_ciclo!$K$11:$K$14,"En meta")&amp;" de "&amp;ROWS(Balance_ciclo!$K$11:$K$14)</f>
        <v>4 de 4</v>
      </c>
      <c r="J19" s="8" t="n">
        <f aca="false">Cobertura_objetivos!C118</f>
        <v>46</v>
      </c>
      <c r="K19" s="8" t="n">
        <f aca="false">Cobertura_objetivos!D118</f>
        <v>43</v>
      </c>
      <c r="L19" s="10" t="n">
        <f aca="false">Cobertura_objetivos!E118</f>
        <v>0.934782608695652</v>
      </c>
      <c r="M19" s="8" t="n">
        <f aca="false">Cobertura_objetivos!F118</f>
        <v>3</v>
      </c>
    </row>
    <row r="20" customFormat="false" ht="15" hidden="false" customHeight="false" outlineLevel="0" collapsed="false">
      <c r="A20" s="8" t="s">
        <v>53</v>
      </c>
      <c r="B20" s="8" t="s">
        <v>49</v>
      </c>
      <c r="C20" s="8" t="n">
        <f aca="false">Balance_ciclo!E17</f>
        <v>82</v>
      </c>
      <c r="D20" s="8" t="str">
        <f aca="false">INDEX(Balance_ciclo!$C$17:$C$20,MATCH(MAX(Balance_ciclo!$I$17:$I$20),Balance_ciclo!$I$17:$I$20,0))</f>
        <v>Biología</v>
      </c>
      <c r="E20" s="8" t="n">
        <f aca="false">ROUND(MAX(Balance_ciclo!$I$17:$I$20),0)</f>
        <v>25</v>
      </c>
      <c r="F20" s="8" t="str">
        <f aca="false">INDEX(Balance_ciclo!$C$17:$C$20,MATCH(MIN(Balance_ciclo!$I$17:$I$20),Balance_ciclo!$I$17:$I$20,0))</f>
        <v>Física</v>
      </c>
      <c r="G20" s="8" t="n">
        <f aca="false">ROUND(-MIN(Balance_ciclo!$I$17:$I$20),0)</f>
        <v>18</v>
      </c>
      <c r="H20" s="8" t="n">
        <f aca="false">Balance_ciclo!M21</f>
        <v>72</v>
      </c>
      <c r="I20" s="8" t="str">
        <f aca="false">COUNTIF(Balance_ciclo!$K$17:$K$20,"En meta")&amp;" de "&amp;ROWS(Balance_ciclo!$K$17:$K$20)</f>
        <v>2 de 4</v>
      </c>
      <c r="J20" s="8" t="s">
        <v>68</v>
      </c>
      <c r="K20" s="8" t="s">
        <v>68</v>
      </c>
      <c r="L20" s="10" t="s">
        <v>68</v>
      </c>
      <c r="M20" s="8" t="s">
        <v>68</v>
      </c>
    </row>
    <row r="21" customFormat="false" ht="15" hidden="false" customHeight="false" outlineLevel="0" collapsed="false">
      <c r="A21" s="8" t="s">
        <v>69</v>
      </c>
      <c r="B21" s="8" t="s">
        <v>55</v>
      </c>
      <c r="C21" s="8" t="n">
        <f aca="false">Balance_ciclo!E23</f>
        <v>199</v>
      </c>
      <c r="D21" s="8" t="str">
        <f aca="false">INDEX(Balance_ciclo!$C$23:$C$25,MATCH(MAX(Balance_ciclo!$I$23:$I$25),Balance_ciclo!$I$23:$I$25,0))</f>
        <v>Mecánica y termodinámica</v>
      </c>
      <c r="E21" s="8" t="n">
        <f aca="false">ROUND(MAX(Balance_ciclo!$I$23:$I$25),0)</f>
        <v>9</v>
      </c>
      <c r="F21" s="8" t="str">
        <f aca="false">INDEX(Balance_ciclo!$C$23:$C$25,MATCH(MIN(Balance_ciclo!$I$23:$I$25),Balance_ciclo!$I$23:$I$25,0))</f>
        <v>Ondas y física atómica/nuclear</v>
      </c>
      <c r="G21" s="8" t="n">
        <f aca="false">ROUND(-MIN(Balance_ciclo!$I$23:$I$25),0)</f>
        <v>15</v>
      </c>
      <c r="H21" s="8" t="n">
        <f aca="false">Balance_ciclo!M26</f>
        <v>45</v>
      </c>
      <c r="I21" s="8" t="str">
        <f aca="false">COUNTIF(Balance_ciclo!$K$23:$K$25,"En meta")&amp;" de "&amp;ROWS(Balance_ciclo!$K$23:$K$25)</f>
        <v>2 de 3</v>
      </c>
      <c r="J21" s="8" t="n">
        <f aca="false">Cobertura_objetivos!C122</f>
        <v>23</v>
      </c>
      <c r="K21" s="8" t="n">
        <f aca="false">Cobertura_objetivos!D122</f>
        <v>23</v>
      </c>
      <c r="L21" s="10" t="n">
        <f aca="false">Cobertura_objetivos!E122</f>
        <v>1</v>
      </c>
      <c r="M21" s="8" t="n">
        <f aca="false">Cobertura_objetivos!F122</f>
        <v>0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5" t="s">
        <v>70</v>
      </c>
    </row>
    <row r="2" customFormat="false" ht="15" hidden="false" customHeight="false" outlineLevel="0" collapsed="false">
      <c r="A2" s="14" t="s">
        <v>71</v>
      </c>
      <c r="H2" s="15" t="n">
        <v>0.05</v>
      </c>
    </row>
    <row r="3" customFormat="false" ht="54" hidden="false" customHeight="true" outlineLevel="0" collapsed="false">
      <c r="A3" s="6" t="s">
        <v>72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66" hidden="false" customHeight="true" outlineLevel="0" collapsed="false">
      <c r="A5" s="7" t="s">
        <v>31</v>
      </c>
      <c r="B5" s="7" t="s">
        <v>32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83</v>
      </c>
      <c r="N5" s="7" t="s">
        <v>84</v>
      </c>
    </row>
    <row r="6" customFormat="false" ht="15" hidden="false" customHeight="false" outlineLevel="0" collapsed="false">
      <c r="A6" s="8" t="s">
        <v>66</v>
      </c>
      <c r="B6" s="8" t="s">
        <v>45</v>
      </c>
      <c r="C6" s="8" t="s">
        <v>85</v>
      </c>
      <c r="D6" s="8" t="n">
        <f aca="false">COUNTIFS(Temas_TIMSS!$W$5:$W$1264,$A6,Temas_TIMSS!$M$5:$M$1264,$C6)</f>
        <v>92</v>
      </c>
      <c r="E6" s="8" t="n">
        <f aca="false">COUNTIFS(Temas_TIMSS!$W$5:$W$1264,$A6)-COUNTIFS(Temas_TIMSS!$W$5:$W$1264,$A6,Temas_TIMSS!$K$5:$K$1264,"FUERA")-COUNTIFS(Temas_TIMSS!$W$5:$W$1264,$A6,Temas_TIMSS!$K$5:$K$1264,"PENDIENTE")</f>
        <v>178</v>
      </c>
      <c r="F6" s="10" t="n">
        <f aca="false">IF(E6=0,0,D6/E6)</f>
        <v>0.51685393258427</v>
      </c>
      <c r="G6" s="16" t="n">
        <v>0.45</v>
      </c>
      <c r="H6" s="17" t="n">
        <f aca="false">G6*E6</f>
        <v>80.1</v>
      </c>
      <c r="I6" s="18" t="n">
        <f aca="false">H6-D6</f>
        <v>-11.9</v>
      </c>
      <c r="J6" s="19" t="n">
        <f aca="false">(G6-F6)*100</f>
        <v>-6.68539325842697</v>
      </c>
      <c r="K6" s="20" t="str">
        <f aca="false">IF(ABS(G6-F6)&lt;=$H$2,"En meta",IF(I6&gt;0,"Faltan "&amp;ROUND(I6,0)&amp;" temas","Sobran "&amp;ROUND(-I6,0)&amp;" temas"))</f>
        <v>Sobran 12 temas</v>
      </c>
      <c r="L6" s="17" t="n">
        <f aca="false">MAX(D6/G6,D7/G7,D8/G8)</f>
        <v>204.444444444444</v>
      </c>
      <c r="M6" s="8" t="n">
        <f aca="false">MAX(0,ROUNDUP(G6*L6-D6,0))</f>
        <v>0</v>
      </c>
      <c r="N6" s="8" t="n">
        <f aca="false">COUNTIFS(Temas_TIMSS!$W$5:$W$1264,$A6,Temas_TIMSS!$K$5:$K$1264,"FUERA")</f>
        <v>30</v>
      </c>
    </row>
    <row r="7" customFormat="false" ht="15" hidden="false" customHeight="false" outlineLevel="0" collapsed="false">
      <c r="A7" s="8" t="s">
        <v>66</v>
      </c>
      <c r="B7" s="8" t="s">
        <v>45</v>
      </c>
      <c r="C7" s="8" t="s">
        <v>86</v>
      </c>
      <c r="D7" s="8" t="n">
        <f aca="false">COUNTIFS(Temas_TIMSS!$W$5:$W$1264,$A7,Temas_TIMSS!$M$5:$M$1264,$C7)</f>
        <v>49</v>
      </c>
      <c r="E7" s="8" t="n">
        <f aca="false">COUNTIFS(Temas_TIMSS!$W$5:$W$1264,$A7)-COUNTIFS(Temas_TIMSS!$W$5:$W$1264,$A7,Temas_TIMSS!$K$5:$K$1264,"FUERA")-COUNTIFS(Temas_TIMSS!$W$5:$W$1264,$A7,Temas_TIMSS!$K$5:$K$1264,"PENDIENTE")</f>
        <v>178</v>
      </c>
      <c r="F7" s="10" t="n">
        <f aca="false">IF(E7=0,0,D7/E7)</f>
        <v>0.275280898876405</v>
      </c>
      <c r="G7" s="16" t="n">
        <v>0.35</v>
      </c>
      <c r="H7" s="17" t="n">
        <f aca="false">G7*E7</f>
        <v>62.3</v>
      </c>
      <c r="I7" s="18" t="n">
        <f aca="false">H7-D7</f>
        <v>13.3</v>
      </c>
      <c r="J7" s="19" t="n">
        <f aca="false">(G7-F7)*100</f>
        <v>7.47191011235955</v>
      </c>
      <c r="K7" s="20" t="str">
        <f aca="false">IF(ABS(G7-F7)&lt;=$H$2,"En meta",IF(I7&gt;0,"Faltan "&amp;ROUND(I7,0)&amp;" temas","Sobran "&amp;ROUND(-I7,0)&amp;" temas"))</f>
        <v>Faltan 13 temas</v>
      </c>
      <c r="L7" s="17" t="n">
        <f aca="false">MAX(D6/G6,D7/G7,D8/G8)</f>
        <v>204.444444444444</v>
      </c>
      <c r="M7" s="8" t="n">
        <f aca="false">MAX(0,ROUNDUP(G7*L7-D7,0))</f>
        <v>23</v>
      </c>
      <c r="N7" s="8" t="n">
        <f aca="false">COUNTIFS(Temas_TIMSS!$W$5:$W$1264,$A7,Temas_TIMSS!$K$5:$K$1264,"FUERA")</f>
        <v>30</v>
      </c>
    </row>
    <row r="8" customFormat="false" ht="15" hidden="false" customHeight="false" outlineLevel="0" collapsed="false">
      <c r="A8" s="8" t="s">
        <v>66</v>
      </c>
      <c r="B8" s="8" t="s">
        <v>45</v>
      </c>
      <c r="C8" s="8" t="s">
        <v>87</v>
      </c>
      <c r="D8" s="8" t="n">
        <f aca="false">COUNTIFS(Temas_TIMSS!$W$5:$W$1264,$A8,Temas_TIMSS!$M$5:$M$1264,$C8)</f>
        <v>37</v>
      </c>
      <c r="E8" s="8" t="n">
        <f aca="false">COUNTIFS(Temas_TIMSS!$W$5:$W$1264,$A8)-COUNTIFS(Temas_TIMSS!$W$5:$W$1264,$A8,Temas_TIMSS!$K$5:$K$1264,"FUERA")-COUNTIFS(Temas_TIMSS!$W$5:$W$1264,$A8,Temas_TIMSS!$K$5:$K$1264,"PENDIENTE")</f>
        <v>178</v>
      </c>
      <c r="F8" s="10" t="n">
        <f aca="false">IF(E8=0,0,D8/E8)</f>
        <v>0.207865168539326</v>
      </c>
      <c r="G8" s="16" t="n">
        <v>0.2</v>
      </c>
      <c r="H8" s="17" t="n">
        <f aca="false">G8*E8</f>
        <v>35.6</v>
      </c>
      <c r="I8" s="18" t="n">
        <f aca="false">H8-D8</f>
        <v>-1.4</v>
      </c>
      <c r="J8" s="19" t="n">
        <f aca="false">(G8-F8)*100</f>
        <v>-0.786516853932584</v>
      </c>
      <c r="K8" s="20" t="str">
        <f aca="false">IF(ABS(G8-F8)&lt;=$H$2,"En meta",IF(I8&gt;0,"Faltan "&amp;ROUND(I8,0)&amp;" temas","Sobran "&amp;ROUND(-I8,0)&amp;" temas"))</f>
        <v>En meta</v>
      </c>
      <c r="L8" s="17" t="n">
        <f aca="false">MAX(D6/G6,D7/G7,D8/G8)</f>
        <v>204.444444444444</v>
      </c>
      <c r="M8" s="8" t="n">
        <f aca="false">MAX(0,ROUNDUP(G8*L8-D8,0))</f>
        <v>4</v>
      </c>
      <c r="N8" s="8" t="n">
        <f aca="false">COUNTIFS(Temas_TIMSS!$W$5:$W$1264,$A8,Temas_TIMSS!$K$5:$K$1264,"FUERA")</f>
        <v>30</v>
      </c>
    </row>
    <row r="9" customFormat="false" ht="15" hidden="false" customHeight="false" outlineLevel="0" collapsed="false">
      <c r="A9" s="21"/>
      <c r="B9" s="21"/>
      <c r="C9" s="21" t="s">
        <v>88</v>
      </c>
      <c r="D9" s="21" t="n">
        <f aca="false">SUM(D6:D8)</f>
        <v>178</v>
      </c>
      <c r="E9" s="21"/>
      <c r="F9" s="21"/>
      <c r="G9" s="22" t="n">
        <f aca="false">SUM(G6:G8)</f>
        <v>1</v>
      </c>
      <c r="H9" s="21"/>
      <c r="I9" s="21"/>
      <c r="J9" s="21"/>
      <c r="K9" s="21"/>
      <c r="L9" s="21"/>
      <c r="M9" s="21" t="n">
        <f aca="false">SUM(M6:M8)</f>
        <v>27</v>
      </c>
      <c r="N9" s="21"/>
    </row>
    <row r="11" customFormat="false" ht="15" hidden="false" customHeight="false" outlineLevel="0" collapsed="false">
      <c r="A11" s="8" t="s">
        <v>67</v>
      </c>
      <c r="B11" s="8" t="s">
        <v>49</v>
      </c>
      <c r="C11" s="8" t="s">
        <v>89</v>
      </c>
      <c r="D11" s="8" t="n">
        <f aca="false">COUNTIFS(Temas_TIMSS!$W$5:$W$1264,$A11,Temas_TIMSS!$M$5:$M$1264,$C11)</f>
        <v>111</v>
      </c>
      <c r="E11" s="8" t="n">
        <f aca="false">COUNTIFS(Temas_TIMSS!$W$5:$W$1264,$A11)-COUNTIFS(Temas_TIMSS!$W$5:$W$1264,$A11,Temas_TIMSS!$K$5:$K$1264,"FUERA")-COUNTIFS(Temas_TIMSS!$W$5:$W$1264,$A11,Temas_TIMSS!$K$5:$K$1264,"PENDIENTE")</f>
        <v>302</v>
      </c>
      <c r="F11" s="10" t="n">
        <f aca="false">IF(E11=0,0,D11/E11)</f>
        <v>0.367549668874172</v>
      </c>
      <c r="G11" s="16" t="n">
        <v>0.35</v>
      </c>
      <c r="H11" s="17" t="n">
        <f aca="false">G11*E11</f>
        <v>105.7</v>
      </c>
      <c r="I11" s="18" t="n">
        <f aca="false">H11-D11</f>
        <v>-5.30000000000001</v>
      </c>
      <c r="J11" s="19" t="n">
        <f aca="false">(G11-F11)*100</f>
        <v>-1.75496688741722</v>
      </c>
      <c r="K11" s="20" t="str">
        <f aca="false">IF(ABS(G11-F11)&lt;=$H$2,"En meta",IF(I11&gt;0,"Faltan "&amp;ROUND(I11,0)&amp;" temas","Sobran "&amp;ROUND(-I11,0)&amp;" temas"))</f>
        <v>En meta</v>
      </c>
      <c r="L11" s="17" t="n">
        <f aca="false">MAX(D11/G11,D12/G12,D13/G13,D14/G14)</f>
        <v>317.142857142857</v>
      </c>
      <c r="M11" s="8" t="n">
        <f aca="false">MAX(0,ROUNDUP(G11*L11-D11,0))</f>
        <v>0</v>
      </c>
      <c r="N11" s="8" t="n">
        <f aca="false">COUNTIFS(Temas_TIMSS!$W$5:$W$1264,$A11,Temas_TIMSS!$K$5:$K$1264,"FUERA")</f>
        <v>22</v>
      </c>
    </row>
    <row r="12" customFormat="false" ht="15" hidden="false" customHeight="false" outlineLevel="0" collapsed="false">
      <c r="A12" s="8" t="s">
        <v>67</v>
      </c>
      <c r="B12" s="8" t="s">
        <v>49</v>
      </c>
      <c r="C12" s="8" t="s">
        <v>90</v>
      </c>
      <c r="D12" s="8" t="n">
        <f aca="false">COUNTIFS(Temas_TIMSS!$W$5:$W$1264,$A12,Temas_TIMSS!$M$5:$M$1264,$C12)</f>
        <v>58</v>
      </c>
      <c r="E12" s="8" t="n">
        <f aca="false">COUNTIFS(Temas_TIMSS!$W$5:$W$1264,$A12)-COUNTIFS(Temas_TIMSS!$W$5:$W$1264,$A12,Temas_TIMSS!$K$5:$K$1264,"FUERA")-COUNTIFS(Temas_TIMSS!$W$5:$W$1264,$A12,Temas_TIMSS!$K$5:$K$1264,"PENDIENTE")</f>
        <v>302</v>
      </c>
      <c r="F12" s="10" t="n">
        <f aca="false">IF(E12=0,0,D12/E12)</f>
        <v>0.19205298013245</v>
      </c>
      <c r="G12" s="16" t="n">
        <v>0.2</v>
      </c>
      <c r="H12" s="17" t="n">
        <f aca="false">G12*E12</f>
        <v>60.4</v>
      </c>
      <c r="I12" s="18" t="n">
        <f aca="false">H12-D12</f>
        <v>2.40000000000001</v>
      </c>
      <c r="J12" s="19" t="n">
        <f aca="false">(G12-F12)*100</f>
        <v>0.794701986754967</v>
      </c>
      <c r="K12" s="20" t="str">
        <f aca="false">IF(ABS(G12-F12)&lt;=$H$2,"En meta",IF(I12&gt;0,"Faltan "&amp;ROUND(I12,0)&amp;" temas","Sobran "&amp;ROUND(-I12,0)&amp;" temas"))</f>
        <v>En meta</v>
      </c>
      <c r="L12" s="17" t="n">
        <f aca="false">MAX(D11/G11,D12/G12,D13/G13,D14/G14)</f>
        <v>317.142857142857</v>
      </c>
      <c r="M12" s="8" t="n">
        <f aca="false">MAX(0,ROUNDUP(G12*L12-D12,0))</f>
        <v>6</v>
      </c>
      <c r="N12" s="8" t="n">
        <f aca="false">COUNTIFS(Temas_TIMSS!$W$5:$W$1264,$A12,Temas_TIMSS!$K$5:$K$1264,"FUERA")</f>
        <v>22</v>
      </c>
    </row>
    <row r="13" customFormat="false" ht="15" hidden="false" customHeight="false" outlineLevel="0" collapsed="false">
      <c r="A13" s="8" t="s">
        <v>67</v>
      </c>
      <c r="B13" s="8" t="s">
        <v>49</v>
      </c>
      <c r="C13" s="8" t="s">
        <v>91</v>
      </c>
      <c r="D13" s="8" t="n">
        <f aca="false">COUNTIFS(Temas_TIMSS!$W$5:$W$1264,$A13,Temas_TIMSS!$M$5:$M$1264,$C13)</f>
        <v>79</v>
      </c>
      <c r="E13" s="8" t="n">
        <f aca="false">COUNTIFS(Temas_TIMSS!$W$5:$W$1264,$A13)-COUNTIFS(Temas_TIMSS!$W$5:$W$1264,$A13,Temas_TIMSS!$K$5:$K$1264,"FUERA")-COUNTIFS(Temas_TIMSS!$W$5:$W$1264,$A13,Temas_TIMSS!$K$5:$K$1264,"PENDIENTE")</f>
        <v>302</v>
      </c>
      <c r="F13" s="10" t="n">
        <f aca="false">IF(E13=0,0,D13/E13)</f>
        <v>0.26158940397351</v>
      </c>
      <c r="G13" s="16" t="n">
        <v>0.25</v>
      </c>
      <c r="H13" s="17" t="n">
        <f aca="false">G13*E13</f>
        <v>75.5</v>
      </c>
      <c r="I13" s="18" t="n">
        <f aca="false">H13-D13</f>
        <v>-3.5</v>
      </c>
      <c r="J13" s="19" t="n">
        <f aca="false">(G13-F13)*100</f>
        <v>-1.15894039735099</v>
      </c>
      <c r="K13" s="20" t="str">
        <f aca="false">IF(ABS(G13-F13)&lt;=$H$2,"En meta",IF(I13&gt;0,"Faltan "&amp;ROUND(I13,0)&amp;" temas","Sobran "&amp;ROUND(-I13,0)&amp;" temas"))</f>
        <v>En meta</v>
      </c>
      <c r="L13" s="17" t="n">
        <f aca="false">MAX(D11/G11,D12/G12,D13/G13,D14/G14)</f>
        <v>317.142857142857</v>
      </c>
      <c r="M13" s="8" t="n">
        <f aca="false">MAX(0,ROUNDUP(G13*L13-D13,0))</f>
        <v>1</v>
      </c>
      <c r="N13" s="8" t="n">
        <f aca="false">COUNTIFS(Temas_TIMSS!$W$5:$W$1264,$A13,Temas_TIMSS!$K$5:$K$1264,"FUERA")</f>
        <v>22</v>
      </c>
    </row>
    <row r="14" customFormat="false" ht="15" hidden="false" customHeight="false" outlineLevel="0" collapsed="false">
      <c r="A14" s="8" t="s">
        <v>67</v>
      </c>
      <c r="B14" s="8" t="s">
        <v>49</v>
      </c>
      <c r="C14" s="8" t="s">
        <v>87</v>
      </c>
      <c r="D14" s="8" t="n">
        <f aca="false">COUNTIFS(Temas_TIMSS!$W$5:$W$1264,$A14,Temas_TIMSS!$M$5:$M$1264,$C14)</f>
        <v>54</v>
      </c>
      <c r="E14" s="8" t="n">
        <f aca="false">COUNTIFS(Temas_TIMSS!$W$5:$W$1264,$A14)-COUNTIFS(Temas_TIMSS!$W$5:$W$1264,$A14,Temas_TIMSS!$K$5:$K$1264,"FUERA")-COUNTIFS(Temas_TIMSS!$W$5:$W$1264,$A14,Temas_TIMSS!$K$5:$K$1264,"PENDIENTE")</f>
        <v>302</v>
      </c>
      <c r="F14" s="10" t="n">
        <f aca="false">IF(E14=0,0,D14/E14)</f>
        <v>0.178807947019868</v>
      </c>
      <c r="G14" s="16" t="n">
        <v>0.2</v>
      </c>
      <c r="H14" s="17" t="n">
        <f aca="false">G14*E14</f>
        <v>60.4</v>
      </c>
      <c r="I14" s="18" t="n">
        <f aca="false">H14-D14</f>
        <v>6.40000000000001</v>
      </c>
      <c r="J14" s="19" t="n">
        <f aca="false">(G14-F14)*100</f>
        <v>2.11920529801325</v>
      </c>
      <c r="K14" s="20" t="str">
        <f aca="false">IF(ABS(G14-F14)&lt;=$H$2,"En meta",IF(I14&gt;0,"Faltan "&amp;ROUND(I14,0)&amp;" temas","Sobran "&amp;ROUND(-I14,0)&amp;" temas"))</f>
        <v>En meta</v>
      </c>
      <c r="L14" s="17" t="n">
        <f aca="false">MAX(D11/G11,D12/G12,D13/G13,D14/G14)</f>
        <v>317.142857142857</v>
      </c>
      <c r="M14" s="8" t="n">
        <f aca="false">MAX(0,ROUNDUP(G14*L14-D14,0))</f>
        <v>10</v>
      </c>
      <c r="N14" s="8" t="n">
        <f aca="false">COUNTIFS(Temas_TIMSS!$W$5:$W$1264,$A14,Temas_TIMSS!$K$5:$K$1264,"FUERA")</f>
        <v>22</v>
      </c>
    </row>
    <row r="15" customFormat="false" ht="15" hidden="false" customHeight="false" outlineLevel="0" collapsed="false">
      <c r="A15" s="21"/>
      <c r="B15" s="21"/>
      <c r="C15" s="21" t="s">
        <v>88</v>
      </c>
      <c r="D15" s="21" t="n">
        <f aca="false">SUM(D11:D14)</f>
        <v>302</v>
      </c>
      <c r="E15" s="21"/>
      <c r="F15" s="21"/>
      <c r="G15" s="22" t="n">
        <f aca="false">SUM(G11:G14)</f>
        <v>1</v>
      </c>
      <c r="H15" s="21"/>
      <c r="I15" s="21"/>
      <c r="J15" s="21"/>
      <c r="K15" s="21"/>
      <c r="L15" s="21"/>
      <c r="M15" s="21" t="n">
        <f aca="false">SUM(M11:M14)</f>
        <v>17</v>
      </c>
      <c r="N15" s="21"/>
    </row>
    <row r="17" customFormat="false" ht="15" hidden="false" customHeight="false" outlineLevel="0" collapsed="false">
      <c r="A17" s="8" t="s">
        <v>53</v>
      </c>
      <c r="B17" s="8" t="s">
        <v>49</v>
      </c>
      <c r="C17" s="8" t="s">
        <v>89</v>
      </c>
      <c r="D17" s="8" t="n">
        <f aca="false">COUNTIFS(Temas_TIMSS!$W$5:$W$1264,$A17,Temas_TIMSS!$M$5:$M$1264,$C17)</f>
        <v>4</v>
      </c>
      <c r="E17" s="8" t="n">
        <f aca="false">COUNTIFS(Temas_TIMSS!$W$5:$W$1264,$A17)-COUNTIFS(Temas_TIMSS!$W$5:$W$1264,$A17,Temas_TIMSS!$K$5:$K$1264,"FUERA")-COUNTIFS(Temas_TIMSS!$W$5:$W$1264,$A17,Temas_TIMSS!$K$5:$K$1264,"PENDIENTE")</f>
        <v>82</v>
      </c>
      <c r="F17" s="10" t="n">
        <f aca="false">IF(E17=0,0,D17/E17)</f>
        <v>0.0487804878048781</v>
      </c>
      <c r="G17" s="16" t="n">
        <v>0.35</v>
      </c>
      <c r="H17" s="17" t="n">
        <f aca="false">G17*E17</f>
        <v>28.7</v>
      </c>
      <c r="I17" s="18" t="n">
        <f aca="false">H17-D17</f>
        <v>24.7</v>
      </c>
      <c r="J17" s="19" t="n">
        <f aca="false">(G17-F17)*100</f>
        <v>30.1219512195122</v>
      </c>
      <c r="K17" s="20" t="str">
        <f aca="false">IF(ABS(G17-F17)&lt;=$H$2,"En meta",IF(I17&gt;0,"Faltan "&amp;ROUND(I17,0)&amp;" temas","Sobran "&amp;ROUND(-I17,0)&amp;" temas"))</f>
        <v>Faltan 25 temas</v>
      </c>
      <c r="L17" s="17" t="n">
        <f aca="false">MAX(D17/G17,D18/G18,D19/G19,D20/G20)</f>
        <v>152</v>
      </c>
      <c r="M17" s="8" t="n">
        <f aca="false">MAX(0,ROUNDUP(G17*L17-D17,0))</f>
        <v>50</v>
      </c>
      <c r="N17" s="8" t="n">
        <f aca="false">COUNTIFS(Temas_TIMSS!$W$5:$W$1264,$A17,Temas_TIMSS!$K$5:$K$1264,"FUERA")</f>
        <v>8</v>
      </c>
    </row>
    <row r="18" customFormat="false" ht="15" hidden="false" customHeight="false" outlineLevel="0" collapsed="false">
      <c r="A18" s="8" t="s">
        <v>53</v>
      </c>
      <c r="B18" s="8" t="s">
        <v>49</v>
      </c>
      <c r="C18" s="8" t="s">
        <v>90</v>
      </c>
      <c r="D18" s="8" t="n">
        <f aca="false">COUNTIFS(Temas_TIMSS!$W$5:$W$1264,$A18,Temas_TIMSS!$M$5:$M$1264,$C18)</f>
        <v>20</v>
      </c>
      <c r="E18" s="8" t="n">
        <f aca="false">COUNTIFS(Temas_TIMSS!$W$5:$W$1264,$A18)-COUNTIFS(Temas_TIMSS!$W$5:$W$1264,$A18,Temas_TIMSS!$K$5:$K$1264,"FUERA")-COUNTIFS(Temas_TIMSS!$W$5:$W$1264,$A18,Temas_TIMSS!$K$5:$K$1264,"PENDIENTE")</f>
        <v>82</v>
      </c>
      <c r="F18" s="10" t="n">
        <f aca="false">IF(E18=0,0,D18/E18)</f>
        <v>0.24390243902439</v>
      </c>
      <c r="G18" s="16" t="n">
        <v>0.2</v>
      </c>
      <c r="H18" s="17" t="n">
        <f aca="false">G18*E18</f>
        <v>16.4</v>
      </c>
      <c r="I18" s="18" t="n">
        <f aca="false">H18-D18</f>
        <v>-3.6</v>
      </c>
      <c r="J18" s="19" t="n">
        <f aca="false">(G18-F18)*100</f>
        <v>-4.39024390243902</v>
      </c>
      <c r="K18" s="20" t="str">
        <f aca="false">IF(ABS(G18-F18)&lt;=$H$2,"En meta",IF(I18&gt;0,"Faltan "&amp;ROUND(I18,0)&amp;" temas","Sobran "&amp;ROUND(-I18,0)&amp;" temas"))</f>
        <v>En meta</v>
      </c>
      <c r="L18" s="17" t="n">
        <f aca="false">MAX(D17/G17,D18/G18,D19/G19,D20/G20)</f>
        <v>152</v>
      </c>
      <c r="M18" s="8" t="n">
        <f aca="false">MAX(0,ROUNDUP(G18*L18-D18,0))</f>
        <v>11</v>
      </c>
      <c r="N18" s="8" t="n">
        <f aca="false">COUNTIFS(Temas_TIMSS!$W$5:$W$1264,$A18,Temas_TIMSS!$K$5:$K$1264,"FUERA")</f>
        <v>8</v>
      </c>
    </row>
    <row r="19" customFormat="false" ht="15" hidden="false" customHeight="false" outlineLevel="0" collapsed="false">
      <c r="A19" s="8" t="s">
        <v>53</v>
      </c>
      <c r="B19" s="8" t="s">
        <v>49</v>
      </c>
      <c r="C19" s="8" t="s">
        <v>91</v>
      </c>
      <c r="D19" s="8" t="n">
        <f aca="false">COUNTIFS(Temas_TIMSS!$W$5:$W$1264,$A19,Temas_TIMSS!$M$5:$M$1264,$C19)</f>
        <v>38</v>
      </c>
      <c r="E19" s="8" t="n">
        <f aca="false">COUNTIFS(Temas_TIMSS!$W$5:$W$1264,$A19)-COUNTIFS(Temas_TIMSS!$W$5:$W$1264,$A19,Temas_TIMSS!$K$5:$K$1264,"FUERA")-COUNTIFS(Temas_TIMSS!$W$5:$W$1264,$A19,Temas_TIMSS!$K$5:$K$1264,"PENDIENTE")</f>
        <v>82</v>
      </c>
      <c r="F19" s="10" t="n">
        <f aca="false">IF(E19=0,0,D19/E19)</f>
        <v>0.463414634146342</v>
      </c>
      <c r="G19" s="16" t="n">
        <v>0.25</v>
      </c>
      <c r="H19" s="17" t="n">
        <f aca="false">G19*E19</f>
        <v>20.5</v>
      </c>
      <c r="I19" s="18" t="n">
        <f aca="false">H19-D19</f>
        <v>-17.5</v>
      </c>
      <c r="J19" s="19" t="n">
        <f aca="false">(G19-F19)*100</f>
        <v>-21.3414634146342</v>
      </c>
      <c r="K19" s="20" t="str">
        <f aca="false">IF(ABS(G19-F19)&lt;=$H$2,"En meta",IF(I19&gt;0,"Faltan "&amp;ROUND(I19,0)&amp;" temas","Sobran "&amp;ROUND(-I19,0)&amp;" temas"))</f>
        <v>Sobran 18 temas</v>
      </c>
      <c r="L19" s="17" t="n">
        <f aca="false">MAX(D17/G17,D18/G18,D19/G19,D20/G20)</f>
        <v>152</v>
      </c>
      <c r="M19" s="8" t="n">
        <f aca="false">MAX(0,ROUNDUP(G19*L19-D19,0))</f>
        <v>0</v>
      </c>
      <c r="N19" s="8" t="n">
        <f aca="false">COUNTIFS(Temas_TIMSS!$W$5:$W$1264,$A19,Temas_TIMSS!$K$5:$K$1264,"FUERA")</f>
        <v>8</v>
      </c>
    </row>
    <row r="20" customFormat="false" ht="15" hidden="false" customHeight="false" outlineLevel="0" collapsed="false">
      <c r="A20" s="8" t="s">
        <v>53</v>
      </c>
      <c r="B20" s="8" t="s">
        <v>49</v>
      </c>
      <c r="C20" s="8" t="s">
        <v>87</v>
      </c>
      <c r="D20" s="8" t="n">
        <f aca="false">COUNTIFS(Temas_TIMSS!$W$5:$W$1264,$A20,Temas_TIMSS!$M$5:$M$1264,$C20)</f>
        <v>20</v>
      </c>
      <c r="E20" s="8" t="n">
        <f aca="false">COUNTIFS(Temas_TIMSS!$W$5:$W$1264,$A20)-COUNTIFS(Temas_TIMSS!$W$5:$W$1264,$A20,Temas_TIMSS!$K$5:$K$1264,"FUERA")-COUNTIFS(Temas_TIMSS!$W$5:$W$1264,$A20,Temas_TIMSS!$K$5:$K$1264,"PENDIENTE")</f>
        <v>82</v>
      </c>
      <c r="F20" s="10" t="n">
        <f aca="false">IF(E20=0,0,D20/E20)</f>
        <v>0.24390243902439</v>
      </c>
      <c r="G20" s="16" t="n">
        <v>0.2</v>
      </c>
      <c r="H20" s="17" t="n">
        <f aca="false">G20*E20</f>
        <v>16.4</v>
      </c>
      <c r="I20" s="18" t="n">
        <f aca="false">H20-D20</f>
        <v>-3.6</v>
      </c>
      <c r="J20" s="19" t="n">
        <f aca="false">(G20-F20)*100</f>
        <v>-4.39024390243902</v>
      </c>
      <c r="K20" s="20" t="str">
        <f aca="false">IF(ABS(G20-F20)&lt;=$H$2,"En meta",IF(I20&gt;0,"Faltan "&amp;ROUND(I20,0)&amp;" temas","Sobran "&amp;ROUND(-I20,0)&amp;" temas"))</f>
        <v>En meta</v>
      </c>
      <c r="L20" s="17" t="n">
        <f aca="false">MAX(D17/G17,D18/G18,D19/G19,D20/G20)</f>
        <v>152</v>
      </c>
      <c r="M20" s="8" t="n">
        <f aca="false">MAX(0,ROUNDUP(G20*L20-D20,0))</f>
        <v>11</v>
      </c>
      <c r="N20" s="8" t="n">
        <f aca="false">COUNTIFS(Temas_TIMSS!$W$5:$W$1264,$A20,Temas_TIMSS!$K$5:$K$1264,"FUERA")</f>
        <v>8</v>
      </c>
    </row>
    <row r="21" customFormat="false" ht="15" hidden="false" customHeight="false" outlineLevel="0" collapsed="false">
      <c r="A21" s="21"/>
      <c r="B21" s="21"/>
      <c r="C21" s="21" t="s">
        <v>88</v>
      </c>
      <c r="D21" s="21" t="n">
        <f aca="false">SUM(D17:D20)</f>
        <v>82</v>
      </c>
      <c r="E21" s="21"/>
      <c r="F21" s="21"/>
      <c r="G21" s="22" t="n">
        <f aca="false">SUM(G17:G20)</f>
        <v>1</v>
      </c>
      <c r="H21" s="21"/>
      <c r="I21" s="21"/>
      <c r="J21" s="21"/>
      <c r="K21" s="21"/>
      <c r="L21" s="21"/>
      <c r="M21" s="21" t="n">
        <f aca="false">SUM(M17:M20)</f>
        <v>72</v>
      </c>
      <c r="N21" s="21"/>
    </row>
    <row r="23" customFormat="false" ht="15" hidden="false" customHeight="false" outlineLevel="0" collapsed="false">
      <c r="A23" s="8" t="s">
        <v>69</v>
      </c>
      <c r="B23" s="8" t="s">
        <v>55</v>
      </c>
      <c r="C23" s="8" t="s">
        <v>92</v>
      </c>
      <c r="D23" s="8" t="n">
        <f aca="false">COUNTIFS(Temas_TIMSS!$W$5:$W$1264,$A23,Temas_TIMSS!$M$5:$M$1264,$C23)</f>
        <v>71</v>
      </c>
      <c r="E23" s="8" t="n">
        <f aca="false">COUNTIFS(Temas_TIMSS!$W$5:$W$1264,$A23)-COUNTIFS(Temas_TIMSS!$W$5:$W$1264,$A23,Temas_TIMSS!$K$5:$K$1264,"FUERA")-COUNTIFS(Temas_TIMSS!$W$5:$W$1264,$A23,Temas_TIMSS!$K$5:$K$1264,"PENDIENTE")</f>
        <v>199</v>
      </c>
      <c r="F23" s="10" t="n">
        <f aca="false">IF(E23=0,0,D23/E23)</f>
        <v>0.35678391959799</v>
      </c>
      <c r="G23" s="16" t="n">
        <v>0.4</v>
      </c>
      <c r="H23" s="17" t="n">
        <f aca="false">G23*E23</f>
        <v>79.6</v>
      </c>
      <c r="I23" s="18" t="n">
        <f aca="false">H23-D23</f>
        <v>8.60000000000001</v>
      </c>
      <c r="J23" s="19" t="n">
        <f aca="false">(G23-F23)*100</f>
        <v>4.32160804020101</v>
      </c>
      <c r="K23" s="20" t="str">
        <f aca="false">IF(ABS(G23-F23)&lt;=$H$2,"En meta",IF(I23&gt;0,"Faltan "&amp;ROUND(I23,0)&amp;" temas","Sobran "&amp;ROUND(-I23,0)&amp;" temas"))</f>
        <v>En meta</v>
      </c>
      <c r="L23" s="17" t="n">
        <f aca="false">MAX(D23/G23,D24/G24,D25/G25)</f>
        <v>242.857142857143</v>
      </c>
      <c r="M23" s="8" t="n">
        <f aca="false">MAX(0,ROUNDUP(G23*L23-D23,0))</f>
        <v>27</v>
      </c>
      <c r="N23" s="8" t="n">
        <f aca="false">COUNTIFS(Temas_TIMSS!$W$5:$W$1264,$A23,Temas_TIMSS!$K$5:$K$1264,"FUERA")</f>
        <v>68</v>
      </c>
    </row>
    <row r="24" customFormat="false" ht="15" hidden="false" customHeight="false" outlineLevel="0" collapsed="false">
      <c r="A24" s="8" t="s">
        <v>69</v>
      </c>
      <c r="B24" s="8" t="s">
        <v>55</v>
      </c>
      <c r="C24" s="8" t="s">
        <v>93</v>
      </c>
      <c r="D24" s="8" t="n">
        <f aca="false">COUNTIFS(Temas_TIMSS!$W$5:$W$1264,$A24,Temas_TIMSS!$M$5:$M$1264,$C24)</f>
        <v>43</v>
      </c>
      <c r="E24" s="8" t="n">
        <f aca="false">COUNTIFS(Temas_TIMSS!$W$5:$W$1264,$A24)-COUNTIFS(Temas_TIMSS!$W$5:$W$1264,$A24,Temas_TIMSS!$K$5:$K$1264,"FUERA")-COUNTIFS(Temas_TIMSS!$W$5:$W$1264,$A24,Temas_TIMSS!$K$5:$K$1264,"PENDIENTE")</f>
        <v>199</v>
      </c>
      <c r="F24" s="10" t="n">
        <f aca="false">IF(E24=0,0,D24/E24)</f>
        <v>0.21608040201005</v>
      </c>
      <c r="G24" s="16" t="n">
        <v>0.25</v>
      </c>
      <c r="H24" s="17" t="n">
        <f aca="false">G24*E24</f>
        <v>49.75</v>
      </c>
      <c r="I24" s="18" t="n">
        <f aca="false">H24-D24</f>
        <v>6.75</v>
      </c>
      <c r="J24" s="19" t="n">
        <f aca="false">(G24-F24)*100</f>
        <v>3.39195979899498</v>
      </c>
      <c r="K24" s="20" t="str">
        <f aca="false">IF(ABS(G24-F24)&lt;=$H$2,"En meta",IF(I24&gt;0,"Faltan "&amp;ROUND(I24,0)&amp;" temas","Sobran "&amp;ROUND(-I24,0)&amp;" temas"))</f>
        <v>En meta</v>
      </c>
      <c r="L24" s="17" t="n">
        <f aca="false">MAX(D23/G23,D24/G24,D25/G25)</f>
        <v>242.857142857143</v>
      </c>
      <c r="M24" s="8" t="n">
        <f aca="false">MAX(0,ROUNDUP(G24*L24-D24,0))</f>
        <v>18</v>
      </c>
      <c r="N24" s="8" t="n">
        <f aca="false">COUNTIFS(Temas_TIMSS!$W$5:$W$1264,$A24,Temas_TIMSS!$K$5:$K$1264,"FUERA")</f>
        <v>68</v>
      </c>
    </row>
    <row r="25" customFormat="false" ht="15" hidden="false" customHeight="false" outlineLevel="0" collapsed="false">
      <c r="A25" s="8" t="s">
        <v>69</v>
      </c>
      <c r="B25" s="8" t="s">
        <v>55</v>
      </c>
      <c r="C25" s="8" t="s">
        <v>94</v>
      </c>
      <c r="D25" s="8" t="n">
        <f aca="false">COUNTIFS(Temas_TIMSS!$W$5:$W$1264,$A25,Temas_TIMSS!$M$5:$M$1264,$C25)</f>
        <v>85</v>
      </c>
      <c r="E25" s="8" t="n">
        <f aca="false">COUNTIFS(Temas_TIMSS!$W$5:$W$1264,$A25)-COUNTIFS(Temas_TIMSS!$W$5:$W$1264,$A25,Temas_TIMSS!$K$5:$K$1264,"FUERA")-COUNTIFS(Temas_TIMSS!$W$5:$W$1264,$A25,Temas_TIMSS!$K$5:$K$1264,"PENDIENTE")</f>
        <v>199</v>
      </c>
      <c r="F25" s="10" t="n">
        <f aca="false">IF(E25=0,0,D25/E25)</f>
        <v>0.42713567839196</v>
      </c>
      <c r="G25" s="16" t="n">
        <v>0.35</v>
      </c>
      <c r="H25" s="17" t="n">
        <f aca="false">G25*E25</f>
        <v>69.65</v>
      </c>
      <c r="I25" s="18" t="n">
        <f aca="false">H25-D25</f>
        <v>-15.35</v>
      </c>
      <c r="J25" s="19" t="n">
        <f aca="false">(G25-F25)*100</f>
        <v>-7.71356783919598</v>
      </c>
      <c r="K25" s="20" t="str">
        <f aca="false">IF(ABS(G25-F25)&lt;=$H$2,"En meta",IF(I25&gt;0,"Faltan "&amp;ROUND(I25,0)&amp;" temas","Sobran "&amp;ROUND(-I25,0)&amp;" temas"))</f>
        <v>Sobran 15 temas</v>
      </c>
      <c r="L25" s="17" t="n">
        <f aca="false">MAX(D23/G23,D24/G24,D25/G25)</f>
        <v>242.857142857143</v>
      </c>
      <c r="M25" s="8" t="n">
        <f aca="false">MAX(0,ROUNDUP(G25*L25-D25,0))</f>
        <v>0</v>
      </c>
      <c r="N25" s="8" t="n">
        <f aca="false">COUNTIFS(Temas_TIMSS!$W$5:$W$1264,$A25,Temas_TIMSS!$K$5:$K$1264,"FUERA")</f>
        <v>68</v>
      </c>
    </row>
    <row r="26" customFormat="false" ht="15" hidden="false" customHeight="false" outlineLevel="0" collapsed="false">
      <c r="A26" s="21"/>
      <c r="B26" s="21"/>
      <c r="C26" s="21" t="s">
        <v>88</v>
      </c>
      <c r="D26" s="21" t="n">
        <f aca="false">SUM(D23:D25)</f>
        <v>199</v>
      </c>
      <c r="E26" s="21"/>
      <c r="F26" s="21"/>
      <c r="G26" s="22" t="n">
        <f aca="false">SUM(G23:G25)</f>
        <v>1</v>
      </c>
      <c r="H26" s="21"/>
      <c r="I26" s="21"/>
      <c r="J26" s="21"/>
      <c r="K26" s="21"/>
      <c r="L26" s="21"/>
      <c r="M26" s="21" t="n">
        <f aca="false">SUM(M23:M25)</f>
        <v>45</v>
      </c>
      <c r="N26" s="21"/>
    </row>
  </sheetData>
  <mergeCells count="1">
    <mergeCell ref="A3:N3"/>
  </mergeCells>
  <conditionalFormatting sqref="K6:K28">
    <cfRule type="expression" priority="2" aboveAverage="0" equalAverage="0" bottom="0" percent="0" rank="0" text="" dxfId="0">
      <formula>LEFT(K6,6)="Faltan"</formula>
    </cfRule>
    <cfRule type="expression" priority="3" aboveAverage="0" equalAverage="0" bottom="0" percent="0" rank="0" text="" dxfId="1">
      <formula>LEFT(K6,6)="Sobran"</formula>
    </cfRule>
    <cfRule type="cellIs" priority="4" operator="equal" aboveAverage="0" equalAverage="0" bottom="0" percent="0" rank="0" text="" dxfId="2">
      <formula>"En meta"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5" t="s">
        <v>95</v>
      </c>
    </row>
    <row r="2" customFormat="false" ht="15" hidden="false" customHeight="false" outlineLevel="0" collapsed="false">
      <c r="A2" s="14" t="s">
        <v>71</v>
      </c>
      <c r="H2" s="15" t="n">
        <v>0.05</v>
      </c>
    </row>
    <row r="3" customFormat="false" ht="54" hidden="false" customHeight="true" outlineLevel="0" collapsed="false">
      <c r="A3" s="6" t="s">
        <v>96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66" hidden="false" customHeight="true" outlineLevel="0" collapsed="false">
      <c r="A5" s="7" t="s">
        <v>31</v>
      </c>
      <c r="B5" s="7" t="s">
        <v>32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83</v>
      </c>
      <c r="N5" s="7" t="s">
        <v>84</v>
      </c>
    </row>
    <row r="6" customFormat="false" ht="15" hidden="false" customHeight="false" outlineLevel="0" collapsed="false">
      <c r="A6" s="8" t="s">
        <v>44</v>
      </c>
      <c r="B6" s="8" t="s">
        <v>45</v>
      </c>
      <c r="C6" s="8" t="s">
        <v>85</v>
      </c>
      <c r="D6" s="8" t="n">
        <f aca="false">COUNTIFS(Temas_TIMSS!$V$5:$V$1264,$A6,Temas_TIMSS!$M$5:$M$1264,$C6)</f>
        <v>24</v>
      </c>
      <c r="E6" s="8" t="n">
        <f aca="false">COUNTIFS(Temas_TIMSS!$V$5:$V$1264,$A6)-COUNTIFS(Temas_TIMSS!$V$5:$V$1264,$A6,Temas_TIMSS!$K$5:$K$1264,"FUERA")-COUNTIFS(Temas_TIMSS!$V$5:$V$1264,$A6,Temas_TIMSS!$K$5:$K$1264,"PENDIENTE")</f>
        <v>57</v>
      </c>
      <c r="F6" s="10" t="n">
        <f aca="false">IF(E6=0,0,D6/E6)</f>
        <v>0.421052631578947</v>
      </c>
      <c r="G6" s="16" t="n">
        <v>0.45</v>
      </c>
      <c r="H6" s="17" t="n">
        <f aca="false">G6*E6</f>
        <v>25.65</v>
      </c>
      <c r="I6" s="18" t="n">
        <f aca="false">H6-D6</f>
        <v>1.65</v>
      </c>
      <c r="J6" s="19" t="n">
        <f aca="false">(G6-F6)*100</f>
        <v>2.89473684210527</v>
      </c>
      <c r="K6" s="20" t="str">
        <f aca="false">IF(ABS(G6-F6)&lt;=$H$2,"En meta",IF(I6&gt;0,"Faltan "&amp;ROUND(I6,0)&amp;" temas","Sobran "&amp;ROUND(-I6,0)&amp;" temas"))</f>
        <v>En meta</v>
      </c>
      <c r="L6" s="17" t="n">
        <f aca="false">MAX(D6/G6,D7/G7,D8/G8)</f>
        <v>65.7142857142857</v>
      </c>
      <c r="M6" s="8" t="n">
        <f aca="false">MAX(0,ROUNDUP(G6*L6-D6,0))</f>
        <v>6</v>
      </c>
      <c r="N6" s="8" t="n">
        <f aca="false">COUNTIFS(Temas_TIMSS!$V$5:$V$1264,$A6,Temas_TIMSS!$K$5:$K$1264,"FUERA")</f>
        <v>13</v>
      </c>
    </row>
    <row r="7" customFormat="false" ht="15" hidden="false" customHeight="false" outlineLevel="0" collapsed="false">
      <c r="A7" s="8" t="s">
        <v>44</v>
      </c>
      <c r="B7" s="8" t="s">
        <v>45</v>
      </c>
      <c r="C7" s="8" t="s">
        <v>86</v>
      </c>
      <c r="D7" s="8" t="n">
        <f aca="false">COUNTIFS(Temas_TIMSS!$V$5:$V$1264,$A7,Temas_TIMSS!$M$5:$M$1264,$C7)</f>
        <v>23</v>
      </c>
      <c r="E7" s="8" t="n">
        <f aca="false">COUNTIFS(Temas_TIMSS!$V$5:$V$1264,$A7)-COUNTIFS(Temas_TIMSS!$V$5:$V$1264,$A7,Temas_TIMSS!$K$5:$K$1264,"FUERA")-COUNTIFS(Temas_TIMSS!$V$5:$V$1264,$A7,Temas_TIMSS!$K$5:$K$1264,"PENDIENTE")</f>
        <v>57</v>
      </c>
      <c r="F7" s="10" t="n">
        <f aca="false">IF(E7=0,0,D7/E7)</f>
        <v>0.403508771929825</v>
      </c>
      <c r="G7" s="16" t="n">
        <v>0.35</v>
      </c>
      <c r="H7" s="17" t="n">
        <f aca="false">G7*E7</f>
        <v>19.95</v>
      </c>
      <c r="I7" s="18" t="n">
        <f aca="false">H7-D7</f>
        <v>-3.05</v>
      </c>
      <c r="J7" s="19" t="n">
        <f aca="false">(G7-F7)*100</f>
        <v>-5.35087719298246</v>
      </c>
      <c r="K7" s="20" t="str">
        <f aca="false">IF(ABS(G7-F7)&lt;=$H$2,"En meta",IF(I7&gt;0,"Faltan "&amp;ROUND(I7,0)&amp;" temas","Sobran "&amp;ROUND(-I7,0)&amp;" temas"))</f>
        <v>Sobran 3 temas</v>
      </c>
      <c r="L7" s="17" t="n">
        <f aca="false">MAX(D6/G6,D7/G7,D8/G8)</f>
        <v>65.7142857142857</v>
      </c>
      <c r="M7" s="8" t="n">
        <f aca="false">MAX(0,ROUNDUP(G7*L7-D7,0))</f>
        <v>0</v>
      </c>
      <c r="N7" s="8" t="n">
        <f aca="false">COUNTIFS(Temas_TIMSS!$V$5:$V$1264,$A7,Temas_TIMSS!$K$5:$K$1264,"FUERA")</f>
        <v>13</v>
      </c>
    </row>
    <row r="8" customFormat="false" ht="15" hidden="false" customHeight="false" outlineLevel="0" collapsed="false">
      <c r="A8" s="8" t="s">
        <v>44</v>
      </c>
      <c r="B8" s="8" t="s">
        <v>45</v>
      </c>
      <c r="C8" s="8" t="s">
        <v>87</v>
      </c>
      <c r="D8" s="8" t="n">
        <f aca="false">COUNTIFS(Temas_TIMSS!$V$5:$V$1264,$A8,Temas_TIMSS!$M$5:$M$1264,$C8)</f>
        <v>10</v>
      </c>
      <c r="E8" s="8" t="n">
        <f aca="false">COUNTIFS(Temas_TIMSS!$V$5:$V$1264,$A8)-COUNTIFS(Temas_TIMSS!$V$5:$V$1264,$A8,Temas_TIMSS!$K$5:$K$1264,"FUERA")-COUNTIFS(Temas_TIMSS!$V$5:$V$1264,$A8,Temas_TIMSS!$K$5:$K$1264,"PENDIENTE")</f>
        <v>57</v>
      </c>
      <c r="F8" s="10" t="n">
        <f aca="false">IF(E8=0,0,D8/E8)</f>
        <v>0.175438596491228</v>
      </c>
      <c r="G8" s="16" t="n">
        <v>0.2</v>
      </c>
      <c r="H8" s="17" t="n">
        <f aca="false">G8*E8</f>
        <v>11.4</v>
      </c>
      <c r="I8" s="18" t="n">
        <f aca="false">H8-D8</f>
        <v>1.4</v>
      </c>
      <c r="J8" s="19" t="n">
        <f aca="false">(G8-F8)*100</f>
        <v>2.4561403508772</v>
      </c>
      <c r="K8" s="20" t="str">
        <f aca="false">IF(ABS(G8-F8)&lt;=$H$2,"En meta",IF(I8&gt;0,"Faltan "&amp;ROUND(I8,0)&amp;" temas","Sobran "&amp;ROUND(-I8,0)&amp;" temas"))</f>
        <v>En meta</v>
      </c>
      <c r="L8" s="17" t="n">
        <f aca="false">MAX(D6/G6,D7/G7,D8/G8)</f>
        <v>65.7142857142857</v>
      </c>
      <c r="M8" s="8" t="n">
        <f aca="false">MAX(0,ROUNDUP(G8*L8-D8,0))</f>
        <v>4</v>
      </c>
      <c r="N8" s="8" t="n">
        <f aca="false">COUNTIFS(Temas_TIMSS!$V$5:$V$1264,$A8,Temas_TIMSS!$K$5:$K$1264,"FUERA")</f>
        <v>13</v>
      </c>
    </row>
    <row r="9" customFormat="false" ht="15" hidden="false" customHeight="false" outlineLevel="0" collapsed="false">
      <c r="A9" s="21"/>
      <c r="B9" s="21"/>
      <c r="C9" s="21" t="s">
        <v>88</v>
      </c>
      <c r="D9" s="21" t="n">
        <f aca="false">SUM(D6:D8)</f>
        <v>57</v>
      </c>
      <c r="E9" s="21"/>
      <c r="F9" s="21"/>
      <c r="G9" s="22" t="n">
        <f aca="false">SUM(G6:G8)</f>
        <v>1</v>
      </c>
      <c r="H9" s="21"/>
      <c r="I9" s="21"/>
      <c r="J9" s="21"/>
      <c r="K9" s="21"/>
      <c r="L9" s="21"/>
      <c r="M9" s="21" t="n">
        <f aca="false">SUM(M6:M8)</f>
        <v>10</v>
      </c>
      <c r="N9" s="21"/>
    </row>
    <row r="11" customFormat="false" ht="15" hidden="false" customHeight="false" outlineLevel="0" collapsed="false">
      <c r="A11" s="8" t="s">
        <v>46</v>
      </c>
      <c r="B11" s="8" t="s">
        <v>45</v>
      </c>
      <c r="C11" s="8" t="s">
        <v>85</v>
      </c>
      <c r="D11" s="8" t="n">
        <f aca="false">COUNTIFS(Temas_TIMSS!$V$5:$V$1264,$A11,Temas_TIMSS!$M$5:$M$1264,$C11)</f>
        <v>31</v>
      </c>
      <c r="E11" s="8" t="n">
        <f aca="false">COUNTIFS(Temas_TIMSS!$V$5:$V$1264,$A11)-COUNTIFS(Temas_TIMSS!$V$5:$V$1264,$A11,Temas_TIMSS!$K$5:$K$1264,"FUERA")-COUNTIFS(Temas_TIMSS!$V$5:$V$1264,$A11,Temas_TIMSS!$K$5:$K$1264,"PENDIENTE")</f>
        <v>57</v>
      </c>
      <c r="F11" s="10" t="n">
        <f aca="false">IF(E11=0,0,D11/E11)</f>
        <v>0.543859649122807</v>
      </c>
      <c r="G11" s="16" t="n">
        <v>0.45</v>
      </c>
      <c r="H11" s="17" t="n">
        <f aca="false">G11*E11</f>
        <v>25.65</v>
      </c>
      <c r="I11" s="18" t="n">
        <f aca="false">H11-D11</f>
        <v>-5.35</v>
      </c>
      <c r="J11" s="19" t="n">
        <f aca="false">(G11-F11)*100</f>
        <v>-9.3859649122807</v>
      </c>
      <c r="K11" s="20" t="str">
        <f aca="false">IF(ABS(G11-F11)&lt;=$H$2,"En meta",IF(I11&gt;0,"Faltan "&amp;ROUND(I11,0)&amp;" temas","Sobran "&amp;ROUND(-I11,0)&amp;" temas"))</f>
        <v>Sobran 5 temas</v>
      </c>
      <c r="L11" s="17" t="n">
        <f aca="false">MAX(D11/G11,D12/G12,D13/G13)</f>
        <v>68.8888888888889</v>
      </c>
      <c r="M11" s="8" t="n">
        <f aca="false">MAX(0,ROUNDUP(G11*L11-D11,0))</f>
        <v>0</v>
      </c>
      <c r="N11" s="8" t="n">
        <f aca="false">COUNTIFS(Temas_TIMSS!$V$5:$V$1264,$A11,Temas_TIMSS!$K$5:$K$1264,"FUERA")</f>
        <v>9</v>
      </c>
    </row>
    <row r="12" customFormat="false" ht="15" hidden="false" customHeight="false" outlineLevel="0" collapsed="false">
      <c r="A12" s="8" t="s">
        <v>46</v>
      </c>
      <c r="B12" s="8" t="s">
        <v>45</v>
      </c>
      <c r="C12" s="8" t="s">
        <v>86</v>
      </c>
      <c r="D12" s="8" t="n">
        <f aca="false">COUNTIFS(Temas_TIMSS!$V$5:$V$1264,$A12,Temas_TIMSS!$M$5:$M$1264,$C12)</f>
        <v>17</v>
      </c>
      <c r="E12" s="8" t="n">
        <f aca="false">COUNTIFS(Temas_TIMSS!$V$5:$V$1264,$A12)-COUNTIFS(Temas_TIMSS!$V$5:$V$1264,$A12,Temas_TIMSS!$K$5:$K$1264,"FUERA")-COUNTIFS(Temas_TIMSS!$V$5:$V$1264,$A12,Temas_TIMSS!$K$5:$K$1264,"PENDIENTE")</f>
        <v>57</v>
      </c>
      <c r="F12" s="10" t="n">
        <f aca="false">IF(E12=0,0,D12/E12)</f>
        <v>0.298245614035088</v>
      </c>
      <c r="G12" s="16" t="n">
        <v>0.35</v>
      </c>
      <c r="H12" s="17" t="n">
        <f aca="false">G12*E12</f>
        <v>19.95</v>
      </c>
      <c r="I12" s="18" t="n">
        <f aca="false">H12-D12</f>
        <v>2.95</v>
      </c>
      <c r="J12" s="19" t="n">
        <f aca="false">(G12-F12)*100</f>
        <v>5.17543859649123</v>
      </c>
      <c r="K12" s="20" t="str">
        <f aca="false">IF(ABS(G12-F12)&lt;=$H$2,"En meta",IF(I12&gt;0,"Faltan "&amp;ROUND(I12,0)&amp;" temas","Sobran "&amp;ROUND(-I12,0)&amp;" temas"))</f>
        <v>Faltan 3 temas</v>
      </c>
      <c r="L12" s="17" t="n">
        <f aca="false">MAX(D11/G11,D12/G12,D13/G13)</f>
        <v>68.8888888888889</v>
      </c>
      <c r="M12" s="8" t="n">
        <f aca="false">MAX(0,ROUNDUP(G12*L12-D12,0))</f>
        <v>8</v>
      </c>
      <c r="N12" s="8" t="n">
        <f aca="false">COUNTIFS(Temas_TIMSS!$V$5:$V$1264,$A12,Temas_TIMSS!$K$5:$K$1264,"FUERA")</f>
        <v>9</v>
      </c>
    </row>
    <row r="13" customFormat="false" ht="15" hidden="false" customHeight="false" outlineLevel="0" collapsed="false">
      <c r="A13" s="8" t="s">
        <v>46</v>
      </c>
      <c r="B13" s="8" t="s">
        <v>45</v>
      </c>
      <c r="C13" s="8" t="s">
        <v>87</v>
      </c>
      <c r="D13" s="8" t="n">
        <f aca="false">COUNTIFS(Temas_TIMSS!$V$5:$V$1264,$A13,Temas_TIMSS!$M$5:$M$1264,$C13)</f>
        <v>9</v>
      </c>
      <c r="E13" s="8" t="n">
        <f aca="false">COUNTIFS(Temas_TIMSS!$V$5:$V$1264,$A13)-COUNTIFS(Temas_TIMSS!$V$5:$V$1264,$A13,Temas_TIMSS!$K$5:$K$1264,"FUERA")-COUNTIFS(Temas_TIMSS!$V$5:$V$1264,$A13,Temas_TIMSS!$K$5:$K$1264,"PENDIENTE")</f>
        <v>57</v>
      </c>
      <c r="F13" s="10" t="n">
        <f aca="false">IF(E13=0,0,D13/E13)</f>
        <v>0.157894736842105</v>
      </c>
      <c r="G13" s="16" t="n">
        <v>0.2</v>
      </c>
      <c r="H13" s="17" t="n">
        <f aca="false">G13*E13</f>
        <v>11.4</v>
      </c>
      <c r="I13" s="18" t="n">
        <f aca="false">H13-D13</f>
        <v>2.4</v>
      </c>
      <c r="J13" s="19" t="n">
        <f aca="false">(G13-F13)*100</f>
        <v>4.21052631578948</v>
      </c>
      <c r="K13" s="20" t="str">
        <f aca="false">IF(ABS(G13-F13)&lt;=$H$2,"En meta",IF(I13&gt;0,"Faltan "&amp;ROUND(I13,0)&amp;" temas","Sobran "&amp;ROUND(-I13,0)&amp;" temas"))</f>
        <v>En meta</v>
      </c>
      <c r="L13" s="17" t="n">
        <f aca="false">MAX(D11/G11,D12/G12,D13/G13)</f>
        <v>68.8888888888889</v>
      </c>
      <c r="M13" s="8" t="n">
        <f aca="false">MAX(0,ROUNDUP(G13*L13-D13,0))</f>
        <v>5</v>
      </c>
      <c r="N13" s="8" t="n">
        <f aca="false">COUNTIFS(Temas_TIMSS!$V$5:$V$1264,$A13,Temas_TIMSS!$K$5:$K$1264,"FUERA")</f>
        <v>9</v>
      </c>
    </row>
    <row r="14" customFormat="false" ht="15" hidden="false" customHeight="false" outlineLevel="0" collapsed="false">
      <c r="A14" s="21"/>
      <c r="B14" s="21"/>
      <c r="C14" s="21" t="s">
        <v>88</v>
      </c>
      <c r="D14" s="21" t="n">
        <f aca="false">SUM(D11:D13)</f>
        <v>57</v>
      </c>
      <c r="E14" s="21"/>
      <c r="F14" s="21"/>
      <c r="G14" s="22" t="n">
        <f aca="false">SUM(G11:G13)</f>
        <v>1</v>
      </c>
      <c r="H14" s="21"/>
      <c r="I14" s="21"/>
      <c r="J14" s="21"/>
      <c r="K14" s="21"/>
      <c r="L14" s="21"/>
      <c r="M14" s="21" t="n">
        <f aca="false">SUM(M11:M13)</f>
        <v>13</v>
      </c>
      <c r="N14" s="21"/>
    </row>
    <row r="16" customFormat="false" ht="15" hidden="false" customHeight="false" outlineLevel="0" collapsed="false">
      <c r="A16" s="8" t="s">
        <v>47</v>
      </c>
      <c r="B16" s="8" t="s">
        <v>45</v>
      </c>
      <c r="C16" s="8" t="s">
        <v>85</v>
      </c>
      <c r="D16" s="8" t="n">
        <f aca="false">COUNTIFS(Temas_TIMSS!$V$5:$V$1264,$A16,Temas_TIMSS!$M$5:$M$1264,$C16)</f>
        <v>37</v>
      </c>
      <c r="E16" s="8" t="n">
        <f aca="false">COUNTIFS(Temas_TIMSS!$V$5:$V$1264,$A16)-COUNTIFS(Temas_TIMSS!$V$5:$V$1264,$A16,Temas_TIMSS!$K$5:$K$1264,"FUERA")-COUNTIFS(Temas_TIMSS!$V$5:$V$1264,$A16,Temas_TIMSS!$K$5:$K$1264,"PENDIENTE")</f>
        <v>64</v>
      </c>
      <c r="F16" s="10" t="n">
        <f aca="false">IF(E16=0,0,D16/E16)</f>
        <v>0.578125</v>
      </c>
      <c r="G16" s="16" t="n">
        <v>0.45</v>
      </c>
      <c r="H16" s="17" t="n">
        <f aca="false">G16*E16</f>
        <v>28.8</v>
      </c>
      <c r="I16" s="18" t="n">
        <f aca="false">H16-D16</f>
        <v>-8.2</v>
      </c>
      <c r="J16" s="19" t="n">
        <f aca="false">(G16-F16)*100</f>
        <v>-12.8125</v>
      </c>
      <c r="K16" s="20" t="str">
        <f aca="false">IF(ABS(G16-F16)&lt;=$H$2,"En meta",IF(I16&gt;0,"Faltan "&amp;ROUND(I16,0)&amp;" temas","Sobran "&amp;ROUND(-I16,0)&amp;" temas"))</f>
        <v>Sobran 8 temas</v>
      </c>
      <c r="L16" s="17" t="n">
        <f aca="false">MAX(D16/G16,D17/G17,D18/G18)</f>
        <v>90</v>
      </c>
      <c r="M16" s="8" t="n">
        <f aca="false">MAX(0,ROUNDUP(G16*L16-D16,0))</f>
        <v>4</v>
      </c>
      <c r="N16" s="8" t="n">
        <f aca="false">COUNTIFS(Temas_TIMSS!$V$5:$V$1264,$A16,Temas_TIMSS!$K$5:$K$1264,"FUERA")</f>
        <v>8</v>
      </c>
    </row>
    <row r="17" customFormat="false" ht="15" hidden="false" customHeight="false" outlineLevel="0" collapsed="false">
      <c r="A17" s="8" t="s">
        <v>47</v>
      </c>
      <c r="B17" s="8" t="s">
        <v>45</v>
      </c>
      <c r="C17" s="8" t="s">
        <v>86</v>
      </c>
      <c r="D17" s="8" t="n">
        <f aca="false">COUNTIFS(Temas_TIMSS!$V$5:$V$1264,$A17,Temas_TIMSS!$M$5:$M$1264,$C17)</f>
        <v>9</v>
      </c>
      <c r="E17" s="8" t="n">
        <f aca="false">COUNTIFS(Temas_TIMSS!$V$5:$V$1264,$A17)-COUNTIFS(Temas_TIMSS!$V$5:$V$1264,$A17,Temas_TIMSS!$K$5:$K$1264,"FUERA")-COUNTIFS(Temas_TIMSS!$V$5:$V$1264,$A17,Temas_TIMSS!$K$5:$K$1264,"PENDIENTE")</f>
        <v>64</v>
      </c>
      <c r="F17" s="10" t="n">
        <f aca="false">IF(E17=0,0,D17/E17)</f>
        <v>0.140625</v>
      </c>
      <c r="G17" s="16" t="n">
        <v>0.35</v>
      </c>
      <c r="H17" s="17" t="n">
        <f aca="false">G17*E17</f>
        <v>22.4</v>
      </c>
      <c r="I17" s="18" t="n">
        <f aca="false">H17-D17</f>
        <v>13.4</v>
      </c>
      <c r="J17" s="19" t="n">
        <f aca="false">(G17-F17)*100</f>
        <v>20.9375</v>
      </c>
      <c r="K17" s="20" t="str">
        <f aca="false">IF(ABS(G17-F17)&lt;=$H$2,"En meta",IF(I17&gt;0,"Faltan "&amp;ROUND(I17,0)&amp;" temas","Sobran "&amp;ROUND(-I17,0)&amp;" temas"))</f>
        <v>Faltan 13 temas</v>
      </c>
      <c r="L17" s="17" t="n">
        <f aca="false">MAX(D16/G16,D17/G17,D18/G18)</f>
        <v>90</v>
      </c>
      <c r="M17" s="8" t="n">
        <f aca="false">MAX(0,ROUNDUP(G17*L17-D17,0))</f>
        <v>23</v>
      </c>
      <c r="N17" s="8" t="n">
        <f aca="false">COUNTIFS(Temas_TIMSS!$V$5:$V$1264,$A17,Temas_TIMSS!$K$5:$K$1264,"FUERA")</f>
        <v>8</v>
      </c>
    </row>
    <row r="18" customFormat="false" ht="15" hidden="false" customHeight="false" outlineLevel="0" collapsed="false">
      <c r="A18" s="8" t="s">
        <v>47</v>
      </c>
      <c r="B18" s="8" t="s">
        <v>45</v>
      </c>
      <c r="C18" s="8" t="s">
        <v>87</v>
      </c>
      <c r="D18" s="8" t="n">
        <f aca="false">COUNTIFS(Temas_TIMSS!$V$5:$V$1264,$A18,Temas_TIMSS!$M$5:$M$1264,$C18)</f>
        <v>18</v>
      </c>
      <c r="E18" s="8" t="n">
        <f aca="false">COUNTIFS(Temas_TIMSS!$V$5:$V$1264,$A18)-COUNTIFS(Temas_TIMSS!$V$5:$V$1264,$A18,Temas_TIMSS!$K$5:$K$1264,"FUERA")-COUNTIFS(Temas_TIMSS!$V$5:$V$1264,$A18,Temas_TIMSS!$K$5:$K$1264,"PENDIENTE")</f>
        <v>64</v>
      </c>
      <c r="F18" s="10" t="n">
        <f aca="false">IF(E18=0,0,D18/E18)</f>
        <v>0.28125</v>
      </c>
      <c r="G18" s="16" t="n">
        <v>0.2</v>
      </c>
      <c r="H18" s="17" t="n">
        <f aca="false">G18*E18</f>
        <v>12.8</v>
      </c>
      <c r="I18" s="18" t="n">
        <f aca="false">H18-D18</f>
        <v>-5.2</v>
      </c>
      <c r="J18" s="19" t="n">
        <f aca="false">(G18-F18)*100</f>
        <v>-8.125</v>
      </c>
      <c r="K18" s="20" t="str">
        <f aca="false">IF(ABS(G18-F18)&lt;=$H$2,"En meta",IF(I18&gt;0,"Faltan "&amp;ROUND(I18,0)&amp;" temas","Sobran "&amp;ROUND(-I18,0)&amp;" temas"))</f>
        <v>Sobran 5 temas</v>
      </c>
      <c r="L18" s="17" t="n">
        <f aca="false">MAX(D16/G16,D17/G17,D18/G18)</f>
        <v>90</v>
      </c>
      <c r="M18" s="8" t="n">
        <f aca="false">MAX(0,ROUNDUP(G18*L18-D18,0))</f>
        <v>0</v>
      </c>
      <c r="N18" s="8" t="n">
        <f aca="false">COUNTIFS(Temas_TIMSS!$V$5:$V$1264,$A18,Temas_TIMSS!$K$5:$K$1264,"FUERA")</f>
        <v>8</v>
      </c>
    </row>
    <row r="19" customFormat="false" ht="15" hidden="false" customHeight="false" outlineLevel="0" collapsed="false">
      <c r="A19" s="21"/>
      <c r="B19" s="21"/>
      <c r="C19" s="21" t="s">
        <v>88</v>
      </c>
      <c r="D19" s="21" t="n">
        <f aca="false">SUM(D16:D18)</f>
        <v>64</v>
      </c>
      <c r="E19" s="21"/>
      <c r="F19" s="21"/>
      <c r="G19" s="22" t="n">
        <f aca="false">SUM(G16:G18)</f>
        <v>1</v>
      </c>
      <c r="H19" s="21"/>
      <c r="I19" s="21"/>
      <c r="J19" s="21"/>
      <c r="K19" s="21"/>
      <c r="L19" s="21"/>
      <c r="M19" s="21" t="n">
        <f aca="false">SUM(M16:M18)</f>
        <v>27</v>
      </c>
      <c r="N19" s="21"/>
    </row>
    <row r="21" customFormat="false" ht="15" hidden="false" customHeight="false" outlineLevel="0" collapsed="false">
      <c r="A21" s="8" t="s">
        <v>48</v>
      </c>
      <c r="B21" s="8" t="s">
        <v>49</v>
      </c>
      <c r="C21" s="8" t="s">
        <v>89</v>
      </c>
      <c r="D21" s="8" t="n">
        <f aca="false">COUNTIFS(Temas_TIMSS!$V$5:$V$1264,$A21,Temas_TIMSS!$M$5:$M$1264,$C21)</f>
        <v>1</v>
      </c>
      <c r="E21" s="8" t="n">
        <f aca="false">COUNTIFS(Temas_TIMSS!$V$5:$V$1264,$A21)-COUNTIFS(Temas_TIMSS!$V$5:$V$1264,$A21,Temas_TIMSS!$K$5:$K$1264,"FUERA")-COUNTIFS(Temas_TIMSS!$V$5:$V$1264,$A21,Temas_TIMSS!$K$5:$K$1264,"PENDIENTE")</f>
        <v>58</v>
      </c>
      <c r="F21" s="10" t="n">
        <f aca="false">IF(E21=0,0,D21/E21)</f>
        <v>0.0172413793103448</v>
      </c>
      <c r="G21" s="16" t="n">
        <v>0.35</v>
      </c>
      <c r="H21" s="17" t="n">
        <f aca="false">G21*E21</f>
        <v>20.3</v>
      </c>
      <c r="I21" s="18" t="n">
        <f aca="false">H21-D21</f>
        <v>19.3</v>
      </c>
      <c r="J21" s="19" t="n">
        <f aca="false">(G21-F21)*100</f>
        <v>33.2758620689655</v>
      </c>
      <c r="K21" s="20" t="str">
        <f aca="false">IF(ABS(G21-F21)&lt;=$H$2,"En meta",IF(I21&gt;0,"Faltan "&amp;ROUND(I21,0)&amp;" temas","Sobran "&amp;ROUND(-I21,0)&amp;" temas"))</f>
        <v>Faltan 19 temas</v>
      </c>
      <c r="L21" s="17" t="n">
        <f aca="false">MAX(D21/G21,D22/G22,D23/G23,D24/G24)</f>
        <v>120</v>
      </c>
      <c r="M21" s="8" t="n">
        <f aca="false">MAX(0,ROUNDUP(G21*L21-D21,0))</f>
        <v>41</v>
      </c>
      <c r="N21" s="8" t="n">
        <f aca="false">COUNTIFS(Temas_TIMSS!$V$5:$V$1264,$A21,Temas_TIMSS!$K$5:$K$1264,"FUERA")</f>
        <v>14</v>
      </c>
    </row>
    <row r="22" customFormat="false" ht="15" hidden="false" customHeight="false" outlineLevel="0" collapsed="false">
      <c r="A22" s="8" t="s">
        <v>48</v>
      </c>
      <c r="B22" s="8" t="s">
        <v>49</v>
      </c>
      <c r="C22" s="8" t="s">
        <v>90</v>
      </c>
      <c r="D22" s="8" t="n">
        <f aca="false">COUNTIFS(Temas_TIMSS!$V$5:$V$1264,$A22,Temas_TIMSS!$M$5:$M$1264,$C22)</f>
        <v>18</v>
      </c>
      <c r="E22" s="8" t="n">
        <f aca="false">COUNTIFS(Temas_TIMSS!$V$5:$V$1264,$A22)-COUNTIFS(Temas_TIMSS!$V$5:$V$1264,$A22,Temas_TIMSS!$K$5:$K$1264,"FUERA")-COUNTIFS(Temas_TIMSS!$V$5:$V$1264,$A22,Temas_TIMSS!$K$5:$K$1264,"PENDIENTE")</f>
        <v>58</v>
      </c>
      <c r="F22" s="10" t="n">
        <f aca="false">IF(E22=0,0,D22/E22)</f>
        <v>0.310344827586207</v>
      </c>
      <c r="G22" s="16" t="n">
        <v>0.2</v>
      </c>
      <c r="H22" s="17" t="n">
        <f aca="false">G22*E22</f>
        <v>11.6</v>
      </c>
      <c r="I22" s="18" t="n">
        <f aca="false">H22-D22</f>
        <v>-6.4</v>
      </c>
      <c r="J22" s="19" t="n">
        <f aca="false">(G22-F22)*100</f>
        <v>-11.0344827586207</v>
      </c>
      <c r="K22" s="20" t="str">
        <f aca="false">IF(ABS(G22-F22)&lt;=$H$2,"En meta",IF(I22&gt;0,"Faltan "&amp;ROUND(I22,0)&amp;" temas","Sobran "&amp;ROUND(-I22,0)&amp;" temas"))</f>
        <v>Sobran 6 temas</v>
      </c>
      <c r="L22" s="17" t="n">
        <f aca="false">MAX(D21/G21,D22/G22,D23/G23,D24/G24)</f>
        <v>120</v>
      </c>
      <c r="M22" s="8" t="n">
        <f aca="false">MAX(0,ROUNDUP(G22*L22-D22,0))</f>
        <v>6</v>
      </c>
      <c r="N22" s="8" t="n">
        <f aca="false">COUNTIFS(Temas_TIMSS!$V$5:$V$1264,$A22,Temas_TIMSS!$K$5:$K$1264,"FUERA")</f>
        <v>14</v>
      </c>
    </row>
    <row r="23" customFormat="false" ht="15" hidden="false" customHeight="false" outlineLevel="0" collapsed="false">
      <c r="A23" s="8" t="s">
        <v>48</v>
      </c>
      <c r="B23" s="8" t="s">
        <v>49</v>
      </c>
      <c r="C23" s="8" t="s">
        <v>91</v>
      </c>
      <c r="D23" s="8" t="n">
        <f aca="false">COUNTIFS(Temas_TIMSS!$V$5:$V$1264,$A23,Temas_TIMSS!$M$5:$M$1264,$C23)</f>
        <v>15</v>
      </c>
      <c r="E23" s="8" t="n">
        <f aca="false">COUNTIFS(Temas_TIMSS!$V$5:$V$1264,$A23)-COUNTIFS(Temas_TIMSS!$V$5:$V$1264,$A23,Temas_TIMSS!$K$5:$K$1264,"FUERA")-COUNTIFS(Temas_TIMSS!$V$5:$V$1264,$A23,Temas_TIMSS!$K$5:$K$1264,"PENDIENTE")</f>
        <v>58</v>
      </c>
      <c r="F23" s="10" t="n">
        <f aca="false">IF(E23=0,0,D23/E23)</f>
        <v>0.258620689655172</v>
      </c>
      <c r="G23" s="16" t="n">
        <v>0.25</v>
      </c>
      <c r="H23" s="17" t="n">
        <f aca="false">G23*E23</f>
        <v>14.5</v>
      </c>
      <c r="I23" s="18" t="n">
        <f aca="false">H23-D23</f>
        <v>-0.5</v>
      </c>
      <c r="J23" s="19" t="n">
        <f aca="false">(G23-F23)*100</f>
        <v>-0.862068965517243</v>
      </c>
      <c r="K23" s="20" t="str">
        <f aca="false">IF(ABS(G23-F23)&lt;=$H$2,"En meta",IF(I23&gt;0,"Faltan "&amp;ROUND(I23,0)&amp;" temas","Sobran "&amp;ROUND(-I23,0)&amp;" temas"))</f>
        <v>En meta</v>
      </c>
      <c r="L23" s="17" t="n">
        <f aca="false">MAX(D21/G21,D22/G22,D23/G23,D24/G24)</f>
        <v>120</v>
      </c>
      <c r="M23" s="8" t="n">
        <f aca="false">MAX(0,ROUNDUP(G23*L23-D23,0))</f>
        <v>15</v>
      </c>
      <c r="N23" s="8" t="n">
        <f aca="false">COUNTIFS(Temas_TIMSS!$V$5:$V$1264,$A23,Temas_TIMSS!$K$5:$K$1264,"FUERA")</f>
        <v>14</v>
      </c>
    </row>
    <row r="24" customFormat="false" ht="15" hidden="false" customHeight="false" outlineLevel="0" collapsed="false">
      <c r="A24" s="8" t="s">
        <v>48</v>
      </c>
      <c r="B24" s="8" t="s">
        <v>49</v>
      </c>
      <c r="C24" s="8" t="s">
        <v>87</v>
      </c>
      <c r="D24" s="8" t="n">
        <f aca="false">COUNTIFS(Temas_TIMSS!$V$5:$V$1264,$A24,Temas_TIMSS!$M$5:$M$1264,$C24)</f>
        <v>24</v>
      </c>
      <c r="E24" s="8" t="n">
        <f aca="false">COUNTIFS(Temas_TIMSS!$V$5:$V$1264,$A24)-COUNTIFS(Temas_TIMSS!$V$5:$V$1264,$A24,Temas_TIMSS!$K$5:$K$1264,"FUERA")-COUNTIFS(Temas_TIMSS!$V$5:$V$1264,$A24,Temas_TIMSS!$K$5:$K$1264,"PENDIENTE")</f>
        <v>58</v>
      </c>
      <c r="F24" s="10" t="n">
        <f aca="false">IF(E24=0,0,D24/E24)</f>
        <v>0.413793103448276</v>
      </c>
      <c r="G24" s="16" t="n">
        <v>0.2</v>
      </c>
      <c r="H24" s="17" t="n">
        <f aca="false">G24*E24</f>
        <v>11.6</v>
      </c>
      <c r="I24" s="18" t="n">
        <f aca="false">H24-D24</f>
        <v>-12.4</v>
      </c>
      <c r="J24" s="19" t="n">
        <f aca="false">(G24-F24)*100</f>
        <v>-21.3793103448276</v>
      </c>
      <c r="K24" s="20" t="str">
        <f aca="false">IF(ABS(G24-F24)&lt;=$H$2,"En meta",IF(I24&gt;0,"Faltan "&amp;ROUND(I24,0)&amp;" temas","Sobran "&amp;ROUND(-I24,0)&amp;" temas"))</f>
        <v>Sobran 12 temas</v>
      </c>
      <c r="L24" s="17" t="n">
        <f aca="false">MAX(D21/G21,D22/G22,D23/G23,D24/G24)</f>
        <v>120</v>
      </c>
      <c r="M24" s="8" t="n">
        <f aca="false">MAX(0,ROUNDUP(G24*L24-D24,0))</f>
        <v>0</v>
      </c>
      <c r="N24" s="8" t="n">
        <f aca="false">COUNTIFS(Temas_TIMSS!$V$5:$V$1264,$A24,Temas_TIMSS!$K$5:$K$1264,"FUERA")</f>
        <v>14</v>
      </c>
    </row>
    <row r="25" customFormat="false" ht="15" hidden="false" customHeight="false" outlineLevel="0" collapsed="false">
      <c r="A25" s="21"/>
      <c r="B25" s="21"/>
      <c r="C25" s="21" t="s">
        <v>88</v>
      </c>
      <c r="D25" s="21" t="n">
        <f aca="false">SUM(D21:D24)</f>
        <v>58</v>
      </c>
      <c r="E25" s="21"/>
      <c r="F25" s="21"/>
      <c r="G25" s="22" t="n">
        <f aca="false">SUM(G21:G24)</f>
        <v>1</v>
      </c>
      <c r="H25" s="21"/>
      <c r="I25" s="21"/>
      <c r="J25" s="21"/>
      <c r="K25" s="21"/>
      <c r="L25" s="21"/>
      <c r="M25" s="21" t="n">
        <f aca="false">SUM(M21:M24)</f>
        <v>62</v>
      </c>
      <c r="N25" s="21"/>
    </row>
    <row r="27" customFormat="false" ht="15" hidden="false" customHeight="false" outlineLevel="0" collapsed="false">
      <c r="A27" s="8" t="s">
        <v>50</v>
      </c>
      <c r="B27" s="8" t="s">
        <v>49</v>
      </c>
      <c r="C27" s="8" t="s">
        <v>89</v>
      </c>
      <c r="D27" s="8" t="n">
        <f aca="false">COUNTIFS(Temas_TIMSS!$V$5:$V$1264,$A27,Temas_TIMSS!$M$5:$M$1264,$C27)</f>
        <v>34</v>
      </c>
      <c r="E27" s="8" t="n">
        <f aca="false">COUNTIFS(Temas_TIMSS!$V$5:$V$1264,$A27)-COUNTIFS(Temas_TIMSS!$V$5:$V$1264,$A27,Temas_TIMSS!$K$5:$K$1264,"FUERA")-COUNTIFS(Temas_TIMSS!$V$5:$V$1264,$A27,Temas_TIMSS!$K$5:$K$1264,"PENDIENTE")</f>
        <v>68</v>
      </c>
      <c r="F27" s="10" t="n">
        <f aca="false">IF(E27=0,0,D27/E27)</f>
        <v>0.5</v>
      </c>
      <c r="G27" s="16" t="n">
        <v>0.35</v>
      </c>
      <c r="H27" s="17" t="n">
        <f aca="false">G27*E27</f>
        <v>23.8</v>
      </c>
      <c r="I27" s="18" t="n">
        <f aca="false">H27-D27</f>
        <v>-10.2</v>
      </c>
      <c r="J27" s="19" t="n">
        <f aca="false">(G27-F27)*100</f>
        <v>-15</v>
      </c>
      <c r="K27" s="20" t="str">
        <f aca="false">IF(ABS(G27-F27)&lt;=$H$2,"En meta",IF(I27&gt;0,"Faltan "&amp;ROUND(I27,0)&amp;" temas","Sobran "&amp;ROUND(-I27,0)&amp;" temas"))</f>
        <v>Sobran 10 temas</v>
      </c>
      <c r="L27" s="17" t="n">
        <f aca="false">MAX(D27/G27,D28/G28,D29/G29,D30/G30)</f>
        <v>104</v>
      </c>
      <c r="M27" s="8" t="n">
        <f aca="false">MAX(0,ROUNDUP(G27*L27-D27,0))</f>
        <v>3</v>
      </c>
      <c r="N27" s="8" t="n">
        <f aca="false">COUNTIFS(Temas_TIMSS!$V$5:$V$1264,$A27,Temas_TIMSS!$K$5:$K$1264,"FUERA")</f>
        <v>0</v>
      </c>
    </row>
    <row r="28" customFormat="false" ht="15" hidden="false" customHeight="false" outlineLevel="0" collapsed="false">
      <c r="A28" s="8" t="s">
        <v>50</v>
      </c>
      <c r="B28" s="8" t="s">
        <v>49</v>
      </c>
      <c r="C28" s="8" t="s">
        <v>90</v>
      </c>
      <c r="D28" s="8" t="n">
        <f aca="false">COUNTIFS(Temas_TIMSS!$V$5:$V$1264,$A28,Temas_TIMSS!$M$5:$M$1264,$C28)</f>
        <v>8</v>
      </c>
      <c r="E28" s="8" t="n">
        <f aca="false">COUNTIFS(Temas_TIMSS!$V$5:$V$1264,$A28)-COUNTIFS(Temas_TIMSS!$V$5:$V$1264,$A28,Temas_TIMSS!$K$5:$K$1264,"FUERA")-COUNTIFS(Temas_TIMSS!$V$5:$V$1264,$A28,Temas_TIMSS!$K$5:$K$1264,"PENDIENTE")</f>
        <v>68</v>
      </c>
      <c r="F28" s="10" t="n">
        <f aca="false">IF(E28=0,0,D28/E28)</f>
        <v>0.117647058823529</v>
      </c>
      <c r="G28" s="16" t="n">
        <v>0.2</v>
      </c>
      <c r="H28" s="17" t="n">
        <f aca="false">G28*E28</f>
        <v>13.6</v>
      </c>
      <c r="I28" s="18" t="n">
        <f aca="false">H28-D28</f>
        <v>5.6</v>
      </c>
      <c r="J28" s="19" t="n">
        <f aca="false">(G28-F28)*100</f>
        <v>8.23529411764706</v>
      </c>
      <c r="K28" s="20" t="str">
        <f aca="false">IF(ABS(G28-F28)&lt;=$H$2,"En meta",IF(I28&gt;0,"Faltan "&amp;ROUND(I28,0)&amp;" temas","Sobran "&amp;ROUND(-I28,0)&amp;" temas"))</f>
        <v>Faltan 6 temas</v>
      </c>
      <c r="L28" s="17" t="n">
        <f aca="false">MAX(D27/G27,D28/G28,D29/G29,D30/G30)</f>
        <v>104</v>
      </c>
      <c r="M28" s="8" t="n">
        <f aca="false">MAX(0,ROUNDUP(G28*L28-D28,0))</f>
        <v>13</v>
      </c>
      <c r="N28" s="8" t="n">
        <f aca="false">COUNTIFS(Temas_TIMSS!$V$5:$V$1264,$A28,Temas_TIMSS!$K$5:$K$1264,"FUERA")</f>
        <v>0</v>
      </c>
    </row>
    <row r="29" customFormat="false" ht="15" hidden="false" customHeight="false" outlineLevel="0" collapsed="false">
      <c r="A29" s="8" t="s">
        <v>50</v>
      </c>
      <c r="B29" s="8" t="s">
        <v>49</v>
      </c>
      <c r="C29" s="8" t="s">
        <v>91</v>
      </c>
      <c r="D29" s="8" t="n">
        <f aca="false">COUNTIFS(Temas_TIMSS!$V$5:$V$1264,$A29,Temas_TIMSS!$M$5:$M$1264,$C29)</f>
        <v>26</v>
      </c>
      <c r="E29" s="8" t="n">
        <f aca="false">COUNTIFS(Temas_TIMSS!$V$5:$V$1264,$A29)-COUNTIFS(Temas_TIMSS!$V$5:$V$1264,$A29,Temas_TIMSS!$K$5:$K$1264,"FUERA")-COUNTIFS(Temas_TIMSS!$V$5:$V$1264,$A29,Temas_TIMSS!$K$5:$K$1264,"PENDIENTE")</f>
        <v>68</v>
      </c>
      <c r="F29" s="10" t="n">
        <f aca="false">IF(E29=0,0,D29/E29)</f>
        <v>0.382352941176471</v>
      </c>
      <c r="G29" s="16" t="n">
        <v>0.25</v>
      </c>
      <c r="H29" s="17" t="n">
        <f aca="false">G29*E29</f>
        <v>17</v>
      </c>
      <c r="I29" s="18" t="n">
        <f aca="false">H29-D29</f>
        <v>-9</v>
      </c>
      <c r="J29" s="19" t="n">
        <f aca="false">(G29-F29)*100</f>
        <v>-13.2352941176471</v>
      </c>
      <c r="K29" s="20" t="str">
        <f aca="false">IF(ABS(G29-F29)&lt;=$H$2,"En meta",IF(I29&gt;0,"Faltan "&amp;ROUND(I29,0)&amp;" temas","Sobran "&amp;ROUND(-I29,0)&amp;" temas"))</f>
        <v>Sobran 9 temas</v>
      </c>
      <c r="L29" s="17" t="n">
        <f aca="false">MAX(D27/G27,D28/G28,D29/G29,D30/G30)</f>
        <v>104</v>
      </c>
      <c r="M29" s="8" t="n">
        <f aca="false">MAX(0,ROUNDUP(G29*L29-D29,0))</f>
        <v>0</v>
      </c>
      <c r="N29" s="8" t="n">
        <f aca="false">COUNTIFS(Temas_TIMSS!$V$5:$V$1264,$A29,Temas_TIMSS!$K$5:$K$1264,"FUERA")</f>
        <v>0</v>
      </c>
    </row>
    <row r="30" customFormat="false" ht="15" hidden="false" customHeight="false" outlineLevel="0" collapsed="false">
      <c r="A30" s="8" t="s">
        <v>50</v>
      </c>
      <c r="B30" s="8" t="s">
        <v>49</v>
      </c>
      <c r="C30" s="8" t="s">
        <v>87</v>
      </c>
      <c r="D30" s="8" t="n">
        <f aca="false">COUNTIFS(Temas_TIMSS!$V$5:$V$1264,$A30,Temas_TIMSS!$M$5:$M$1264,$C30)</f>
        <v>0</v>
      </c>
      <c r="E30" s="8" t="n">
        <f aca="false">COUNTIFS(Temas_TIMSS!$V$5:$V$1264,$A30)-COUNTIFS(Temas_TIMSS!$V$5:$V$1264,$A30,Temas_TIMSS!$K$5:$K$1264,"FUERA")-COUNTIFS(Temas_TIMSS!$V$5:$V$1264,$A30,Temas_TIMSS!$K$5:$K$1264,"PENDIENTE")</f>
        <v>68</v>
      </c>
      <c r="F30" s="10" t="n">
        <f aca="false">IF(E30=0,0,D30/E30)</f>
        <v>0</v>
      </c>
      <c r="G30" s="16" t="n">
        <v>0.2</v>
      </c>
      <c r="H30" s="17" t="n">
        <f aca="false">G30*E30</f>
        <v>13.6</v>
      </c>
      <c r="I30" s="18" t="n">
        <f aca="false">H30-D30</f>
        <v>13.6</v>
      </c>
      <c r="J30" s="19" t="n">
        <f aca="false">(G30-F30)*100</f>
        <v>20</v>
      </c>
      <c r="K30" s="20" t="str">
        <f aca="false">IF(ABS(G30-F30)&lt;=$H$2,"En meta",IF(I30&gt;0,"Faltan "&amp;ROUND(I30,0)&amp;" temas","Sobran "&amp;ROUND(-I30,0)&amp;" temas"))</f>
        <v>Faltan 14 temas</v>
      </c>
      <c r="L30" s="17" t="n">
        <f aca="false">MAX(D27/G27,D28/G28,D29/G29,D30/G30)</f>
        <v>104</v>
      </c>
      <c r="M30" s="8" t="n">
        <f aca="false">MAX(0,ROUNDUP(G30*L30-D30,0))</f>
        <v>21</v>
      </c>
      <c r="N30" s="8" t="n">
        <f aca="false">COUNTIFS(Temas_TIMSS!$V$5:$V$1264,$A30,Temas_TIMSS!$K$5:$K$1264,"FUERA")</f>
        <v>0</v>
      </c>
    </row>
    <row r="31" customFormat="false" ht="15" hidden="false" customHeight="false" outlineLevel="0" collapsed="false">
      <c r="A31" s="21"/>
      <c r="B31" s="21"/>
      <c r="C31" s="21" t="s">
        <v>88</v>
      </c>
      <c r="D31" s="21" t="n">
        <f aca="false">SUM(D27:D30)</f>
        <v>68</v>
      </c>
      <c r="E31" s="21"/>
      <c r="F31" s="21"/>
      <c r="G31" s="22" t="n">
        <f aca="false">SUM(G27:G30)</f>
        <v>1</v>
      </c>
      <c r="H31" s="21"/>
      <c r="I31" s="21"/>
      <c r="J31" s="21"/>
      <c r="K31" s="21"/>
      <c r="L31" s="21"/>
      <c r="M31" s="21" t="n">
        <f aca="false">SUM(M27:M30)</f>
        <v>37</v>
      </c>
      <c r="N31" s="21"/>
    </row>
    <row r="33" customFormat="false" ht="15" hidden="false" customHeight="false" outlineLevel="0" collapsed="false">
      <c r="A33" s="8" t="s">
        <v>51</v>
      </c>
      <c r="B33" s="8" t="s">
        <v>49</v>
      </c>
      <c r="C33" s="8" t="s">
        <v>89</v>
      </c>
      <c r="D33" s="8" t="n">
        <f aca="false">COUNTIFS(Temas_TIMSS!$V$5:$V$1264,$A33,Temas_TIMSS!$M$5:$M$1264,$C33)</f>
        <v>48</v>
      </c>
      <c r="E33" s="8" t="n">
        <f aca="false">COUNTIFS(Temas_TIMSS!$V$5:$V$1264,$A33)-COUNTIFS(Temas_TIMSS!$V$5:$V$1264,$A33,Temas_TIMSS!$K$5:$K$1264,"FUERA")-COUNTIFS(Temas_TIMSS!$V$5:$V$1264,$A33,Temas_TIMSS!$K$5:$K$1264,"PENDIENTE")</f>
        <v>85</v>
      </c>
      <c r="F33" s="10" t="n">
        <f aca="false">IF(E33=0,0,D33/E33)</f>
        <v>0.564705882352941</v>
      </c>
      <c r="G33" s="16" t="n">
        <v>0.35</v>
      </c>
      <c r="H33" s="17" t="n">
        <f aca="false">G33*E33</f>
        <v>29.75</v>
      </c>
      <c r="I33" s="18" t="n">
        <f aca="false">H33-D33</f>
        <v>-18.25</v>
      </c>
      <c r="J33" s="19" t="n">
        <f aca="false">(G33-F33)*100</f>
        <v>-21.4705882352941</v>
      </c>
      <c r="K33" s="20" t="str">
        <f aca="false">IF(ABS(G33-F33)&lt;=$H$2,"En meta",IF(I33&gt;0,"Faltan "&amp;ROUND(I33,0)&amp;" temas","Sobran "&amp;ROUND(-I33,0)&amp;" temas"))</f>
        <v>Sobran 18 temas</v>
      </c>
      <c r="L33" s="17" t="n">
        <f aca="false">MAX(D33/G33,D34/G34,D35/G35,D36/G36)</f>
        <v>137.142857142857</v>
      </c>
      <c r="M33" s="8" t="n">
        <f aca="false">MAX(0,ROUNDUP(G33*L33-D33,0))</f>
        <v>0</v>
      </c>
      <c r="N33" s="8" t="n">
        <f aca="false">COUNTIFS(Temas_TIMSS!$V$5:$V$1264,$A33,Temas_TIMSS!$K$5:$K$1264,"FUERA")</f>
        <v>6</v>
      </c>
    </row>
    <row r="34" customFormat="false" ht="15" hidden="false" customHeight="false" outlineLevel="0" collapsed="false">
      <c r="A34" s="8" t="s">
        <v>51</v>
      </c>
      <c r="B34" s="8" t="s">
        <v>49</v>
      </c>
      <c r="C34" s="8" t="s">
        <v>90</v>
      </c>
      <c r="D34" s="8" t="n">
        <f aca="false">COUNTIFS(Temas_TIMSS!$V$5:$V$1264,$A34,Temas_TIMSS!$M$5:$M$1264,$C34)</f>
        <v>8</v>
      </c>
      <c r="E34" s="8" t="n">
        <f aca="false">COUNTIFS(Temas_TIMSS!$V$5:$V$1264,$A34)-COUNTIFS(Temas_TIMSS!$V$5:$V$1264,$A34,Temas_TIMSS!$K$5:$K$1264,"FUERA")-COUNTIFS(Temas_TIMSS!$V$5:$V$1264,$A34,Temas_TIMSS!$K$5:$K$1264,"PENDIENTE")</f>
        <v>85</v>
      </c>
      <c r="F34" s="10" t="n">
        <f aca="false">IF(E34=0,0,D34/E34)</f>
        <v>0.0941176470588235</v>
      </c>
      <c r="G34" s="16" t="n">
        <v>0.2</v>
      </c>
      <c r="H34" s="17" t="n">
        <f aca="false">G34*E34</f>
        <v>17</v>
      </c>
      <c r="I34" s="18" t="n">
        <f aca="false">H34-D34</f>
        <v>9</v>
      </c>
      <c r="J34" s="19" t="n">
        <f aca="false">(G34-F34)*100</f>
        <v>10.5882352941176</v>
      </c>
      <c r="K34" s="20" t="str">
        <f aca="false">IF(ABS(G34-F34)&lt;=$H$2,"En meta",IF(I34&gt;0,"Faltan "&amp;ROUND(I34,0)&amp;" temas","Sobran "&amp;ROUND(-I34,0)&amp;" temas"))</f>
        <v>Faltan 9 temas</v>
      </c>
      <c r="L34" s="17" t="n">
        <f aca="false">MAX(D33/G33,D34/G34,D35/G35,D36/G36)</f>
        <v>137.142857142857</v>
      </c>
      <c r="M34" s="8" t="n">
        <f aca="false">MAX(0,ROUNDUP(G34*L34-D34,0))</f>
        <v>20</v>
      </c>
      <c r="N34" s="8" t="n">
        <f aca="false">COUNTIFS(Temas_TIMSS!$V$5:$V$1264,$A34,Temas_TIMSS!$K$5:$K$1264,"FUERA")</f>
        <v>6</v>
      </c>
    </row>
    <row r="35" customFormat="false" ht="15" hidden="false" customHeight="false" outlineLevel="0" collapsed="false">
      <c r="A35" s="8" t="s">
        <v>51</v>
      </c>
      <c r="B35" s="8" t="s">
        <v>49</v>
      </c>
      <c r="C35" s="8" t="s">
        <v>91</v>
      </c>
      <c r="D35" s="8" t="n">
        <f aca="false">COUNTIFS(Temas_TIMSS!$V$5:$V$1264,$A35,Temas_TIMSS!$M$5:$M$1264,$C35)</f>
        <v>3</v>
      </c>
      <c r="E35" s="8" t="n">
        <f aca="false">COUNTIFS(Temas_TIMSS!$V$5:$V$1264,$A35)-COUNTIFS(Temas_TIMSS!$V$5:$V$1264,$A35,Temas_TIMSS!$K$5:$K$1264,"FUERA")-COUNTIFS(Temas_TIMSS!$V$5:$V$1264,$A35,Temas_TIMSS!$K$5:$K$1264,"PENDIENTE")</f>
        <v>85</v>
      </c>
      <c r="F35" s="10" t="n">
        <f aca="false">IF(E35=0,0,D35/E35)</f>
        <v>0.0352941176470588</v>
      </c>
      <c r="G35" s="16" t="n">
        <v>0.25</v>
      </c>
      <c r="H35" s="17" t="n">
        <f aca="false">G35*E35</f>
        <v>21.25</v>
      </c>
      <c r="I35" s="18" t="n">
        <f aca="false">H35-D35</f>
        <v>18.25</v>
      </c>
      <c r="J35" s="19" t="n">
        <f aca="false">(G35-F35)*100</f>
        <v>21.4705882352941</v>
      </c>
      <c r="K35" s="20" t="str">
        <f aca="false">IF(ABS(G35-F35)&lt;=$H$2,"En meta",IF(I35&gt;0,"Faltan "&amp;ROUND(I35,0)&amp;" temas","Sobran "&amp;ROUND(-I35,0)&amp;" temas"))</f>
        <v>Faltan 18 temas</v>
      </c>
      <c r="L35" s="17" t="n">
        <f aca="false">MAX(D33/G33,D34/G34,D35/G35,D36/G36)</f>
        <v>137.142857142857</v>
      </c>
      <c r="M35" s="8" t="n">
        <f aca="false">MAX(0,ROUNDUP(G35*L35-D35,0))</f>
        <v>32</v>
      </c>
      <c r="N35" s="8" t="n">
        <f aca="false">COUNTIFS(Temas_TIMSS!$V$5:$V$1264,$A35,Temas_TIMSS!$K$5:$K$1264,"FUERA")</f>
        <v>6</v>
      </c>
    </row>
    <row r="36" customFormat="false" ht="15" hidden="false" customHeight="false" outlineLevel="0" collapsed="false">
      <c r="A36" s="8" t="s">
        <v>51</v>
      </c>
      <c r="B36" s="8" t="s">
        <v>49</v>
      </c>
      <c r="C36" s="8" t="s">
        <v>87</v>
      </c>
      <c r="D36" s="8" t="n">
        <f aca="false">COUNTIFS(Temas_TIMSS!$V$5:$V$1264,$A36,Temas_TIMSS!$M$5:$M$1264,$C36)</f>
        <v>26</v>
      </c>
      <c r="E36" s="8" t="n">
        <f aca="false">COUNTIFS(Temas_TIMSS!$V$5:$V$1264,$A36)-COUNTIFS(Temas_TIMSS!$V$5:$V$1264,$A36,Temas_TIMSS!$K$5:$K$1264,"FUERA")-COUNTIFS(Temas_TIMSS!$V$5:$V$1264,$A36,Temas_TIMSS!$K$5:$K$1264,"PENDIENTE")</f>
        <v>85</v>
      </c>
      <c r="F36" s="10" t="n">
        <f aca="false">IF(E36=0,0,D36/E36)</f>
        <v>0.305882352941177</v>
      </c>
      <c r="G36" s="16" t="n">
        <v>0.2</v>
      </c>
      <c r="H36" s="17" t="n">
        <f aca="false">G36*E36</f>
        <v>17</v>
      </c>
      <c r="I36" s="18" t="n">
        <f aca="false">H36-D36</f>
        <v>-9</v>
      </c>
      <c r="J36" s="19" t="n">
        <f aca="false">(G36-F36)*100</f>
        <v>-10.5882352941176</v>
      </c>
      <c r="K36" s="20" t="str">
        <f aca="false">IF(ABS(G36-F36)&lt;=$H$2,"En meta",IF(I36&gt;0,"Faltan "&amp;ROUND(I36,0)&amp;" temas","Sobran "&amp;ROUND(-I36,0)&amp;" temas"))</f>
        <v>Sobran 9 temas</v>
      </c>
      <c r="L36" s="17" t="n">
        <f aca="false">MAX(D33/G33,D34/G34,D35/G35,D36/G36)</f>
        <v>137.142857142857</v>
      </c>
      <c r="M36" s="8" t="n">
        <f aca="false">MAX(0,ROUNDUP(G36*L36-D36,0))</f>
        <v>2</v>
      </c>
      <c r="N36" s="8" t="n">
        <f aca="false">COUNTIFS(Temas_TIMSS!$V$5:$V$1264,$A36,Temas_TIMSS!$K$5:$K$1264,"FUERA")</f>
        <v>6</v>
      </c>
    </row>
    <row r="37" customFormat="false" ht="15" hidden="false" customHeight="false" outlineLevel="0" collapsed="false">
      <c r="A37" s="21"/>
      <c r="B37" s="21"/>
      <c r="C37" s="21" t="s">
        <v>88</v>
      </c>
      <c r="D37" s="21" t="n">
        <f aca="false">SUM(D33:D36)</f>
        <v>85</v>
      </c>
      <c r="E37" s="21"/>
      <c r="F37" s="21"/>
      <c r="G37" s="22" t="n">
        <f aca="false">SUM(G33:G36)</f>
        <v>1</v>
      </c>
      <c r="H37" s="21"/>
      <c r="I37" s="21"/>
      <c r="J37" s="21"/>
      <c r="K37" s="21"/>
      <c r="L37" s="21"/>
      <c r="M37" s="21" t="n">
        <f aca="false">SUM(M33:M36)</f>
        <v>54</v>
      </c>
      <c r="N37" s="21"/>
    </row>
    <row r="39" customFormat="false" ht="15" hidden="false" customHeight="false" outlineLevel="0" collapsed="false">
      <c r="A39" s="8" t="s">
        <v>52</v>
      </c>
      <c r="B39" s="8" t="s">
        <v>49</v>
      </c>
      <c r="C39" s="8" t="s">
        <v>89</v>
      </c>
      <c r="D39" s="8" t="n">
        <f aca="false">COUNTIFS(Temas_TIMSS!$V$5:$V$1264,$A39,Temas_TIMSS!$M$5:$M$1264,$C39)</f>
        <v>28</v>
      </c>
      <c r="E39" s="8" t="n">
        <f aca="false">COUNTIFS(Temas_TIMSS!$V$5:$V$1264,$A39)-COUNTIFS(Temas_TIMSS!$V$5:$V$1264,$A39,Temas_TIMSS!$K$5:$K$1264,"FUERA")-COUNTIFS(Temas_TIMSS!$V$5:$V$1264,$A39,Temas_TIMSS!$K$5:$K$1264,"PENDIENTE")</f>
        <v>91</v>
      </c>
      <c r="F39" s="10" t="n">
        <f aca="false">IF(E39=0,0,D39/E39)</f>
        <v>0.307692307692308</v>
      </c>
      <c r="G39" s="16" t="n">
        <v>0.35</v>
      </c>
      <c r="H39" s="17" t="n">
        <f aca="false">G39*E39</f>
        <v>31.85</v>
      </c>
      <c r="I39" s="18" t="n">
        <f aca="false">H39-D39</f>
        <v>3.85</v>
      </c>
      <c r="J39" s="19" t="n">
        <f aca="false">(G39-F39)*100</f>
        <v>4.23076923076923</v>
      </c>
      <c r="K39" s="20" t="str">
        <f aca="false">IF(ABS(G39-F39)&lt;=$H$2,"En meta",IF(I39&gt;0,"Faltan "&amp;ROUND(I39,0)&amp;" temas","Sobran "&amp;ROUND(-I39,0)&amp;" temas"))</f>
        <v>En meta</v>
      </c>
      <c r="L39" s="17" t="n">
        <f aca="false">MAX(D39/G39,D40/G40,D41/G41,D42/G42)</f>
        <v>140</v>
      </c>
      <c r="M39" s="8" t="n">
        <f aca="false">MAX(0,ROUNDUP(G39*L39-D39,0))</f>
        <v>21</v>
      </c>
      <c r="N39" s="8" t="n">
        <f aca="false">COUNTIFS(Temas_TIMSS!$V$5:$V$1264,$A39,Temas_TIMSS!$K$5:$K$1264,"FUERA")</f>
        <v>2</v>
      </c>
    </row>
    <row r="40" customFormat="false" ht="15" hidden="false" customHeight="false" outlineLevel="0" collapsed="false">
      <c r="A40" s="8" t="s">
        <v>52</v>
      </c>
      <c r="B40" s="8" t="s">
        <v>49</v>
      </c>
      <c r="C40" s="8" t="s">
        <v>90</v>
      </c>
      <c r="D40" s="8" t="n">
        <f aca="false">COUNTIFS(Temas_TIMSS!$V$5:$V$1264,$A40,Temas_TIMSS!$M$5:$M$1264,$C40)</f>
        <v>24</v>
      </c>
      <c r="E40" s="8" t="n">
        <f aca="false">COUNTIFS(Temas_TIMSS!$V$5:$V$1264,$A40)-COUNTIFS(Temas_TIMSS!$V$5:$V$1264,$A40,Temas_TIMSS!$K$5:$K$1264,"FUERA")-COUNTIFS(Temas_TIMSS!$V$5:$V$1264,$A40,Temas_TIMSS!$K$5:$K$1264,"PENDIENTE")</f>
        <v>91</v>
      </c>
      <c r="F40" s="10" t="n">
        <f aca="false">IF(E40=0,0,D40/E40)</f>
        <v>0.263736263736264</v>
      </c>
      <c r="G40" s="16" t="n">
        <v>0.2</v>
      </c>
      <c r="H40" s="17" t="n">
        <f aca="false">G40*E40</f>
        <v>18.2</v>
      </c>
      <c r="I40" s="18" t="n">
        <f aca="false">H40-D40</f>
        <v>-5.8</v>
      </c>
      <c r="J40" s="19" t="n">
        <f aca="false">(G40-F40)*100</f>
        <v>-6.37362637362637</v>
      </c>
      <c r="K40" s="20" t="str">
        <f aca="false">IF(ABS(G40-F40)&lt;=$H$2,"En meta",IF(I40&gt;0,"Faltan "&amp;ROUND(I40,0)&amp;" temas","Sobran "&amp;ROUND(-I40,0)&amp;" temas"))</f>
        <v>Sobran 6 temas</v>
      </c>
      <c r="L40" s="17" t="n">
        <f aca="false">MAX(D39/G39,D40/G40,D41/G41,D42/G42)</f>
        <v>140</v>
      </c>
      <c r="M40" s="8" t="n">
        <f aca="false">MAX(0,ROUNDUP(G40*L40-D40,0))</f>
        <v>4</v>
      </c>
      <c r="N40" s="8" t="n">
        <f aca="false">COUNTIFS(Temas_TIMSS!$V$5:$V$1264,$A40,Temas_TIMSS!$K$5:$K$1264,"FUERA")</f>
        <v>2</v>
      </c>
    </row>
    <row r="41" customFormat="false" ht="15" hidden="false" customHeight="false" outlineLevel="0" collapsed="false">
      <c r="A41" s="8" t="s">
        <v>52</v>
      </c>
      <c r="B41" s="8" t="s">
        <v>49</v>
      </c>
      <c r="C41" s="8" t="s">
        <v>91</v>
      </c>
      <c r="D41" s="8" t="n">
        <f aca="false">COUNTIFS(Temas_TIMSS!$V$5:$V$1264,$A41,Temas_TIMSS!$M$5:$M$1264,$C41)</f>
        <v>35</v>
      </c>
      <c r="E41" s="8" t="n">
        <f aca="false">COUNTIFS(Temas_TIMSS!$V$5:$V$1264,$A41)-COUNTIFS(Temas_TIMSS!$V$5:$V$1264,$A41,Temas_TIMSS!$K$5:$K$1264,"FUERA")-COUNTIFS(Temas_TIMSS!$V$5:$V$1264,$A41,Temas_TIMSS!$K$5:$K$1264,"PENDIENTE")</f>
        <v>91</v>
      </c>
      <c r="F41" s="10" t="n">
        <f aca="false">IF(E41=0,0,D41/E41)</f>
        <v>0.384615384615385</v>
      </c>
      <c r="G41" s="16" t="n">
        <v>0.25</v>
      </c>
      <c r="H41" s="17" t="n">
        <f aca="false">G41*E41</f>
        <v>22.75</v>
      </c>
      <c r="I41" s="18" t="n">
        <f aca="false">H41-D41</f>
        <v>-12.25</v>
      </c>
      <c r="J41" s="19" t="n">
        <f aca="false">(G41-F41)*100</f>
        <v>-13.4615384615385</v>
      </c>
      <c r="K41" s="20" t="str">
        <f aca="false">IF(ABS(G41-F41)&lt;=$H$2,"En meta",IF(I41&gt;0,"Faltan "&amp;ROUND(I41,0)&amp;" temas","Sobran "&amp;ROUND(-I41,0)&amp;" temas"))</f>
        <v>Sobran 12 temas</v>
      </c>
      <c r="L41" s="17" t="n">
        <f aca="false">MAX(D39/G39,D40/G40,D41/G41,D42/G42)</f>
        <v>140</v>
      </c>
      <c r="M41" s="8" t="n">
        <f aca="false">MAX(0,ROUNDUP(G41*L41-D41,0))</f>
        <v>0</v>
      </c>
      <c r="N41" s="8" t="n">
        <f aca="false">COUNTIFS(Temas_TIMSS!$V$5:$V$1264,$A41,Temas_TIMSS!$K$5:$K$1264,"FUERA")</f>
        <v>2</v>
      </c>
    </row>
    <row r="42" customFormat="false" ht="15" hidden="false" customHeight="false" outlineLevel="0" collapsed="false">
      <c r="A42" s="8" t="s">
        <v>52</v>
      </c>
      <c r="B42" s="8" t="s">
        <v>49</v>
      </c>
      <c r="C42" s="8" t="s">
        <v>87</v>
      </c>
      <c r="D42" s="8" t="n">
        <f aca="false">COUNTIFS(Temas_TIMSS!$V$5:$V$1264,$A42,Temas_TIMSS!$M$5:$M$1264,$C42)</f>
        <v>4</v>
      </c>
      <c r="E42" s="8" t="n">
        <f aca="false">COUNTIFS(Temas_TIMSS!$V$5:$V$1264,$A42)-COUNTIFS(Temas_TIMSS!$V$5:$V$1264,$A42,Temas_TIMSS!$K$5:$K$1264,"FUERA")-COUNTIFS(Temas_TIMSS!$V$5:$V$1264,$A42,Temas_TIMSS!$K$5:$K$1264,"PENDIENTE")</f>
        <v>91</v>
      </c>
      <c r="F42" s="10" t="n">
        <f aca="false">IF(E42=0,0,D42/E42)</f>
        <v>0.043956043956044</v>
      </c>
      <c r="G42" s="16" t="n">
        <v>0.2</v>
      </c>
      <c r="H42" s="17" t="n">
        <f aca="false">G42*E42</f>
        <v>18.2</v>
      </c>
      <c r="I42" s="18" t="n">
        <f aca="false">H42-D42</f>
        <v>14.2</v>
      </c>
      <c r="J42" s="19" t="n">
        <f aca="false">(G42-F42)*100</f>
        <v>15.6043956043956</v>
      </c>
      <c r="K42" s="20" t="str">
        <f aca="false">IF(ABS(G42-F42)&lt;=$H$2,"En meta",IF(I42&gt;0,"Faltan "&amp;ROUND(I42,0)&amp;" temas","Sobran "&amp;ROUND(-I42,0)&amp;" temas"))</f>
        <v>Faltan 14 temas</v>
      </c>
      <c r="L42" s="17" t="n">
        <f aca="false">MAX(D39/G39,D40/G40,D41/G41,D42/G42)</f>
        <v>140</v>
      </c>
      <c r="M42" s="8" t="n">
        <f aca="false">MAX(0,ROUNDUP(G42*L42-D42,0))</f>
        <v>24</v>
      </c>
      <c r="N42" s="8" t="n">
        <f aca="false">COUNTIFS(Temas_TIMSS!$V$5:$V$1264,$A42,Temas_TIMSS!$K$5:$K$1264,"FUERA")</f>
        <v>2</v>
      </c>
    </row>
    <row r="43" customFormat="false" ht="15" hidden="false" customHeight="false" outlineLevel="0" collapsed="false">
      <c r="A43" s="21"/>
      <c r="B43" s="21"/>
      <c r="C43" s="21" t="s">
        <v>88</v>
      </c>
      <c r="D43" s="21" t="n">
        <f aca="false">SUM(D39:D42)</f>
        <v>91</v>
      </c>
      <c r="E43" s="21"/>
      <c r="F43" s="21"/>
      <c r="G43" s="22" t="n">
        <f aca="false">SUM(G39:G42)</f>
        <v>1</v>
      </c>
      <c r="H43" s="21"/>
      <c r="I43" s="21"/>
      <c r="J43" s="21"/>
      <c r="K43" s="21"/>
      <c r="L43" s="21"/>
      <c r="M43" s="21" t="n">
        <f aca="false">SUM(M39:M42)</f>
        <v>49</v>
      </c>
      <c r="N43" s="21"/>
    </row>
    <row r="45" customFormat="false" ht="15" hidden="false" customHeight="false" outlineLevel="0" collapsed="false">
      <c r="A45" s="8" t="s">
        <v>53</v>
      </c>
      <c r="B45" s="8" t="s">
        <v>49</v>
      </c>
      <c r="C45" s="8" t="s">
        <v>89</v>
      </c>
      <c r="D45" s="8" t="n">
        <f aca="false">COUNTIFS(Temas_TIMSS!$V$5:$V$1264,$A45,Temas_TIMSS!$M$5:$M$1264,$C45)</f>
        <v>4</v>
      </c>
      <c r="E45" s="8" t="n">
        <f aca="false">COUNTIFS(Temas_TIMSS!$V$5:$V$1264,$A45)-COUNTIFS(Temas_TIMSS!$V$5:$V$1264,$A45,Temas_TIMSS!$K$5:$K$1264,"FUERA")-COUNTIFS(Temas_TIMSS!$V$5:$V$1264,$A45,Temas_TIMSS!$K$5:$K$1264,"PENDIENTE")</f>
        <v>82</v>
      </c>
      <c r="F45" s="10" t="n">
        <f aca="false">IF(E45=0,0,D45/E45)</f>
        <v>0.0487804878048781</v>
      </c>
      <c r="G45" s="16" t="n">
        <v>0.35</v>
      </c>
      <c r="H45" s="17" t="n">
        <f aca="false">G45*E45</f>
        <v>28.7</v>
      </c>
      <c r="I45" s="18" t="n">
        <f aca="false">H45-D45</f>
        <v>24.7</v>
      </c>
      <c r="J45" s="19" t="n">
        <f aca="false">(G45-F45)*100</f>
        <v>30.1219512195122</v>
      </c>
      <c r="K45" s="20" t="str">
        <f aca="false">IF(ABS(G45-F45)&lt;=$H$2,"En meta",IF(I45&gt;0,"Faltan "&amp;ROUND(I45,0)&amp;" temas","Sobran "&amp;ROUND(-I45,0)&amp;" temas"))</f>
        <v>Faltan 25 temas</v>
      </c>
      <c r="L45" s="17" t="n">
        <f aca="false">MAX(D45/G45,D46/G46,D47/G47,D48/G48)</f>
        <v>152</v>
      </c>
      <c r="M45" s="8" t="n">
        <f aca="false">MAX(0,ROUNDUP(G45*L45-D45,0))</f>
        <v>50</v>
      </c>
      <c r="N45" s="8" t="n">
        <f aca="false">COUNTIFS(Temas_TIMSS!$V$5:$V$1264,$A45,Temas_TIMSS!$K$5:$K$1264,"FUERA")</f>
        <v>8</v>
      </c>
    </row>
    <row r="46" customFormat="false" ht="15" hidden="false" customHeight="false" outlineLevel="0" collapsed="false">
      <c r="A46" s="8" t="s">
        <v>53</v>
      </c>
      <c r="B46" s="8" t="s">
        <v>49</v>
      </c>
      <c r="C46" s="8" t="s">
        <v>90</v>
      </c>
      <c r="D46" s="8" t="n">
        <f aca="false">COUNTIFS(Temas_TIMSS!$V$5:$V$1264,$A46,Temas_TIMSS!$M$5:$M$1264,$C46)</f>
        <v>20</v>
      </c>
      <c r="E46" s="8" t="n">
        <f aca="false">COUNTIFS(Temas_TIMSS!$V$5:$V$1264,$A46)-COUNTIFS(Temas_TIMSS!$V$5:$V$1264,$A46,Temas_TIMSS!$K$5:$K$1264,"FUERA")-COUNTIFS(Temas_TIMSS!$V$5:$V$1264,$A46,Temas_TIMSS!$K$5:$K$1264,"PENDIENTE")</f>
        <v>82</v>
      </c>
      <c r="F46" s="10" t="n">
        <f aca="false">IF(E46=0,0,D46/E46)</f>
        <v>0.24390243902439</v>
      </c>
      <c r="G46" s="16" t="n">
        <v>0.2</v>
      </c>
      <c r="H46" s="17" t="n">
        <f aca="false">G46*E46</f>
        <v>16.4</v>
      </c>
      <c r="I46" s="18" t="n">
        <f aca="false">H46-D46</f>
        <v>-3.6</v>
      </c>
      <c r="J46" s="19" t="n">
        <f aca="false">(G46-F46)*100</f>
        <v>-4.39024390243902</v>
      </c>
      <c r="K46" s="20" t="str">
        <f aca="false">IF(ABS(G46-F46)&lt;=$H$2,"En meta",IF(I46&gt;0,"Faltan "&amp;ROUND(I46,0)&amp;" temas","Sobran "&amp;ROUND(-I46,0)&amp;" temas"))</f>
        <v>En meta</v>
      </c>
      <c r="L46" s="17" t="n">
        <f aca="false">MAX(D45/G45,D46/G46,D47/G47,D48/G48)</f>
        <v>152</v>
      </c>
      <c r="M46" s="8" t="n">
        <f aca="false">MAX(0,ROUNDUP(G46*L46-D46,0))</f>
        <v>11</v>
      </c>
      <c r="N46" s="8" t="n">
        <f aca="false">COUNTIFS(Temas_TIMSS!$V$5:$V$1264,$A46,Temas_TIMSS!$K$5:$K$1264,"FUERA")</f>
        <v>8</v>
      </c>
    </row>
    <row r="47" customFormat="false" ht="15" hidden="false" customHeight="false" outlineLevel="0" collapsed="false">
      <c r="A47" s="8" t="s">
        <v>53</v>
      </c>
      <c r="B47" s="8" t="s">
        <v>49</v>
      </c>
      <c r="C47" s="8" t="s">
        <v>91</v>
      </c>
      <c r="D47" s="8" t="n">
        <f aca="false">COUNTIFS(Temas_TIMSS!$V$5:$V$1264,$A47,Temas_TIMSS!$M$5:$M$1264,$C47)</f>
        <v>38</v>
      </c>
      <c r="E47" s="8" t="n">
        <f aca="false">COUNTIFS(Temas_TIMSS!$V$5:$V$1264,$A47)-COUNTIFS(Temas_TIMSS!$V$5:$V$1264,$A47,Temas_TIMSS!$K$5:$K$1264,"FUERA")-COUNTIFS(Temas_TIMSS!$V$5:$V$1264,$A47,Temas_TIMSS!$K$5:$K$1264,"PENDIENTE")</f>
        <v>82</v>
      </c>
      <c r="F47" s="10" t="n">
        <f aca="false">IF(E47=0,0,D47/E47)</f>
        <v>0.463414634146342</v>
      </c>
      <c r="G47" s="16" t="n">
        <v>0.25</v>
      </c>
      <c r="H47" s="17" t="n">
        <f aca="false">G47*E47</f>
        <v>20.5</v>
      </c>
      <c r="I47" s="18" t="n">
        <f aca="false">H47-D47</f>
        <v>-17.5</v>
      </c>
      <c r="J47" s="19" t="n">
        <f aca="false">(G47-F47)*100</f>
        <v>-21.3414634146342</v>
      </c>
      <c r="K47" s="20" t="str">
        <f aca="false">IF(ABS(G47-F47)&lt;=$H$2,"En meta",IF(I47&gt;0,"Faltan "&amp;ROUND(I47,0)&amp;" temas","Sobran "&amp;ROUND(-I47,0)&amp;" temas"))</f>
        <v>Sobran 18 temas</v>
      </c>
      <c r="L47" s="17" t="n">
        <f aca="false">MAX(D45/G45,D46/G46,D47/G47,D48/G48)</f>
        <v>152</v>
      </c>
      <c r="M47" s="8" t="n">
        <f aca="false">MAX(0,ROUNDUP(G47*L47-D47,0))</f>
        <v>0</v>
      </c>
      <c r="N47" s="8" t="n">
        <f aca="false">COUNTIFS(Temas_TIMSS!$V$5:$V$1264,$A47,Temas_TIMSS!$K$5:$K$1264,"FUERA")</f>
        <v>8</v>
      </c>
    </row>
    <row r="48" customFormat="false" ht="15" hidden="false" customHeight="false" outlineLevel="0" collapsed="false">
      <c r="A48" s="8" t="s">
        <v>53</v>
      </c>
      <c r="B48" s="8" t="s">
        <v>49</v>
      </c>
      <c r="C48" s="8" t="s">
        <v>87</v>
      </c>
      <c r="D48" s="8" t="n">
        <f aca="false">COUNTIFS(Temas_TIMSS!$V$5:$V$1264,$A48,Temas_TIMSS!$M$5:$M$1264,$C48)</f>
        <v>20</v>
      </c>
      <c r="E48" s="8" t="n">
        <f aca="false">COUNTIFS(Temas_TIMSS!$V$5:$V$1264,$A48)-COUNTIFS(Temas_TIMSS!$V$5:$V$1264,$A48,Temas_TIMSS!$K$5:$K$1264,"FUERA")-COUNTIFS(Temas_TIMSS!$V$5:$V$1264,$A48,Temas_TIMSS!$K$5:$K$1264,"PENDIENTE")</f>
        <v>82</v>
      </c>
      <c r="F48" s="10" t="n">
        <f aca="false">IF(E48=0,0,D48/E48)</f>
        <v>0.24390243902439</v>
      </c>
      <c r="G48" s="16" t="n">
        <v>0.2</v>
      </c>
      <c r="H48" s="17" t="n">
        <f aca="false">G48*E48</f>
        <v>16.4</v>
      </c>
      <c r="I48" s="18" t="n">
        <f aca="false">H48-D48</f>
        <v>-3.6</v>
      </c>
      <c r="J48" s="19" t="n">
        <f aca="false">(G48-F48)*100</f>
        <v>-4.39024390243902</v>
      </c>
      <c r="K48" s="20" t="str">
        <f aca="false">IF(ABS(G48-F48)&lt;=$H$2,"En meta",IF(I48&gt;0,"Faltan "&amp;ROUND(I48,0)&amp;" temas","Sobran "&amp;ROUND(-I48,0)&amp;" temas"))</f>
        <v>En meta</v>
      </c>
      <c r="L48" s="17" t="n">
        <f aca="false">MAX(D45/G45,D46/G46,D47/G47,D48/G48)</f>
        <v>152</v>
      </c>
      <c r="M48" s="8" t="n">
        <f aca="false">MAX(0,ROUNDUP(G48*L48-D48,0))</f>
        <v>11</v>
      </c>
      <c r="N48" s="8" t="n">
        <f aca="false">COUNTIFS(Temas_TIMSS!$V$5:$V$1264,$A48,Temas_TIMSS!$K$5:$K$1264,"FUERA")</f>
        <v>8</v>
      </c>
    </row>
    <row r="49" customFormat="false" ht="15" hidden="false" customHeight="false" outlineLevel="0" collapsed="false">
      <c r="A49" s="21"/>
      <c r="B49" s="21"/>
      <c r="C49" s="21" t="s">
        <v>88</v>
      </c>
      <c r="D49" s="21" t="n">
        <f aca="false">SUM(D45:D48)</f>
        <v>82</v>
      </c>
      <c r="E49" s="21"/>
      <c r="F49" s="21"/>
      <c r="G49" s="22" t="n">
        <f aca="false">SUM(G45:G48)</f>
        <v>1</v>
      </c>
      <c r="H49" s="21"/>
      <c r="I49" s="21"/>
      <c r="J49" s="21"/>
      <c r="K49" s="21"/>
      <c r="L49" s="21"/>
      <c r="M49" s="21" t="n">
        <f aca="false">SUM(M45:M48)</f>
        <v>72</v>
      </c>
      <c r="N49" s="21"/>
    </row>
    <row r="51" customFormat="false" ht="15" hidden="false" customHeight="false" outlineLevel="0" collapsed="false">
      <c r="A51" s="8" t="s">
        <v>54</v>
      </c>
      <c r="B51" s="8" t="s">
        <v>55</v>
      </c>
      <c r="C51" s="8" t="s">
        <v>92</v>
      </c>
      <c r="D51" s="8" t="n">
        <f aca="false">COUNTIFS(Temas_TIMSS!$V$5:$V$1264,$A51,Temas_TIMSS!$M$5:$M$1264,$C51)</f>
        <v>67</v>
      </c>
      <c r="E51" s="8" t="n">
        <f aca="false">COUNTIFS(Temas_TIMSS!$V$5:$V$1264,$A51)-COUNTIFS(Temas_TIMSS!$V$5:$V$1264,$A51,Temas_TIMSS!$K$5:$K$1264,"FUERA")-COUNTIFS(Temas_TIMSS!$V$5:$V$1264,$A51,Temas_TIMSS!$K$5:$K$1264,"PENDIENTE")</f>
        <v>80</v>
      </c>
      <c r="F51" s="10" t="n">
        <f aca="false">IF(E51=0,0,D51/E51)</f>
        <v>0.8375</v>
      </c>
      <c r="G51" s="16" t="n">
        <v>0.4</v>
      </c>
      <c r="H51" s="17" t="n">
        <f aca="false">G51*E51</f>
        <v>32</v>
      </c>
      <c r="I51" s="18" t="n">
        <f aca="false">H51-D51</f>
        <v>-35</v>
      </c>
      <c r="J51" s="19" t="n">
        <f aca="false">(G51-F51)*100</f>
        <v>-43.75</v>
      </c>
      <c r="K51" s="20" t="str">
        <f aca="false">IF(ABS(G51-F51)&lt;=$H$2,"En meta",IF(I51&gt;0,"Faltan "&amp;ROUND(I51,0)&amp;" temas","Sobran "&amp;ROUND(-I51,0)&amp;" temas"))</f>
        <v>Sobran 35 temas</v>
      </c>
      <c r="L51" s="17" t="n">
        <f aca="false">MAX(D51/G51,D52/G52,D53/G53)</f>
        <v>167.5</v>
      </c>
      <c r="M51" s="8" t="n">
        <f aca="false">MAX(0,ROUNDUP(G51*L51-D51,0))</f>
        <v>0</v>
      </c>
      <c r="N51" s="8" t="n">
        <f aca="false">COUNTIFS(Temas_TIMSS!$V$5:$V$1264,$A51,Temas_TIMSS!$K$5:$K$1264,"FUERA")</f>
        <v>41</v>
      </c>
    </row>
    <row r="52" customFormat="false" ht="15" hidden="false" customHeight="false" outlineLevel="0" collapsed="false">
      <c r="A52" s="8" t="s">
        <v>54</v>
      </c>
      <c r="B52" s="8" t="s">
        <v>55</v>
      </c>
      <c r="C52" s="8" t="s">
        <v>93</v>
      </c>
      <c r="D52" s="8" t="n">
        <f aca="false">COUNTIFS(Temas_TIMSS!$V$5:$V$1264,$A52,Temas_TIMSS!$M$5:$M$1264,$C52)</f>
        <v>0</v>
      </c>
      <c r="E52" s="8" t="n">
        <f aca="false">COUNTIFS(Temas_TIMSS!$V$5:$V$1264,$A52)-COUNTIFS(Temas_TIMSS!$V$5:$V$1264,$A52,Temas_TIMSS!$K$5:$K$1264,"FUERA")-COUNTIFS(Temas_TIMSS!$V$5:$V$1264,$A52,Temas_TIMSS!$K$5:$K$1264,"PENDIENTE")</f>
        <v>80</v>
      </c>
      <c r="F52" s="10" t="n">
        <f aca="false">IF(E52=0,0,D52/E52)</f>
        <v>0</v>
      </c>
      <c r="G52" s="16" t="n">
        <v>0.25</v>
      </c>
      <c r="H52" s="17" t="n">
        <f aca="false">G52*E52</f>
        <v>20</v>
      </c>
      <c r="I52" s="18" t="n">
        <f aca="false">H52-D52</f>
        <v>20</v>
      </c>
      <c r="J52" s="19" t="n">
        <f aca="false">(G52-F52)*100</f>
        <v>25</v>
      </c>
      <c r="K52" s="20" t="str">
        <f aca="false">IF(ABS(G52-F52)&lt;=$H$2,"En meta",IF(I52&gt;0,"Faltan "&amp;ROUND(I52,0)&amp;" temas","Sobran "&amp;ROUND(-I52,0)&amp;" temas"))</f>
        <v>Faltan 20 temas</v>
      </c>
      <c r="L52" s="17" t="n">
        <f aca="false">MAX(D51/G51,D52/G52,D53/G53)</f>
        <v>167.5</v>
      </c>
      <c r="M52" s="8" t="n">
        <f aca="false">MAX(0,ROUNDUP(G52*L52-D52,0))</f>
        <v>42</v>
      </c>
      <c r="N52" s="8" t="n">
        <f aca="false">COUNTIFS(Temas_TIMSS!$V$5:$V$1264,$A52,Temas_TIMSS!$K$5:$K$1264,"FUERA")</f>
        <v>41</v>
      </c>
    </row>
    <row r="53" customFormat="false" ht="15" hidden="false" customHeight="false" outlineLevel="0" collapsed="false">
      <c r="A53" s="8" t="s">
        <v>54</v>
      </c>
      <c r="B53" s="8" t="s">
        <v>55</v>
      </c>
      <c r="C53" s="8" t="s">
        <v>94</v>
      </c>
      <c r="D53" s="8" t="n">
        <f aca="false">COUNTIFS(Temas_TIMSS!$V$5:$V$1264,$A53,Temas_TIMSS!$M$5:$M$1264,$C53)</f>
        <v>13</v>
      </c>
      <c r="E53" s="8" t="n">
        <f aca="false">COUNTIFS(Temas_TIMSS!$V$5:$V$1264,$A53)-COUNTIFS(Temas_TIMSS!$V$5:$V$1264,$A53,Temas_TIMSS!$K$5:$K$1264,"FUERA")-COUNTIFS(Temas_TIMSS!$V$5:$V$1264,$A53,Temas_TIMSS!$K$5:$K$1264,"PENDIENTE")</f>
        <v>80</v>
      </c>
      <c r="F53" s="10" t="n">
        <f aca="false">IF(E53=0,0,D53/E53)</f>
        <v>0.1625</v>
      </c>
      <c r="G53" s="16" t="n">
        <v>0.35</v>
      </c>
      <c r="H53" s="17" t="n">
        <f aca="false">G53*E53</f>
        <v>28</v>
      </c>
      <c r="I53" s="18" t="n">
        <f aca="false">H53-D53</f>
        <v>15</v>
      </c>
      <c r="J53" s="19" t="n">
        <f aca="false">(G53-F53)*100</f>
        <v>18.75</v>
      </c>
      <c r="K53" s="20" t="str">
        <f aca="false">IF(ABS(G53-F53)&lt;=$H$2,"En meta",IF(I53&gt;0,"Faltan "&amp;ROUND(I53,0)&amp;" temas","Sobran "&amp;ROUND(-I53,0)&amp;" temas"))</f>
        <v>Faltan 15 temas</v>
      </c>
      <c r="L53" s="17" t="n">
        <f aca="false">MAX(D51/G51,D52/G52,D53/G53)</f>
        <v>167.5</v>
      </c>
      <c r="M53" s="8" t="n">
        <f aca="false">MAX(0,ROUNDUP(G53*L53-D53,0))</f>
        <v>46</v>
      </c>
      <c r="N53" s="8" t="n">
        <f aca="false">COUNTIFS(Temas_TIMSS!$V$5:$V$1264,$A53,Temas_TIMSS!$K$5:$K$1264,"FUERA")</f>
        <v>41</v>
      </c>
    </row>
    <row r="54" customFormat="false" ht="15" hidden="false" customHeight="false" outlineLevel="0" collapsed="false">
      <c r="A54" s="21"/>
      <c r="B54" s="21"/>
      <c r="C54" s="21" t="s">
        <v>88</v>
      </c>
      <c r="D54" s="21" t="n">
        <f aca="false">SUM(D51:D53)</f>
        <v>80</v>
      </c>
      <c r="E54" s="21"/>
      <c r="F54" s="21"/>
      <c r="G54" s="22" t="n">
        <f aca="false">SUM(G51:G53)</f>
        <v>1</v>
      </c>
      <c r="H54" s="21"/>
      <c r="I54" s="21"/>
      <c r="J54" s="21"/>
      <c r="K54" s="21"/>
      <c r="L54" s="21"/>
      <c r="M54" s="21" t="n">
        <f aca="false">SUM(M51:M53)</f>
        <v>88</v>
      </c>
      <c r="N54" s="21"/>
    </row>
    <row r="56" customFormat="false" ht="15" hidden="false" customHeight="false" outlineLevel="0" collapsed="false">
      <c r="A56" s="8" t="s">
        <v>56</v>
      </c>
      <c r="B56" s="8" t="s">
        <v>55</v>
      </c>
      <c r="C56" s="8" t="s">
        <v>92</v>
      </c>
      <c r="D56" s="8" t="n">
        <f aca="false">COUNTIFS(Temas_TIMSS!$V$5:$V$1264,$A56,Temas_TIMSS!$M$5:$M$1264,$C56)</f>
        <v>4</v>
      </c>
      <c r="E56" s="8" t="n">
        <f aca="false">COUNTIFS(Temas_TIMSS!$V$5:$V$1264,$A56)-COUNTIFS(Temas_TIMSS!$V$5:$V$1264,$A56,Temas_TIMSS!$K$5:$K$1264,"FUERA")-COUNTIFS(Temas_TIMSS!$V$5:$V$1264,$A56,Temas_TIMSS!$K$5:$K$1264,"PENDIENTE")</f>
        <v>119</v>
      </c>
      <c r="F56" s="10" t="n">
        <f aca="false">IF(E56=0,0,D56/E56)</f>
        <v>0.0336134453781513</v>
      </c>
      <c r="G56" s="16" t="n">
        <v>0.4</v>
      </c>
      <c r="H56" s="17" t="n">
        <f aca="false">G56*E56</f>
        <v>47.6</v>
      </c>
      <c r="I56" s="18" t="n">
        <f aca="false">H56-D56</f>
        <v>43.6</v>
      </c>
      <c r="J56" s="19" t="n">
        <f aca="false">(G56-F56)*100</f>
        <v>36.6386554621849</v>
      </c>
      <c r="K56" s="20" t="str">
        <f aca="false">IF(ABS(G56-F56)&lt;=$H$2,"En meta",IF(I56&gt;0,"Faltan "&amp;ROUND(I56,0)&amp;" temas","Sobran "&amp;ROUND(-I56,0)&amp;" temas"))</f>
        <v>Faltan 44 temas</v>
      </c>
      <c r="L56" s="17" t="n">
        <f aca="false">MAX(D56/G56,D57/G57,D58/G58)</f>
        <v>205.714285714286</v>
      </c>
      <c r="M56" s="8" t="n">
        <f aca="false">MAX(0,ROUNDUP(G56*L56-D56,0))</f>
        <v>79</v>
      </c>
      <c r="N56" s="8" t="n">
        <f aca="false">COUNTIFS(Temas_TIMSS!$V$5:$V$1264,$A56,Temas_TIMSS!$K$5:$K$1264,"FUERA")</f>
        <v>27</v>
      </c>
    </row>
    <row r="57" customFormat="false" ht="15" hidden="false" customHeight="false" outlineLevel="0" collapsed="false">
      <c r="A57" s="8" t="s">
        <v>56</v>
      </c>
      <c r="B57" s="8" t="s">
        <v>55</v>
      </c>
      <c r="C57" s="8" t="s">
        <v>93</v>
      </c>
      <c r="D57" s="8" t="n">
        <f aca="false">COUNTIFS(Temas_TIMSS!$V$5:$V$1264,$A57,Temas_TIMSS!$M$5:$M$1264,$C57)</f>
        <v>43</v>
      </c>
      <c r="E57" s="8" t="n">
        <f aca="false">COUNTIFS(Temas_TIMSS!$V$5:$V$1264,$A57)-COUNTIFS(Temas_TIMSS!$V$5:$V$1264,$A57,Temas_TIMSS!$K$5:$K$1264,"FUERA")-COUNTIFS(Temas_TIMSS!$V$5:$V$1264,$A57,Temas_TIMSS!$K$5:$K$1264,"PENDIENTE")</f>
        <v>119</v>
      </c>
      <c r="F57" s="10" t="n">
        <f aca="false">IF(E57=0,0,D57/E57)</f>
        <v>0.361344537815126</v>
      </c>
      <c r="G57" s="16" t="n">
        <v>0.25</v>
      </c>
      <c r="H57" s="17" t="n">
        <f aca="false">G57*E57</f>
        <v>29.75</v>
      </c>
      <c r="I57" s="18" t="n">
        <f aca="false">H57-D57</f>
        <v>-13.25</v>
      </c>
      <c r="J57" s="19" t="n">
        <f aca="false">(G57-F57)*100</f>
        <v>-11.1344537815126</v>
      </c>
      <c r="K57" s="20" t="str">
        <f aca="false">IF(ABS(G57-F57)&lt;=$H$2,"En meta",IF(I57&gt;0,"Faltan "&amp;ROUND(I57,0)&amp;" temas","Sobran "&amp;ROUND(-I57,0)&amp;" temas"))</f>
        <v>Sobran 13 temas</v>
      </c>
      <c r="L57" s="17" t="n">
        <f aca="false">MAX(D56/G56,D57/G57,D58/G58)</f>
        <v>205.714285714286</v>
      </c>
      <c r="M57" s="8" t="n">
        <f aca="false">MAX(0,ROUNDUP(G57*L57-D57,0))</f>
        <v>9</v>
      </c>
      <c r="N57" s="8" t="n">
        <f aca="false">COUNTIFS(Temas_TIMSS!$V$5:$V$1264,$A57,Temas_TIMSS!$K$5:$K$1264,"FUERA")</f>
        <v>27</v>
      </c>
    </row>
    <row r="58" customFormat="false" ht="15" hidden="false" customHeight="false" outlineLevel="0" collapsed="false">
      <c r="A58" s="8" t="s">
        <v>56</v>
      </c>
      <c r="B58" s="8" t="s">
        <v>55</v>
      </c>
      <c r="C58" s="8" t="s">
        <v>94</v>
      </c>
      <c r="D58" s="8" t="n">
        <f aca="false">COUNTIFS(Temas_TIMSS!$V$5:$V$1264,$A58,Temas_TIMSS!$M$5:$M$1264,$C58)</f>
        <v>72</v>
      </c>
      <c r="E58" s="8" t="n">
        <f aca="false">COUNTIFS(Temas_TIMSS!$V$5:$V$1264,$A58)-COUNTIFS(Temas_TIMSS!$V$5:$V$1264,$A58,Temas_TIMSS!$K$5:$K$1264,"FUERA")-COUNTIFS(Temas_TIMSS!$V$5:$V$1264,$A58,Temas_TIMSS!$K$5:$K$1264,"PENDIENTE")</f>
        <v>119</v>
      </c>
      <c r="F58" s="10" t="n">
        <f aca="false">IF(E58=0,0,D58/E58)</f>
        <v>0.605042016806723</v>
      </c>
      <c r="G58" s="16" t="n">
        <v>0.35</v>
      </c>
      <c r="H58" s="17" t="n">
        <f aca="false">G58*E58</f>
        <v>41.65</v>
      </c>
      <c r="I58" s="18" t="n">
        <f aca="false">H58-D58</f>
        <v>-30.35</v>
      </c>
      <c r="J58" s="19" t="n">
        <f aca="false">(G58-F58)*100</f>
        <v>-25.5042016806723</v>
      </c>
      <c r="K58" s="20" t="str">
        <f aca="false">IF(ABS(G58-F58)&lt;=$H$2,"En meta",IF(I58&gt;0,"Faltan "&amp;ROUND(I58,0)&amp;" temas","Sobran "&amp;ROUND(-I58,0)&amp;" temas"))</f>
        <v>Sobran 30 temas</v>
      </c>
      <c r="L58" s="17" t="n">
        <f aca="false">MAX(D56/G56,D57/G57,D58/G58)</f>
        <v>205.714285714286</v>
      </c>
      <c r="M58" s="8" t="n">
        <f aca="false">MAX(0,ROUNDUP(G58*L58-D58,0))</f>
        <v>0</v>
      </c>
      <c r="N58" s="8" t="n">
        <f aca="false">COUNTIFS(Temas_TIMSS!$V$5:$V$1264,$A58,Temas_TIMSS!$K$5:$K$1264,"FUERA")</f>
        <v>27</v>
      </c>
    </row>
    <row r="59" customFormat="false" ht="15" hidden="false" customHeight="false" outlineLevel="0" collapsed="false">
      <c r="A59" s="21"/>
      <c r="B59" s="21"/>
      <c r="C59" s="21" t="s">
        <v>88</v>
      </c>
      <c r="D59" s="21" t="n">
        <f aca="false">SUM(D56:D58)</f>
        <v>119</v>
      </c>
      <c r="E59" s="21"/>
      <c r="F59" s="21"/>
      <c r="G59" s="22" t="n">
        <f aca="false">SUM(G56:G58)</f>
        <v>1</v>
      </c>
      <c r="H59" s="21"/>
      <c r="I59" s="21"/>
      <c r="J59" s="21"/>
      <c r="K59" s="21"/>
      <c r="L59" s="21"/>
      <c r="M59" s="21" t="n">
        <f aca="false">SUM(M56:M58)</f>
        <v>88</v>
      </c>
      <c r="N59" s="21"/>
    </row>
  </sheetData>
  <mergeCells count="1">
    <mergeCell ref="A3:N3"/>
  </mergeCells>
  <conditionalFormatting sqref="K6:K61">
    <cfRule type="expression" priority="2" aboveAverage="0" equalAverage="0" bottom="0" percent="0" rank="0" text="" dxfId="0">
      <formula>LEFT(K6,6)="Faltan"</formula>
    </cfRule>
    <cfRule type="expression" priority="3" aboveAverage="0" equalAverage="0" bottom="0" percent="0" rank="0" text="" dxfId="1">
      <formula>LEFT(K6,6)="Sobran"</formula>
    </cfRule>
    <cfRule type="cellIs" priority="4" operator="equal" aboveAverage="0" equalAverage="0" bottom="0" percent="0" rank="0" text="" dxfId="2">
      <formula>"En meta"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15" min="6" style="0" width="7"/>
    <col collapsed="false" customWidth="true" hidden="false" outlineLevel="0" max="16" min="16" style="0" width="8"/>
    <col collapsed="false" customWidth="true" hidden="false" outlineLevel="0" max="18" min="17" style="0" width="9"/>
    <col collapsed="false" customWidth="true" hidden="false" outlineLevel="0" max="19" min="19" style="0" width="15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5" t="s">
        <v>97</v>
      </c>
    </row>
    <row r="2" customFormat="false" ht="27.75" hidden="false" customHeight="true" outlineLevel="0" collapsed="false">
      <c r="A2" s="6" t="s">
        <v>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4" customFormat="false" ht="45" hidden="false" customHeight="true" outlineLevel="0" collapsed="false">
      <c r="A4" s="7" t="s">
        <v>99</v>
      </c>
      <c r="B4" s="7" t="s">
        <v>100</v>
      </c>
      <c r="C4" s="7" t="s">
        <v>73</v>
      </c>
      <c r="D4" s="7" t="s">
        <v>101</v>
      </c>
      <c r="E4" s="7" t="s">
        <v>102</v>
      </c>
      <c r="F4" s="7" t="s">
        <v>44</v>
      </c>
      <c r="G4" s="7" t="s">
        <v>46</v>
      </c>
      <c r="H4" s="7" t="s">
        <v>47</v>
      </c>
      <c r="I4" s="7" t="s">
        <v>48</v>
      </c>
      <c r="J4" s="7" t="s">
        <v>50</v>
      </c>
      <c r="K4" s="7" t="s">
        <v>51</v>
      </c>
      <c r="L4" s="7" t="s">
        <v>52</v>
      </c>
      <c r="M4" s="7" t="s">
        <v>53</v>
      </c>
      <c r="N4" s="7" t="s">
        <v>54</v>
      </c>
      <c r="O4" s="7" t="s">
        <v>56</v>
      </c>
      <c r="P4" s="7" t="s">
        <v>103</v>
      </c>
      <c r="Q4" s="7" t="s">
        <v>104</v>
      </c>
      <c r="R4" s="7" t="s">
        <v>105</v>
      </c>
      <c r="S4" s="7" t="s">
        <v>106</v>
      </c>
      <c r="T4" s="7" t="s">
        <v>107</v>
      </c>
    </row>
    <row r="5" customFormat="false" ht="23.85" hidden="false" customHeight="false" outlineLevel="0" collapsed="false">
      <c r="A5" s="23" t="s">
        <v>108</v>
      </c>
      <c r="B5" s="23" t="s">
        <v>109</v>
      </c>
      <c r="C5" s="23" t="s">
        <v>85</v>
      </c>
      <c r="D5" s="23" t="s">
        <v>110</v>
      </c>
      <c r="E5" s="23" t="s">
        <v>111</v>
      </c>
      <c r="F5" s="23" t="n">
        <f aca="false">COUNTIFS(Temas_TIMSS!$V$5:$V$1264,F$4,Temas_TIMSS!$K$5:$K$1264,$A5)+COUNTIFS(Temas_TIMSS!$V$5:$V$1264,F$4,Temas_TIMSS!$L$5:$L$1264,$A5)</f>
        <v>5</v>
      </c>
      <c r="G5" s="23" t="n">
        <f aca="false">COUNTIFS(Temas_TIMSS!$V$5:$V$1264,G$4,Temas_TIMSS!$K$5:$K$1264,$A5)+COUNTIFS(Temas_TIMSS!$V$5:$V$1264,G$4,Temas_TIMSS!$L$5:$L$1264,$A5)</f>
        <v>5</v>
      </c>
      <c r="H5" s="23" t="n">
        <f aca="false">COUNTIFS(Temas_TIMSS!$V$5:$V$1264,H$4,Temas_TIMSS!$K$5:$K$1264,$A5)+COUNTIFS(Temas_TIMSS!$V$5:$V$1264,H$4,Temas_TIMSS!$L$5:$L$1264,$A5)</f>
        <v>3</v>
      </c>
      <c r="I5" s="23" t="n">
        <f aca="false">COUNTIFS(Temas_TIMSS!$V$5:$V$1264,I$4,Temas_TIMSS!$K$5:$K$1264,$A5)+COUNTIFS(Temas_TIMSS!$V$5:$V$1264,I$4,Temas_TIMSS!$L$5:$L$1264,$A5)</f>
        <v>0</v>
      </c>
      <c r="J5" s="23" t="n">
        <f aca="false">COUNTIFS(Temas_TIMSS!$V$5:$V$1264,J$4,Temas_TIMSS!$K$5:$K$1264,$A5)+COUNTIFS(Temas_TIMSS!$V$5:$V$1264,J$4,Temas_TIMSS!$L$5:$L$1264,$A5)</f>
        <v>0</v>
      </c>
      <c r="K5" s="23" t="n">
        <f aca="false">COUNTIFS(Temas_TIMSS!$V$5:$V$1264,K$4,Temas_TIMSS!$K$5:$K$1264,$A5)+COUNTIFS(Temas_TIMSS!$V$5:$V$1264,K$4,Temas_TIMSS!$L$5:$L$1264,$A5)</f>
        <v>0</v>
      </c>
      <c r="L5" s="23" t="n">
        <f aca="false">COUNTIFS(Temas_TIMSS!$V$5:$V$1264,L$4,Temas_TIMSS!$K$5:$K$1264,$A5)+COUNTIFS(Temas_TIMSS!$V$5:$V$1264,L$4,Temas_TIMSS!$L$5:$L$1264,$A5)</f>
        <v>0</v>
      </c>
      <c r="M5" s="23" t="n">
        <f aca="false">COUNTIFS(Temas_TIMSS!$V$5:$V$1264,M$4,Temas_TIMSS!$K$5:$K$1264,$A5)+COUNTIFS(Temas_TIMSS!$V$5:$V$1264,M$4,Temas_TIMSS!$L$5:$L$1264,$A5)</f>
        <v>0</v>
      </c>
      <c r="N5" s="23" t="n">
        <f aca="false">COUNTIFS(Temas_TIMSS!$V$5:$V$1264,N$4,Temas_TIMSS!$K$5:$K$1264,$A5)+COUNTIFS(Temas_TIMSS!$V$5:$V$1264,N$4,Temas_TIMSS!$L$5:$L$1264,$A5)</f>
        <v>0</v>
      </c>
      <c r="O5" s="23" t="n">
        <f aca="false">COUNTIFS(Temas_TIMSS!$V$5:$V$1264,O$4,Temas_TIMSS!$K$5:$K$1264,$A5)+COUNTIFS(Temas_TIMSS!$V$5:$V$1264,O$4,Temas_TIMSS!$L$5:$L$1264,$A5)</f>
        <v>0</v>
      </c>
      <c r="P5" s="23" t="n">
        <f aca="false">IF($B5="T4",SUM(F5:H5),IF($B5="T8",SUM(I5:L5),SUM(N5:O5)))</f>
        <v>13</v>
      </c>
      <c r="Q5" s="23" t="n">
        <f aca="false">COUNTIFS(Temas_TIMSS!$K$5:$K$1264,$A5)</f>
        <v>6</v>
      </c>
      <c r="R5" s="23" t="str">
        <f aca="false">IF(P5&gt;0,"Sí","No")</f>
        <v>Sí</v>
      </c>
      <c r="S5" s="23" t="str">
        <f aca="false">IF(P5=0,"No cubierto",IF(P5=1,"Débil (1 tema)",IF(P5&lt;=3,"Básica (2–3)","Sólida (4+)")))</f>
        <v>Sólida (4+)</v>
      </c>
      <c r="T5" s="23" t="str">
        <f aca="false">IFERROR(INDEX($F$4:$O$4,MATCH(TRUE(),INDEX(F5:O5&gt;0,0),0)),"—")</f>
        <v>2°</v>
      </c>
    </row>
    <row r="6" customFormat="false" ht="23.85" hidden="false" customHeight="false" outlineLevel="0" collapsed="false">
      <c r="A6" s="23" t="s">
        <v>112</v>
      </c>
      <c r="B6" s="23" t="s">
        <v>109</v>
      </c>
      <c r="C6" s="23" t="s">
        <v>85</v>
      </c>
      <c r="D6" s="23" t="s">
        <v>110</v>
      </c>
      <c r="E6" s="23" t="s">
        <v>113</v>
      </c>
      <c r="F6" s="23" t="n">
        <f aca="false">COUNTIFS(Temas_TIMSS!$V$5:$V$1264,F$4,Temas_TIMSS!$K$5:$K$1264,$A6)+COUNTIFS(Temas_TIMSS!$V$5:$V$1264,F$4,Temas_TIMSS!$L$5:$L$1264,$A6)</f>
        <v>6</v>
      </c>
      <c r="G6" s="23" t="n">
        <f aca="false">COUNTIFS(Temas_TIMSS!$V$5:$V$1264,G$4,Temas_TIMSS!$K$5:$K$1264,$A6)+COUNTIFS(Temas_TIMSS!$V$5:$V$1264,G$4,Temas_TIMSS!$L$5:$L$1264,$A6)</f>
        <v>15</v>
      </c>
      <c r="H6" s="23" t="n">
        <f aca="false">COUNTIFS(Temas_TIMSS!$V$5:$V$1264,H$4,Temas_TIMSS!$K$5:$K$1264,$A6)+COUNTIFS(Temas_TIMSS!$V$5:$V$1264,H$4,Temas_TIMSS!$L$5:$L$1264,$A6)</f>
        <v>0</v>
      </c>
      <c r="I6" s="23" t="n">
        <f aca="false">COUNTIFS(Temas_TIMSS!$V$5:$V$1264,I$4,Temas_TIMSS!$K$5:$K$1264,$A6)+COUNTIFS(Temas_TIMSS!$V$5:$V$1264,I$4,Temas_TIMSS!$L$5:$L$1264,$A6)</f>
        <v>0</v>
      </c>
      <c r="J6" s="23" t="n">
        <f aca="false">COUNTIFS(Temas_TIMSS!$V$5:$V$1264,J$4,Temas_TIMSS!$K$5:$K$1264,$A6)+COUNTIFS(Temas_TIMSS!$V$5:$V$1264,J$4,Temas_TIMSS!$L$5:$L$1264,$A6)</f>
        <v>0</v>
      </c>
      <c r="K6" s="23" t="n">
        <f aca="false">COUNTIFS(Temas_TIMSS!$V$5:$V$1264,K$4,Temas_TIMSS!$K$5:$K$1264,$A6)+COUNTIFS(Temas_TIMSS!$V$5:$V$1264,K$4,Temas_TIMSS!$L$5:$L$1264,$A6)</f>
        <v>0</v>
      </c>
      <c r="L6" s="23" t="n">
        <f aca="false">COUNTIFS(Temas_TIMSS!$V$5:$V$1264,L$4,Temas_TIMSS!$K$5:$K$1264,$A6)+COUNTIFS(Temas_TIMSS!$V$5:$V$1264,L$4,Temas_TIMSS!$L$5:$L$1264,$A6)</f>
        <v>0</v>
      </c>
      <c r="M6" s="23" t="n">
        <f aca="false">COUNTIFS(Temas_TIMSS!$V$5:$V$1264,M$4,Temas_TIMSS!$K$5:$K$1264,$A6)+COUNTIFS(Temas_TIMSS!$V$5:$V$1264,M$4,Temas_TIMSS!$L$5:$L$1264,$A6)</f>
        <v>0</v>
      </c>
      <c r="N6" s="23" t="n">
        <f aca="false">COUNTIFS(Temas_TIMSS!$V$5:$V$1264,N$4,Temas_TIMSS!$K$5:$K$1264,$A6)+COUNTIFS(Temas_TIMSS!$V$5:$V$1264,N$4,Temas_TIMSS!$L$5:$L$1264,$A6)</f>
        <v>0</v>
      </c>
      <c r="O6" s="23" t="n">
        <f aca="false">COUNTIFS(Temas_TIMSS!$V$5:$V$1264,O$4,Temas_TIMSS!$K$5:$K$1264,$A6)+COUNTIFS(Temas_TIMSS!$V$5:$V$1264,O$4,Temas_TIMSS!$L$5:$L$1264,$A6)</f>
        <v>0</v>
      </c>
      <c r="P6" s="23" t="n">
        <f aca="false">IF($B6="T4",SUM(F6:H6),IF($B6="T8",SUM(I6:L6),SUM(N6:O6)))</f>
        <v>21</v>
      </c>
      <c r="Q6" s="23" t="n">
        <f aca="false">COUNTIFS(Temas_TIMSS!$K$5:$K$1264,$A6)</f>
        <v>20</v>
      </c>
      <c r="R6" s="23" t="str">
        <f aca="false">IF(P6&gt;0,"Sí","No")</f>
        <v>Sí</v>
      </c>
      <c r="S6" s="23" t="str">
        <f aca="false">IF(P6=0,"No cubierto",IF(P6=1,"Débil (1 tema)",IF(P6&lt;=3,"Básica (2–3)","Sólida (4+)")))</f>
        <v>Sólida (4+)</v>
      </c>
      <c r="T6" s="23" t="str">
        <f aca="false">IFERROR(INDEX($F$4:$O$4,MATCH(TRUE(),INDEX(F6:O6&gt;0,0),0)),"—")</f>
        <v>2°</v>
      </c>
    </row>
    <row r="7" customFormat="false" ht="23.85" hidden="false" customHeight="false" outlineLevel="0" collapsed="false">
      <c r="A7" s="23" t="s">
        <v>114</v>
      </c>
      <c r="B7" s="23" t="s">
        <v>109</v>
      </c>
      <c r="C7" s="23" t="s">
        <v>85</v>
      </c>
      <c r="D7" s="23" t="s">
        <v>110</v>
      </c>
      <c r="E7" s="23" t="s">
        <v>115</v>
      </c>
      <c r="F7" s="23" t="n">
        <f aca="false">COUNTIFS(Temas_TIMSS!$V$5:$V$1264,F$4,Temas_TIMSS!$K$5:$K$1264,$A7)+COUNTIFS(Temas_TIMSS!$V$5:$V$1264,F$4,Temas_TIMSS!$L$5:$L$1264,$A7)</f>
        <v>2</v>
      </c>
      <c r="G7" s="23" t="n">
        <f aca="false">COUNTIFS(Temas_TIMSS!$V$5:$V$1264,G$4,Temas_TIMSS!$K$5:$K$1264,$A7)+COUNTIFS(Temas_TIMSS!$V$5:$V$1264,G$4,Temas_TIMSS!$L$5:$L$1264,$A7)</f>
        <v>4</v>
      </c>
      <c r="H7" s="23" t="n">
        <f aca="false">COUNTIFS(Temas_TIMSS!$V$5:$V$1264,H$4,Temas_TIMSS!$K$5:$K$1264,$A7)+COUNTIFS(Temas_TIMSS!$V$5:$V$1264,H$4,Temas_TIMSS!$L$5:$L$1264,$A7)</f>
        <v>18</v>
      </c>
      <c r="I7" s="23" t="n">
        <f aca="false">COUNTIFS(Temas_TIMSS!$V$5:$V$1264,I$4,Temas_TIMSS!$K$5:$K$1264,$A7)+COUNTIFS(Temas_TIMSS!$V$5:$V$1264,I$4,Temas_TIMSS!$L$5:$L$1264,$A7)</f>
        <v>0</v>
      </c>
      <c r="J7" s="23" t="n">
        <f aca="false">COUNTIFS(Temas_TIMSS!$V$5:$V$1264,J$4,Temas_TIMSS!$K$5:$K$1264,$A7)+COUNTIFS(Temas_TIMSS!$V$5:$V$1264,J$4,Temas_TIMSS!$L$5:$L$1264,$A7)</f>
        <v>0</v>
      </c>
      <c r="K7" s="23" t="n">
        <f aca="false">COUNTIFS(Temas_TIMSS!$V$5:$V$1264,K$4,Temas_TIMSS!$K$5:$K$1264,$A7)+COUNTIFS(Temas_TIMSS!$V$5:$V$1264,K$4,Temas_TIMSS!$L$5:$L$1264,$A7)</f>
        <v>0</v>
      </c>
      <c r="L7" s="23" t="n">
        <f aca="false">COUNTIFS(Temas_TIMSS!$V$5:$V$1264,L$4,Temas_TIMSS!$K$5:$K$1264,$A7)+COUNTIFS(Temas_TIMSS!$V$5:$V$1264,L$4,Temas_TIMSS!$L$5:$L$1264,$A7)</f>
        <v>0</v>
      </c>
      <c r="M7" s="23" t="n">
        <f aca="false">COUNTIFS(Temas_TIMSS!$V$5:$V$1264,M$4,Temas_TIMSS!$K$5:$K$1264,$A7)+COUNTIFS(Temas_TIMSS!$V$5:$V$1264,M$4,Temas_TIMSS!$L$5:$L$1264,$A7)</f>
        <v>0</v>
      </c>
      <c r="N7" s="23" t="n">
        <f aca="false">COUNTIFS(Temas_TIMSS!$V$5:$V$1264,N$4,Temas_TIMSS!$K$5:$K$1264,$A7)+COUNTIFS(Temas_TIMSS!$V$5:$V$1264,N$4,Temas_TIMSS!$L$5:$L$1264,$A7)</f>
        <v>0</v>
      </c>
      <c r="O7" s="23" t="n">
        <f aca="false">COUNTIFS(Temas_TIMSS!$V$5:$V$1264,O$4,Temas_TIMSS!$K$5:$K$1264,$A7)+COUNTIFS(Temas_TIMSS!$V$5:$V$1264,O$4,Temas_TIMSS!$L$5:$L$1264,$A7)</f>
        <v>0</v>
      </c>
      <c r="P7" s="23" t="n">
        <f aca="false">IF($B7="T4",SUM(F7:H7),IF($B7="T8",SUM(I7:L7),SUM(N7:O7)))</f>
        <v>24</v>
      </c>
      <c r="Q7" s="23" t="n">
        <f aca="false">COUNTIFS(Temas_TIMSS!$K$5:$K$1264,$A7)</f>
        <v>21</v>
      </c>
      <c r="R7" s="23" t="str">
        <f aca="false">IF(P7&gt;0,"Sí","No")</f>
        <v>Sí</v>
      </c>
      <c r="S7" s="23" t="str">
        <f aca="false">IF(P7=0,"No cubierto",IF(P7=1,"Débil (1 tema)",IF(P7&lt;=3,"Básica (2–3)","Sólida (4+)")))</f>
        <v>Sólida (4+)</v>
      </c>
      <c r="T7" s="23" t="str">
        <f aca="false">IFERROR(INDEX($F$4:$O$4,MATCH(TRUE(),INDEX(F7:O7&gt;0,0),0)),"—")</f>
        <v>2°</v>
      </c>
    </row>
    <row r="8" customFormat="false" ht="23.85" hidden="false" customHeight="false" outlineLevel="0" collapsed="false">
      <c r="A8" s="23" t="s">
        <v>116</v>
      </c>
      <c r="B8" s="23" t="s">
        <v>109</v>
      </c>
      <c r="C8" s="23" t="s">
        <v>85</v>
      </c>
      <c r="D8" s="23" t="s">
        <v>117</v>
      </c>
      <c r="E8" s="23" t="s">
        <v>118</v>
      </c>
      <c r="F8" s="23" t="n">
        <f aca="false">COUNTIFS(Temas_TIMSS!$V$5:$V$1264,F$4,Temas_TIMSS!$K$5:$K$1264,$A8)+COUNTIFS(Temas_TIMSS!$V$5:$V$1264,F$4,Temas_TIMSS!$L$5:$L$1264,$A8)</f>
        <v>1</v>
      </c>
      <c r="G8" s="23" t="n">
        <f aca="false">COUNTIFS(Temas_TIMSS!$V$5:$V$1264,G$4,Temas_TIMSS!$K$5:$K$1264,$A8)+COUNTIFS(Temas_TIMSS!$V$5:$V$1264,G$4,Temas_TIMSS!$L$5:$L$1264,$A8)</f>
        <v>1</v>
      </c>
      <c r="H8" s="23" t="n">
        <f aca="false">COUNTIFS(Temas_TIMSS!$V$5:$V$1264,H$4,Temas_TIMSS!$K$5:$K$1264,$A8)+COUNTIFS(Temas_TIMSS!$V$5:$V$1264,H$4,Temas_TIMSS!$L$5:$L$1264,$A8)</f>
        <v>0</v>
      </c>
      <c r="I8" s="23" t="n">
        <f aca="false">COUNTIFS(Temas_TIMSS!$V$5:$V$1264,I$4,Temas_TIMSS!$K$5:$K$1264,$A8)+COUNTIFS(Temas_TIMSS!$V$5:$V$1264,I$4,Temas_TIMSS!$L$5:$L$1264,$A8)</f>
        <v>0</v>
      </c>
      <c r="J8" s="23" t="n">
        <f aca="false">COUNTIFS(Temas_TIMSS!$V$5:$V$1264,J$4,Temas_TIMSS!$K$5:$K$1264,$A8)+COUNTIFS(Temas_TIMSS!$V$5:$V$1264,J$4,Temas_TIMSS!$L$5:$L$1264,$A8)</f>
        <v>0</v>
      </c>
      <c r="K8" s="23" t="n">
        <f aca="false">COUNTIFS(Temas_TIMSS!$V$5:$V$1264,K$4,Temas_TIMSS!$K$5:$K$1264,$A8)+COUNTIFS(Temas_TIMSS!$V$5:$V$1264,K$4,Temas_TIMSS!$L$5:$L$1264,$A8)</f>
        <v>0</v>
      </c>
      <c r="L8" s="23" t="n">
        <f aca="false">COUNTIFS(Temas_TIMSS!$V$5:$V$1264,L$4,Temas_TIMSS!$K$5:$K$1264,$A8)+COUNTIFS(Temas_TIMSS!$V$5:$V$1264,L$4,Temas_TIMSS!$L$5:$L$1264,$A8)</f>
        <v>0</v>
      </c>
      <c r="M8" s="23" t="n">
        <f aca="false">COUNTIFS(Temas_TIMSS!$V$5:$V$1264,M$4,Temas_TIMSS!$K$5:$K$1264,$A8)+COUNTIFS(Temas_TIMSS!$V$5:$V$1264,M$4,Temas_TIMSS!$L$5:$L$1264,$A8)</f>
        <v>0</v>
      </c>
      <c r="N8" s="23" t="n">
        <f aca="false">COUNTIFS(Temas_TIMSS!$V$5:$V$1264,N$4,Temas_TIMSS!$K$5:$K$1264,$A8)+COUNTIFS(Temas_TIMSS!$V$5:$V$1264,N$4,Temas_TIMSS!$L$5:$L$1264,$A8)</f>
        <v>0</v>
      </c>
      <c r="O8" s="23" t="n">
        <f aca="false">COUNTIFS(Temas_TIMSS!$V$5:$V$1264,O$4,Temas_TIMSS!$K$5:$K$1264,$A8)+COUNTIFS(Temas_TIMSS!$V$5:$V$1264,O$4,Temas_TIMSS!$L$5:$L$1264,$A8)</f>
        <v>0</v>
      </c>
      <c r="P8" s="23" t="n">
        <f aca="false">IF($B8="T4",SUM(F8:H8),IF($B8="T8",SUM(I8:L8),SUM(N8:O8)))</f>
        <v>2</v>
      </c>
      <c r="Q8" s="23" t="n">
        <f aca="false">COUNTIFS(Temas_TIMSS!$K$5:$K$1264,$A8)</f>
        <v>2</v>
      </c>
      <c r="R8" s="23" t="str">
        <f aca="false">IF(P8&gt;0,"Sí","No")</f>
        <v>Sí</v>
      </c>
      <c r="S8" s="23" t="str">
        <f aca="false">IF(P8=0,"No cubierto",IF(P8=1,"Débil (1 tema)",IF(P8&lt;=3,"Básica (2–3)","Sólida (4+)")))</f>
        <v>Básica (2–3)</v>
      </c>
      <c r="T8" s="23" t="str">
        <f aca="false">IFERROR(INDEX($F$4:$O$4,MATCH(TRUE(),INDEX(F8:O8&gt;0,0),0)),"—")</f>
        <v>2°</v>
      </c>
    </row>
    <row r="9" customFormat="false" ht="23.85" hidden="false" customHeight="false" outlineLevel="0" collapsed="false">
      <c r="A9" s="23" t="s">
        <v>119</v>
      </c>
      <c r="B9" s="23" t="s">
        <v>109</v>
      </c>
      <c r="C9" s="23" t="s">
        <v>85</v>
      </c>
      <c r="D9" s="23" t="s">
        <v>117</v>
      </c>
      <c r="E9" s="23" t="s">
        <v>120</v>
      </c>
      <c r="F9" s="23" t="n">
        <f aca="false">COUNTIFS(Temas_TIMSS!$V$5:$V$1264,F$4,Temas_TIMSS!$K$5:$K$1264,$A9)+COUNTIFS(Temas_TIMSS!$V$5:$V$1264,F$4,Temas_TIMSS!$L$5:$L$1264,$A9)</f>
        <v>0</v>
      </c>
      <c r="G9" s="23" t="n">
        <f aca="false">COUNTIFS(Temas_TIMSS!$V$5:$V$1264,G$4,Temas_TIMSS!$K$5:$K$1264,$A9)+COUNTIFS(Temas_TIMSS!$V$5:$V$1264,G$4,Temas_TIMSS!$L$5:$L$1264,$A9)</f>
        <v>0</v>
      </c>
      <c r="H9" s="23" t="n">
        <f aca="false">COUNTIFS(Temas_TIMSS!$V$5:$V$1264,H$4,Temas_TIMSS!$K$5:$K$1264,$A9)+COUNTIFS(Temas_TIMSS!$V$5:$V$1264,H$4,Temas_TIMSS!$L$5:$L$1264,$A9)</f>
        <v>0</v>
      </c>
      <c r="I9" s="23" t="n">
        <f aca="false">COUNTIFS(Temas_TIMSS!$V$5:$V$1264,I$4,Temas_TIMSS!$K$5:$K$1264,$A9)+COUNTIFS(Temas_TIMSS!$V$5:$V$1264,I$4,Temas_TIMSS!$L$5:$L$1264,$A9)</f>
        <v>0</v>
      </c>
      <c r="J9" s="23" t="n">
        <f aca="false">COUNTIFS(Temas_TIMSS!$V$5:$V$1264,J$4,Temas_TIMSS!$K$5:$K$1264,$A9)+COUNTIFS(Temas_TIMSS!$V$5:$V$1264,J$4,Temas_TIMSS!$L$5:$L$1264,$A9)</f>
        <v>0</v>
      </c>
      <c r="K9" s="23" t="n">
        <f aca="false">COUNTIFS(Temas_TIMSS!$V$5:$V$1264,K$4,Temas_TIMSS!$K$5:$K$1264,$A9)+COUNTIFS(Temas_TIMSS!$V$5:$V$1264,K$4,Temas_TIMSS!$L$5:$L$1264,$A9)</f>
        <v>0</v>
      </c>
      <c r="L9" s="23" t="n">
        <f aca="false">COUNTIFS(Temas_TIMSS!$V$5:$V$1264,L$4,Temas_TIMSS!$K$5:$K$1264,$A9)+COUNTIFS(Temas_TIMSS!$V$5:$V$1264,L$4,Temas_TIMSS!$L$5:$L$1264,$A9)</f>
        <v>0</v>
      </c>
      <c r="M9" s="23" t="n">
        <f aca="false">COUNTIFS(Temas_TIMSS!$V$5:$V$1264,M$4,Temas_TIMSS!$K$5:$K$1264,$A9)+COUNTIFS(Temas_TIMSS!$V$5:$V$1264,M$4,Temas_TIMSS!$L$5:$L$1264,$A9)</f>
        <v>0</v>
      </c>
      <c r="N9" s="23" t="n">
        <f aca="false">COUNTIFS(Temas_TIMSS!$V$5:$V$1264,N$4,Temas_TIMSS!$K$5:$K$1264,$A9)+COUNTIFS(Temas_TIMSS!$V$5:$V$1264,N$4,Temas_TIMSS!$L$5:$L$1264,$A9)</f>
        <v>0</v>
      </c>
      <c r="O9" s="23" t="n">
        <f aca="false">COUNTIFS(Temas_TIMSS!$V$5:$V$1264,O$4,Temas_TIMSS!$K$5:$K$1264,$A9)+COUNTIFS(Temas_TIMSS!$V$5:$V$1264,O$4,Temas_TIMSS!$L$5:$L$1264,$A9)</f>
        <v>0</v>
      </c>
      <c r="P9" s="23" t="n">
        <f aca="false">IF($B9="T4",SUM(F9:H9),IF($B9="T8",SUM(I9:L9),SUM(N9:O9)))</f>
        <v>0</v>
      </c>
      <c r="Q9" s="23" t="n">
        <f aca="false">COUNTIFS(Temas_TIMSS!$K$5:$K$1264,$A9)</f>
        <v>0</v>
      </c>
      <c r="R9" s="23" t="str">
        <f aca="false">IF(P9&gt;0,"Sí","No")</f>
        <v>No</v>
      </c>
      <c r="S9" s="23" t="str">
        <f aca="false">IF(P9=0,"No cubierto",IF(P9=1,"Débil (1 tema)",IF(P9&lt;=3,"Básica (2–3)","Sólida (4+)")))</f>
        <v>No cubierto</v>
      </c>
      <c r="T9" s="23" t="str">
        <f aca="false">IFERROR(INDEX($F$4:$O$4,MATCH(TRUE(),INDEX(F9:O9&gt;0,0),0)),"—")</f>
        <v>—</v>
      </c>
    </row>
    <row r="10" customFormat="false" ht="23.85" hidden="false" customHeight="false" outlineLevel="0" collapsed="false">
      <c r="A10" s="23" t="s">
        <v>121</v>
      </c>
      <c r="B10" s="23" t="s">
        <v>109</v>
      </c>
      <c r="C10" s="23" t="s">
        <v>85</v>
      </c>
      <c r="D10" s="23" t="s">
        <v>122</v>
      </c>
      <c r="E10" s="23" t="s">
        <v>123</v>
      </c>
      <c r="F10" s="23" t="n">
        <f aca="false">COUNTIFS(Temas_TIMSS!$V$5:$V$1264,F$4,Temas_TIMSS!$K$5:$K$1264,$A10)+COUNTIFS(Temas_TIMSS!$V$5:$V$1264,F$4,Temas_TIMSS!$L$5:$L$1264,$A10)</f>
        <v>1</v>
      </c>
      <c r="G10" s="23" t="n">
        <f aca="false">COUNTIFS(Temas_TIMSS!$V$5:$V$1264,G$4,Temas_TIMSS!$K$5:$K$1264,$A10)+COUNTIFS(Temas_TIMSS!$V$5:$V$1264,G$4,Temas_TIMSS!$L$5:$L$1264,$A10)</f>
        <v>0</v>
      </c>
      <c r="H10" s="23" t="n">
        <f aca="false">COUNTIFS(Temas_TIMSS!$V$5:$V$1264,H$4,Temas_TIMSS!$K$5:$K$1264,$A10)+COUNTIFS(Temas_TIMSS!$V$5:$V$1264,H$4,Temas_TIMSS!$L$5:$L$1264,$A10)</f>
        <v>1</v>
      </c>
      <c r="I10" s="23" t="n">
        <f aca="false">COUNTIFS(Temas_TIMSS!$V$5:$V$1264,I$4,Temas_TIMSS!$K$5:$K$1264,$A10)+COUNTIFS(Temas_TIMSS!$V$5:$V$1264,I$4,Temas_TIMSS!$L$5:$L$1264,$A10)</f>
        <v>0</v>
      </c>
      <c r="J10" s="23" t="n">
        <f aca="false">COUNTIFS(Temas_TIMSS!$V$5:$V$1264,J$4,Temas_TIMSS!$K$5:$K$1264,$A10)+COUNTIFS(Temas_TIMSS!$V$5:$V$1264,J$4,Temas_TIMSS!$L$5:$L$1264,$A10)</f>
        <v>0</v>
      </c>
      <c r="K10" s="23" t="n">
        <f aca="false">COUNTIFS(Temas_TIMSS!$V$5:$V$1264,K$4,Temas_TIMSS!$K$5:$K$1264,$A10)+COUNTIFS(Temas_TIMSS!$V$5:$V$1264,K$4,Temas_TIMSS!$L$5:$L$1264,$A10)</f>
        <v>0</v>
      </c>
      <c r="L10" s="23" t="n">
        <f aca="false">COUNTIFS(Temas_TIMSS!$V$5:$V$1264,L$4,Temas_TIMSS!$K$5:$K$1264,$A10)+COUNTIFS(Temas_TIMSS!$V$5:$V$1264,L$4,Temas_TIMSS!$L$5:$L$1264,$A10)</f>
        <v>0</v>
      </c>
      <c r="M10" s="23" t="n">
        <f aca="false">COUNTIFS(Temas_TIMSS!$V$5:$V$1264,M$4,Temas_TIMSS!$K$5:$K$1264,$A10)+COUNTIFS(Temas_TIMSS!$V$5:$V$1264,M$4,Temas_TIMSS!$L$5:$L$1264,$A10)</f>
        <v>0</v>
      </c>
      <c r="N10" s="23" t="n">
        <f aca="false">COUNTIFS(Temas_TIMSS!$V$5:$V$1264,N$4,Temas_TIMSS!$K$5:$K$1264,$A10)+COUNTIFS(Temas_TIMSS!$V$5:$V$1264,N$4,Temas_TIMSS!$L$5:$L$1264,$A10)</f>
        <v>0</v>
      </c>
      <c r="O10" s="23" t="n">
        <f aca="false">COUNTIFS(Temas_TIMSS!$V$5:$V$1264,O$4,Temas_TIMSS!$K$5:$K$1264,$A10)+COUNTIFS(Temas_TIMSS!$V$5:$V$1264,O$4,Temas_TIMSS!$L$5:$L$1264,$A10)</f>
        <v>0</v>
      </c>
      <c r="P10" s="23" t="n">
        <f aca="false">IF($B10="T4",SUM(F10:H10),IF($B10="T8",SUM(I10:L10),SUM(N10:O10)))</f>
        <v>2</v>
      </c>
      <c r="Q10" s="23" t="n">
        <f aca="false">COUNTIFS(Temas_TIMSS!$K$5:$K$1264,$A10)</f>
        <v>1</v>
      </c>
      <c r="R10" s="23" t="str">
        <f aca="false">IF(P10&gt;0,"Sí","No")</f>
        <v>Sí</v>
      </c>
      <c r="S10" s="23" t="str">
        <f aca="false">IF(P10=0,"No cubierto",IF(P10=1,"Débil (1 tema)",IF(P10&lt;=3,"Básica (2–3)","Sólida (4+)")))</f>
        <v>Básica (2–3)</v>
      </c>
      <c r="T10" s="23" t="str">
        <f aca="false">IFERROR(INDEX($F$4:$O$4,MATCH(TRUE(),INDEX(F10:O10&gt;0,0),0)),"—")</f>
        <v>2°</v>
      </c>
    </row>
    <row r="11" customFormat="false" ht="23.85" hidden="false" customHeight="false" outlineLevel="0" collapsed="false">
      <c r="A11" s="23" t="s">
        <v>124</v>
      </c>
      <c r="B11" s="23" t="s">
        <v>109</v>
      </c>
      <c r="C11" s="23" t="s">
        <v>85</v>
      </c>
      <c r="D11" s="23" t="s">
        <v>122</v>
      </c>
      <c r="E11" s="23" t="s">
        <v>125</v>
      </c>
      <c r="F11" s="23" t="n">
        <f aca="false">COUNTIFS(Temas_TIMSS!$V$5:$V$1264,F$4,Temas_TIMSS!$K$5:$K$1264,$A11)+COUNTIFS(Temas_TIMSS!$V$5:$V$1264,F$4,Temas_TIMSS!$L$5:$L$1264,$A11)</f>
        <v>1</v>
      </c>
      <c r="G11" s="23" t="n">
        <f aca="false">COUNTIFS(Temas_TIMSS!$V$5:$V$1264,G$4,Temas_TIMSS!$K$5:$K$1264,$A11)+COUNTIFS(Temas_TIMSS!$V$5:$V$1264,G$4,Temas_TIMSS!$L$5:$L$1264,$A11)</f>
        <v>5</v>
      </c>
      <c r="H11" s="23" t="n">
        <f aca="false">COUNTIFS(Temas_TIMSS!$V$5:$V$1264,H$4,Temas_TIMSS!$K$5:$K$1264,$A11)+COUNTIFS(Temas_TIMSS!$V$5:$V$1264,H$4,Temas_TIMSS!$L$5:$L$1264,$A11)</f>
        <v>0</v>
      </c>
      <c r="I11" s="23" t="n">
        <f aca="false">COUNTIFS(Temas_TIMSS!$V$5:$V$1264,I$4,Temas_TIMSS!$K$5:$K$1264,$A11)+COUNTIFS(Temas_TIMSS!$V$5:$V$1264,I$4,Temas_TIMSS!$L$5:$L$1264,$A11)</f>
        <v>0</v>
      </c>
      <c r="J11" s="23" t="n">
        <f aca="false">COUNTIFS(Temas_TIMSS!$V$5:$V$1264,J$4,Temas_TIMSS!$K$5:$K$1264,$A11)+COUNTIFS(Temas_TIMSS!$V$5:$V$1264,J$4,Temas_TIMSS!$L$5:$L$1264,$A11)</f>
        <v>0</v>
      </c>
      <c r="K11" s="23" t="n">
        <f aca="false">COUNTIFS(Temas_TIMSS!$V$5:$V$1264,K$4,Temas_TIMSS!$K$5:$K$1264,$A11)+COUNTIFS(Temas_TIMSS!$V$5:$V$1264,K$4,Temas_TIMSS!$L$5:$L$1264,$A11)</f>
        <v>0</v>
      </c>
      <c r="L11" s="23" t="n">
        <f aca="false">COUNTIFS(Temas_TIMSS!$V$5:$V$1264,L$4,Temas_TIMSS!$K$5:$K$1264,$A11)+COUNTIFS(Temas_TIMSS!$V$5:$V$1264,L$4,Temas_TIMSS!$L$5:$L$1264,$A11)</f>
        <v>0</v>
      </c>
      <c r="M11" s="23" t="n">
        <f aca="false">COUNTIFS(Temas_TIMSS!$V$5:$V$1264,M$4,Temas_TIMSS!$K$5:$K$1264,$A11)+COUNTIFS(Temas_TIMSS!$V$5:$V$1264,M$4,Temas_TIMSS!$L$5:$L$1264,$A11)</f>
        <v>0</v>
      </c>
      <c r="N11" s="23" t="n">
        <f aca="false">COUNTIFS(Temas_TIMSS!$V$5:$V$1264,N$4,Temas_TIMSS!$K$5:$K$1264,$A11)+COUNTIFS(Temas_TIMSS!$V$5:$V$1264,N$4,Temas_TIMSS!$L$5:$L$1264,$A11)</f>
        <v>0</v>
      </c>
      <c r="O11" s="23" t="n">
        <f aca="false">COUNTIFS(Temas_TIMSS!$V$5:$V$1264,O$4,Temas_TIMSS!$K$5:$K$1264,$A11)+COUNTIFS(Temas_TIMSS!$V$5:$V$1264,O$4,Temas_TIMSS!$L$5:$L$1264,$A11)</f>
        <v>0</v>
      </c>
      <c r="P11" s="23" t="n">
        <f aca="false">IF($B11="T4",SUM(F11:H11),IF($B11="T8",SUM(I11:L11),SUM(N11:O11)))</f>
        <v>6</v>
      </c>
      <c r="Q11" s="23" t="n">
        <f aca="false">COUNTIFS(Temas_TIMSS!$K$5:$K$1264,$A11)</f>
        <v>6</v>
      </c>
      <c r="R11" s="23" t="str">
        <f aca="false">IF(P11&gt;0,"Sí","No")</f>
        <v>Sí</v>
      </c>
      <c r="S11" s="23" t="str">
        <f aca="false">IF(P11=0,"No cubierto",IF(P11=1,"Débil (1 tema)",IF(P11&lt;=3,"Básica (2–3)","Sólida (4+)")))</f>
        <v>Sólida (4+)</v>
      </c>
      <c r="T11" s="23" t="str">
        <f aca="false">IFERROR(INDEX($F$4:$O$4,MATCH(TRUE(),INDEX(F11:O11&gt;0,0),0)),"—")</f>
        <v>2°</v>
      </c>
    </row>
    <row r="12" customFormat="false" ht="23.85" hidden="false" customHeight="false" outlineLevel="0" collapsed="false">
      <c r="A12" s="23" t="s">
        <v>126</v>
      </c>
      <c r="B12" s="23" t="s">
        <v>109</v>
      </c>
      <c r="C12" s="23" t="s">
        <v>85</v>
      </c>
      <c r="D12" s="23" t="s">
        <v>122</v>
      </c>
      <c r="E12" s="23" t="s">
        <v>127</v>
      </c>
      <c r="F12" s="23" t="n">
        <f aca="false">COUNTIFS(Temas_TIMSS!$V$5:$V$1264,F$4,Temas_TIMSS!$K$5:$K$1264,$A12)+COUNTIFS(Temas_TIMSS!$V$5:$V$1264,F$4,Temas_TIMSS!$L$5:$L$1264,$A12)</f>
        <v>5</v>
      </c>
      <c r="G12" s="23" t="n">
        <f aca="false">COUNTIFS(Temas_TIMSS!$V$5:$V$1264,G$4,Temas_TIMSS!$K$5:$K$1264,$A12)+COUNTIFS(Temas_TIMSS!$V$5:$V$1264,G$4,Temas_TIMSS!$L$5:$L$1264,$A12)</f>
        <v>1</v>
      </c>
      <c r="H12" s="23" t="n">
        <f aca="false">COUNTIFS(Temas_TIMSS!$V$5:$V$1264,H$4,Temas_TIMSS!$K$5:$K$1264,$A12)+COUNTIFS(Temas_TIMSS!$V$5:$V$1264,H$4,Temas_TIMSS!$L$5:$L$1264,$A12)</f>
        <v>0</v>
      </c>
      <c r="I12" s="23" t="n">
        <f aca="false">COUNTIFS(Temas_TIMSS!$V$5:$V$1264,I$4,Temas_TIMSS!$K$5:$K$1264,$A12)+COUNTIFS(Temas_TIMSS!$V$5:$V$1264,I$4,Temas_TIMSS!$L$5:$L$1264,$A12)</f>
        <v>0</v>
      </c>
      <c r="J12" s="23" t="n">
        <f aca="false">COUNTIFS(Temas_TIMSS!$V$5:$V$1264,J$4,Temas_TIMSS!$K$5:$K$1264,$A12)+COUNTIFS(Temas_TIMSS!$V$5:$V$1264,J$4,Temas_TIMSS!$L$5:$L$1264,$A12)</f>
        <v>0</v>
      </c>
      <c r="K12" s="23" t="n">
        <f aca="false">COUNTIFS(Temas_TIMSS!$V$5:$V$1264,K$4,Temas_TIMSS!$K$5:$K$1264,$A12)+COUNTIFS(Temas_TIMSS!$V$5:$V$1264,K$4,Temas_TIMSS!$L$5:$L$1264,$A12)</f>
        <v>0</v>
      </c>
      <c r="L12" s="23" t="n">
        <f aca="false">COUNTIFS(Temas_TIMSS!$V$5:$V$1264,L$4,Temas_TIMSS!$K$5:$K$1264,$A12)+COUNTIFS(Temas_TIMSS!$V$5:$V$1264,L$4,Temas_TIMSS!$L$5:$L$1264,$A12)</f>
        <v>0</v>
      </c>
      <c r="M12" s="23" t="n">
        <f aca="false">COUNTIFS(Temas_TIMSS!$V$5:$V$1264,M$4,Temas_TIMSS!$K$5:$K$1264,$A12)+COUNTIFS(Temas_TIMSS!$V$5:$V$1264,M$4,Temas_TIMSS!$L$5:$L$1264,$A12)</f>
        <v>0</v>
      </c>
      <c r="N12" s="23" t="n">
        <f aca="false">COUNTIFS(Temas_TIMSS!$V$5:$V$1264,N$4,Temas_TIMSS!$K$5:$K$1264,$A12)+COUNTIFS(Temas_TIMSS!$V$5:$V$1264,N$4,Temas_TIMSS!$L$5:$L$1264,$A12)</f>
        <v>0</v>
      </c>
      <c r="O12" s="23" t="n">
        <f aca="false">COUNTIFS(Temas_TIMSS!$V$5:$V$1264,O$4,Temas_TIMSS!$K$5:$K$1264,$A12)+COUNTIFS(Temas_TIMSS!$V$5:$V$1264,O$4,Temas_TIMSS!$L$5:$L$1264,$A12)</f>
        <v>0</v>
      </c>
      <c r="P12" s="23" t="n">
        <f aca="false">IF($B12="T4",SUM(F12:H12),IF($B12="T8",SUM(I12:L12),SUM(N12:O12)))</f>
        <v>6</v>
      </c>
      <c r="Q12" s="23" t="n">
        <f aca="false">COUNTIFS(Temas_TIMSS!$K$5:$K$1264,$A12)</f>
        <v>5</v>
      </c>
      <c r="R12" s="23" t="str">
        <f aca="false">IF(P12&gt;0,"Sí","No")</f>
        <v>Sí</v>
      </c>
      <c r="S12" s="23" t="str">
        <f aca="false">IF(P12=0,"No cubierto",IF(P12=1,"Débil (1 tema)",IF(P12&lt;=3,"Básica (2–3)","Sólida (4+)")))</f>
        <v>Sólida (4+)</v>
      </c>
      <c r="T12" s="23" t="str">
        <f aca="false">IFERROR(INDEX($F$4:$O$4,MATCH(TRUE(),INDEX(F12:O12&gt;0,0),0)),"—")</f>
        <v>2°</v>
      </c>
    </row>
    <row r="13" customFormat="false" ht="15" hidden="false" customHeight="false" outlineLevel="0" collapsed="false">
      <c r="A13" s="23" t="s">
        <v>128</v>
      </c>
      <c r="B13" s="23" t="s">
        <v>109</v>
      </c>
      <c r="C13" s="23" t="s">
        <v>85</v>
      </c>
      <c r="D13" s="23" t="s">
        <v>129</v>
      </c>
      <c r="E13" s="23" t="s">
        <v>130</v>
      </c>
      <c r="F13" s="23" t="n">
        <f aca="false">COUNTIFS(Temas_TIMSS!$V$5:$V$1264,F$4,Temas_TIMSS!$K$5:$K$1264,$A13)+COUNTIFS(Temas_TIMSS!$V$5:$V$1264,F$4,Temas_TIMSS!$L$5:$L$1264,$A13)</f>
        <v>5</v>
      </c>
      <c r="G13" s="23" t="n">
        <f aca="false">COUNTIFS(Temas_TIMSS!$V$5:$V$1264,G$4,Temas_TIMSS!$K$5:$K$1264,$A13)+COUNTIFS(Temas_TIMSS!$V$5:$V$1264,G$4,Temas_TIMSS!$L$5:$L$1264,$A13)</f>
        <v>0</v>
      </c>
      <c r="H13" s="23" t="n">
        <f aca="false">COUNTIFS(Temas_TIMSS!$V$5:$V$1264,H$4,Temas_TIMSS!$K$5:$K$1264,$A13)+COUNTIFS(Temas_TIMSS!$V$5:$V$1264,H$4,Temas_TIMSS!$L$5:$L$1264,$A13)</f>
        <v>6</v>
      </c>
      <c r="I13" s="23" t="n">
        <f aca="false">COUNTIFS(Temas_TIMSS!$V$5:$V$1264,I$4,Temas_TIMSS!$K$5:$K$1264,$A13)+COUNTIFS(Temas_TIMSS!$V$5:$V$1264,I$4,Temas_TIMSS!$L$5:$L$1264,$A13)</f>
        <v>0</v>
      </c>
      <c r="J13" s="23" t="n">
        <f aca="false">COUNTIFS(Temas_TIMSS!$V$5:$V$1264,J$4,Temas_TIMSS!$K$5:$K$1264,$A13)+COUNTIFS(Temas_TIMSS!$V$5:$V$1264,J$4,Temas_TIMSS!$L$5:$L$1264,$A13)</f>
        <v>0</v>
      </c>
      <c r="K13" s="23" t="n">
        <f aca="false">COUNTIFS(Temas_TIMSS!$V$5:$V$1264,K$4,Temas_TIMSS!$K$5:$K$1264,$A13)+COUNTIFS(Temas_TIMSS!$V$5:$V$1264,K$4,Temas_TIMSS!$L$5:$L$1264,$A13)</f>
        <v>0</v>
      </c>
      <c r="L13" s="23" t="n">
        <f aca="false">COUNTIFS(Temas_TIMSS!$V$5:$V$1264,L$4,Temas_TIMSS!$K$5:$K$1264,$A13)+COUNTIFS(Temas_TIMSS!$V$5:$V$1264,L$4,Temas_TIMSS!$L$5:$L$1264,$A13)</f>
        <v>0</v>
      </c>
      <c r="M13" s="23" t="n">
        <f aca="false">COUNTIFS(Temas_TIMSS!$V$5:$V$1264,M$4,Temas_TIMSS!$K$5:$K$1264,$A13)+COUNTIFS(Temas_TIMSS!$V$5:$V$1264,M$4,Temas_TIMSS!$L$5:$L$1264,$A13)</f>
        <v>0</v>
      </c>
      <c r="N13" s="23" t="n">
        <f aca="false">COUNTIFS(Temas_TIMSS!$V$5:$V$1264,N$4,Temas_TIMSS!$K$5:$K$1264,$A13)+COUNTIFS(Temas_TIMSS!$V$5:$V$1264,N$4,Temas_TIMSS!$L$5:$L$1264,$A13)</f>
        <v>0</v>
      </c>
      <c r="O13" s="23" t="n">
        <f aca="false">COUNTIFS(Temas_TIMSS!$V$5:$V$1264,O$4,Temas_TIMSS!$K$5:$K$1264,$A13)+COUNTIFS(Temas_TIMSS!$V$5:$V$1264,O$4,Temas_TIMSS!$L$5:$L$1264,$A13)</f>
        <v>0</v>
      </c>
      <c r="P13" s="23" t="n">
        <f aca="false">IF($B13="T4",SUM(F13:H13),IF($B13="T8",SUM(I13:L13),SUM(N13:O13)))</f>
        <v>11</v>
      </c>
      <c r="Q13" s="23" t="n">
        <f aca="false">COUNTIFS(Temas_TIMSS!$K$5:$K$1264,$A13)</f>
        <v>8</v>
      </c>
      <c r="R13" s="23" t="str">
        <f aca="false">IF(P13&gt;0,"Sí","No")</f>
        <v>Sí</v>
      </c>
      <c r="S13" s="23" t="str">
        <f aca="false">IF(P13=0,"No cubierto",IF(P13=1,"Débil (1 tema)",IF(P13&lt;=3,"Básica (2–3)","Sólida (4+)")))</f>
        <v>Sólida (4+)</v>
      </c>
      <c r="T13" s="23" t="str">
        <f aca="false">IFERROR(INDEX($F$4:$O$4,MATCH(TRUE(),INDEX(F13:O13&gt;0,0),0)),"—")</f>
        <v>2°</v>
      </c>
    </row>
    <row r="14" customFormat="false" ht="15" hidden="false" customHeight="false" outlineLevel="0" collapsed="false">
      <c r="A14" s="23" t="s">
        <v>131</v>
      </c>
      <c r="B14" s="23" t="s">
        <v>109</v>
      </c>
      <c r="C14" s="23" t="s">
        <v>85</v>
      </c>
      <c r="D14" s="23" t="s">
        <v>129</v>
      </c>
      <c r="E14" s="23" t="s">
        <v>132</v>
      </c>
      <c r="F14" s="23" t="n">
        <f aca="false">COUNTIFS(Temas_TIMSS!$V$5:$V$1264,F$4,Temas_TIMSS!$K$5:$K$1264,$A14)+COUNTIFS(Temas_TIMSS!$V$5:$V$1264,F$4,Temas_TIMSS!$L$5:$L$1264,$A14)</f>
        <v>0</v>
      </c>
      <c r="G14" s="23" t="n">
        <f aca="false">COUNTIFS(Temas_TIMSS!$V$5:$V$1264,G$4,Temas_TIMSS!$K$5:$K$1264,$A14)+COUNTIFS(Temas_TIMSS!$V$5:$V$1264,G$4,Temas_TIMSS!$L$5:$L$1264,$A14)</f>
        <v>1</v>
      </c>
      <c r="H14" s="23" t="n">
        <f aca="false">COUNTIFS(Temas_TIMSS!$V$5:$V$1264,H$4,Temas_TIMSS!$K$5:$K$1264,$A14)+COUNTIFS(Temas_TIMSS!$V$5:$V$1264,H$4,Temas_TIMSS!$L$5:$L$1264,$A14)</f>
        <v>2</v>
      </c>
      <c r="I14" s="23" t="n">
        <f aca="false">COUNTIFS(Temas_TIMSS!$V$5:$V$1264,I$4,Temas_TIMSS!$K$5:$K$1264,$A14)+COUNTIFS(Temas_TIMSS!$V$5:$V$1264,I$4,Temas_TIMSS!$L$5:$L$1264,$A14)</f>
        <v>0</v>
      </c>
      <c r="J14" s="23" t="n">
        <f aca="false">COUNTIFS(Temas_TIMSS!$V$5:$V$1264,J$4,Temas_TIMSS!$K$5:$K$1264,$A14)+COUNTIFS(Temas_TIMSS!$V$5:$V$1264,J$4,Temas_TIMSS!$L$5:$L$1264,$A14)</f>
        <v>0</v>
      </c>
      <c r="K14" s="23" t="n">
        <f aca="false">COUNTIFS(Temas_TIMSS!$V$5:$V$1264,K$4,Temas_TIMSS!$K$5:$K$1264,$A14)+COUNTIFS(Temas_TIMSS!$V$5:$V$1264,K$4,Temas_TIMSS!$L$5:$L$1264,$A14)</f>
        <v>0</v>
      </c>
      <c r="L14" s="23" t="n">
        <f aca="false">COUNTIFS(Temas_TIMSS!$V$5:$V$1264,L$4,Temas_TIMSS!$K$5:$K$1264,$A14)+COUNTIFS(Temas_TIMSS!$V$5:$V$1264,L$4,Temas_TIMSS!$L$5:$L$1264,$A14)</f>
        <v>0</v>
      </c>
      <c r="M14" s="23" t="n">
        <f aca="false">COUNTIFS(Temas_TIMSS!$V$5:$V$1264,M$4,Temas_TIMSS!$K$5:$K$1264,$A14)+COUNTIFS(Temas_TIMSS!$V$5:$V$1264,M$4,Temas_TIMSS!$L$5:$L$1264,$A14)</f>
        <v>0</v>
      </c>
      <c r="N14" s="23" t="n">
        <f aca="false">COUNTIFS(Temas_TIMSS!$V$5:$V$1264,N$4,Temas_TIMSS!$K$5:$K$1264,$A14)+COUNTIFS(Temas_TIMSS!$V$5:$V$1264,N$4,Temas_TIMSS!$L$5:$L$1264,$A14)</f>
        <v>0</v>
      </c>
      <c r="O14" s="23" t="n">
        <f aca="false">COUNTIFS(Temas_TIMSS!$V$5:$V$1264,O$4,Temas_TIMSS!$K$5:$K$1264,$A14)+COUNTIFS(Temas_TIMSS!$V$5:$V$1264,O$4,Temas_TIMSS!$L$5:$L$1264,$A14)</f>
        <v>0</v>
      </c>
      <c r="P14" s="23" t="n">
        <f aca="false">IF($B14="T4",SUM(F14:H14),IF($B14="T8",SUM(I14:L14),SUM(N14:O14)))</f>
        <v>3</v>
      </c>
      <c r="Q14" s="23" t="n">
        <f aca="false">COUNTIFS(Temas_TIMSS!$K$5:$K$1264,$A14)</f>
        <v>3</v>
      </c>
      <c r="R14" s="23" t="str">
        <f aca="false">IF(P14&gt;0,"Sí","No")</f>
        <v>Sí</v>
      </c>
      <c r="S14" s="23" t="str">
        <f aca="false">IF(P14=0,"No cubierto",IF(P14=1,"Débil (1 tema)",IF(P14&lt;=3,"Básica (2–3)","Sólida (4+)")))</f>
        <v>Básica (2–3)</v>
      </c>
      <c r="T14" s="23" t="str">
        <f aca="false">IFERROR(INDEX($F$4:$O$4,MATCH(TRUE(),INDEX(F14:O14&gt;0,0),0)),"—")</f>
        <v>3°</v>
      </c>
    </row>
    <row r="15" customFormat="false" ht="15" hidden="false" customHeight="false" outlineLevel="0" collapsed="false">
      <c r="A15" s="23" t="s">
        <v>133</v>
      </c>
      <c r="B15" s="23" t="s">
        <v>109</v>
      </c>
      <c r="C15" s="23" t="s">
        <v>85</v>
      </c>
      <c r="D15" s="23" t="s">
        <v>129</v>
      </c>
      <c r="E15" s="23" t="s">
        <v>134</v>
      </c>
      <c r="F15" s="23" t="n">
        <f aca="false">COUNTIFS(Temas_TIMSS!$V$5:$V$1264,F$4,Temas_TIMSS!$K$5:$K$1264,$A15)+COUNTIFS(Temas_TIMSS!$V$5:$V$1264,F$4,Temas_TIMSS!$L$5:$L$1264,$A15)</f>
        <v>0</v>
      </c>
      <c r="G15" s="23" t="n">
        <f aca="false">COUNTIFS(Temas_TIMSS!$V$5:$V$1264,G$4,Temas_TIMSS!$K$5:$K$1264,$A15)+COUNTIFS(Temas_TIMSS!$V$5:$V$1264,G$4,Temas_TIMSS!$L$5:$L$1264,$A15)</f>
        <v>0</v>
      </c>
      <c r="H15" s="23" t="n">
        <f aca="false">COUNTIFS(Temas_TIMSS!$V$5:$V$1264,H$4,Temas_TIMSS!$K$5:$K$1264,$A15)+COUNTIFS(Temas_TIMSS!$V$5:$V$1264,H$4,Temas_TIMSS!$L$5:$L$1264,$A15)</f>
        <v>1</v>
      </c>
      <c r="I15" s="23" t="n">
        <f aca="false">COUNTIFS(Temas_TIMSS!$V$5:$V$1264,I$4,Temas_TIMSS!$K$5:$K$1264,$A15)+COUNTIFS(Temas_TIMSS!$V$5:$V$1264,I$4,Temas_TIMSS!$L$5:$L$1264,$A15)</f>
        <v>0</v>
      </c>
      <c r="J15" s="23" t="n">
        <f aca="false">COUNTIFS(Temas_TIMSS!$V$5:$V$1264,J$4,Temas_TIMSS!$K$5:$K$1264,$A15)+COUNTIFS(Temas_TIMSS!$V$5:$V$1264,J$4,Temas_TIMSS!$L$5:$L$1264,$A15)</f>
        <v>0</v>
      </c>
      <c r="K15" s="23" t="n">
        <f aca="false">COUNTIFS(Temas_TIMSS!$V$5:$V$1264,K$4,Temas_TIMSS!$K$5:$K$1264,$A15)+COUNTIFS(Temas_TIMSS!$V$5:$V$1264,K$4,Temas_TIMSS!$L$5:$L$1264,$A15)</f>
        <v>0</v>
      </c>
      <c r="L15" s="23" t="n">
        <f aca="false">COUNTIFS(Temas_TIMSS!$V$5:$V$1264,L$4,Temas_TIMSS!$K$5:$K$1264,$A15)+COUNTIFS(Temas_TIMSS!$V$5:$V$1264,L$4,Temas_TIMSS!$L$5:$L$1264,$A15)</f>
        <v>0</v>
      </c>
      <c r="M15" s="23" t="n">
        <f aca="false">COUNTIFS(Temas_TIMSS!$V$5:$V$1264,M$4,Temas_TIMSS!$K$5:$K$1264,$A15)+COUNTIFS(Temas_TIMSS!$V$5:$V$1264,M$4,Temas_TIMSS!$L$5:$L$1264,$A15)</f>
        <v>0</v>
      </c>
      <c r="N15" s="23" t="n">
        <f aca="false">COUNTIFS(Temas_TIMSS!$V$5:$V$1264,N$4,Temas_TIMSS!$K$5:$K$1264,$A15)+COUNTIFS(Temas_TIMSS!$V$5:$V$1264,N$4,Temas_TIMSS!$L$5:$L$1264,$A15)</f>
        <v>0</v>
      </c>
      <c r="O15" s="23" t="n">
        <f aca="false">COUNTIFS(Temas_TIMSS!$V$5:$V$1264,O$4,Temas_TIMSS!$K$5:$K$1264,$A15)+COUNTIFS(Temas_TIMSS!$V$5:$V$1264,O$4,Temas_TIMSS!$L$5:$L$1264,$A15)</f>
        <v>0</v>
      </c>
      <c r="P15" s="23" t="n">
        <f aca="false">IF($B15="T4",SUM(F15:H15),IF($B15="T8",SUM(I15:L15),SUM(N15:O15)))</f>
        <v>1</v>
      </c>
      <c r="Q15" s="23" t="n">
        <f aca="false">COUNTIFS(Temas_TIMSS!$K$5:$K$1264,$A15)</f>
        <v>0</v>
      </c>
      <c r="R15" s="23" t="str">
        <f aca="false">IF(P15&gt;0,"Sí","No")</f>
        <v>Sí</v>
      </c>
      <c r="S15" s="23" t="str">
        <f aca="false">IF(P15=0,"No cubierto",IF(P15=1,"Débil (1 tema)",IF(P15&lt;=3,"Básica (2–3)","Sólida (4+)")))</f>
        <v>Débil (1 tema)</v>
      </c>
      <c r="T15" s="23" t="str">
        <f aca="false">IFERROR(INDEX($F$4:$O$4,MATCH(TRUE(),INDEX(F15:O15&gt;0,0),0)),"—")</f>
        <v>4°</v>
      </c>
    </row>
    <row r="16" customFormat="false" ht="15" hidden="false" customHeight="false" outlineLevel="0" collapsed="false">
      <c r="A16" s="23" t="s">
        <v>135</v>
      </c>
      <c r="B16" s="23" t="s">
        <v>109</v>
      </c>
      <c r="C16" s="23" t="s">
        <v>85</v>
      </c>
      <c r="D16" s="23" t="s">
        <v>136</v>
      </c>
      <c r="E16" s="23" t="s">
        <v>137</v>
      </c>
      <c r="F16" s="23" t="n">
        <f aca="false">COUNTIFS(Temas_TIMSS!$V$5:$V$1264,F$4,Temas_TIMSS!$K$5:$K$1264,$A16)+COUNTIFS(Temas_TIMSS!$V$5:$V$1264,F$4,Temas_TIMSS!$L$5:$L$1264,$A16)</f>
        <v>2</v>
      </c>
      <c r="G16" s="23" t="n">
        <f aca="false">COUNTIFS(Temas_TIMSS!$V$5:$V$1264,G$4,Temas_TIMSS!$K$5:$K$1264,$A16)+COUNTIFS(Temas_TIMSS!$V$5:$V$1264,G$4,Temas_TIMSS!$L$5:$L$1264,$A16)</f>
        <v>0</v>
      </c>
      <c r="H16" s="23" t="n">
        <f aca="false">COUNTIFS(Temas_TIMSS!$V$5:$V$1264,H$4,Temas_TIMSS!$K$5:$K$1264,$A16)+COUNTIFS(Temas_TIMSS!$V$5:$V$1264,H$4,Temas_TIMSS!$L$5:$L$1264,$A16)</f>
        <v>12</v>
      </c>
      <c r="I16" s="23" t="n">
        <f aca="false">COUNTIFS(Temas_TIMSS!$V$5:$V$1264,I$4,Temas_TIMSS!$K$5:$K$1264,$A16)+COUNTIFS(Temas_TIMSS!$V$5:$V$1264,I$4,Temas_TIMSS!$L$5:$L$1264,$A16)</f>
        <v>0</v>
      </c>
      <c r="J16" s="23" t="n">
        <f aca="false">COUNTIFS(Temas_TIMSS!$V$5:$V$1264,J$4,Temas_TIMSS!$K$5:$K$1264,$A16)+COUNTIFS(Temas_TIMSS!$V$5:$V$1264,J$4,Temas_TIMSS!$L$5:$L$1264,$A16)</f>
        <v>0</v>
      </c>
      <c r="K16" s="23" t="n">
        <f aca="false">COUNTIFS(Temas_TIMSS!$V$5:$V$1264,K$4,Temas_TIMSS!$K$5:$K$1264,$A16)+COUNTIFS(Temas_TIMSS!$V$5:$V$1264,K$4,Temas_TIMSS!$L$5:$L$1264,$A16)</f>
        <v>0</v>
      </c>
      <c r="L16" s="23" t="n">
        <f aca="false">COUNTIFS(Temas_TIMSS!$V$5:$V$1264,L$4,Temas_TIMSS!$K$5:$K$1264,$A16)+COUNTIFS(Temas_TIMSS!$V$5:$V$1264,L$4,Temas_TIMSS!$L$5:$L$1264,$A16)</f>
        <v>0</v>
      </c>
      <c r="M16" s="23" t="n">
        <f aca="false">COUNTIFS(Temas_TIMSS!$V$5:$V$1264,M$4,Temas_TIMSS!$K$5:$K$1264,$A16)+COUNTIFS(Temas_TIMSS!$V$5:$V$1264,M$4,Temas_TIMSS!$L$5:$L$1264,$A16)</f>
        <v>0</v>
      </c>
      <c r="N16" s="23" t="n">
        <f aca="false">COUNTIFS(Temas_TIMSS!$V$5:$V$1264,N$4,Temas_TIMSS!$K$5:$K$1264,$A16)+COUNTIFS(Temas_TIMSS!$V$5:$V$1264,N$4,Temas_TIMSS!$L$5:$L$1264,$A16)</f>
        <v>0</v>
      </c>
      <c r="O16" s="23" t="n">
        <f aca="false">COUNTIFS(Temas_TIMSS!$V$5:$V$1264,O$4,Temas_TIMSS!$K$5:$K$1264,$A16)+COUNTIFS(Temas_TIMSS!$V$5:$V$1264,O$4,Temas_TIMSS!$L$5:$L$1264,$A16)</f>
        <v>0</v>
      </c>
      <c r="P16" s="23" t="n">
        <f aca="false">IF($B16="T4",SUM(F16:H16),IF($B16="T8",SUM(I16:L16),SUM(N16:O16)))</f>
        <v>14</v>
      </c>
      <c r="Q16" s="23" t="n">
        <f aca="false">COUNTIFS(Temas_TIMSS!$K$5:$K$1264,$A16)</f>
        <v>12</v>
      </c>
      <c r="R16" s="23" t="str">
        <f aca="false">IF(P16&gt;0,"Sí","No")</f>
        <v>Sí</v>
      </c>
      <c r="S16" s="23" t="str">
        <f aca="false">IF(P16=0,"No cubierto",IF(P16=1,"Débil (1 tema)",IF(P16&lt;=3,"Básica (2–3)","Sólida (4+)")))</f>
        <v>Sólida (4+)</v>
      </c>
      <c r="T16" s="23" t="str">
        <f aca="false">IFERROR(INDEX($F$4:$O$4,MATCH(TRUE(),INDEX(F16:O16&gt;0,0),0)),"—")</f>
        <v>2°</v>
      </c>
    </row>
    <row r="17" customFormat="false" ht="23.85" hidden="false" customHeight="false" outlineLevel="0" collapsed="false">
      <c r="A17" s="23" t="s">
        <v>138</v>
      </c>
      <c r="B17" s="23" t="s">
        <v>109</v>
      </c>
      <c r="C17" s="23" t="s">
        <v>85</v>
      </c>
      <c r="D17" s="23" t="s">
        <v>136</v>
      </c>
      <c r="E17" s="23" t="s">
        <v>139</v>
      </c>
      <c r="F17" s="23" t="n">
        <f aca="false">COUNTIFS(Temas_TIMSS!$V$5:$V$1264,F$4,Temas_TIMSS!$K$5:$K$1264,$A17)+COUNTIFS(Temas_TIMSS!$V$5:$V$1264,F$4,Temas_TIMSS!$L$5:$L$1264,$A17)</f>
        <v>4</v>
      </c>
      <c r="G17" s="23" t="n">
        <f aca="false">COUNTIFS(Temas_TIMSS!$V$5:$V$1264,G$4,Temas_TIMSS!$K$5:$K$1264,$A17)+COUNTIFS(Temas_TIMSS!$V$5:$V$1264,G$4,Temas_TIMSS!$L$5:$L$1264,$A17)</f>
        <v>5</v>
      </c>
      <c r="H17" s="23" t="n">
        <f aca="false">COUNTIFS(Temas_TIMSS!$V$5:$V$1264,H$4,Temas_TIMSS!$K$5:$K$1264,$A17)+COUNTIFS(Temas_TIMSS!$V$5:$V$1264,H$4,Temas_TIMSS!$L$5:$L$1264,$A17)</f>
        <v>1</v>
      </c>
      <c r="I17" s="23" t="n">
        <f aca="false">COUNTIFS(Temas_TIMSS!$V$5:$V$1264,I$4,Temas_TIMSS!$K$5:$K$1264,$A17)+COUNTIFS(Temas_TIMSS!$V$5:$V$1264,I$4,Temas_TIMSS!$L$5:$L$1264,$A17)</f>
        <v>0</v>
      </c>
      <c r="J17" s="23" t="n">
        <f aca="false">COUNTIFS(Temas_TIMSS!$V$5:$V$1264,J$4,Temas_TIMSS!$K$5:$K$1264,$A17)+COUNTIFS(Temas_TIMSS!$V$5:$V$1264,J$4,Temas_TIMSS!$L$5:$L$1264,$A17)</f>
        <v>0</v>
      </c>
      <c r="K17" s="23" t="n">
        <f aca="false">COUNTIFS(Temas_TIMSS!$V$5:$V$1264,K$4,Temas_TIMSS!$K$5:$K$1264,$A17)+COUNTIFS(Temas_TIMSS!$V$5:$V$1264,K$4,Temas_TIMSS!$L$5:$L$1264,$A17)</f>
        <v>0</v>
      </c>
      <c r="L17" s="23" t="n">
        <f aca="false">COUNTIFS(Temas_TIMSS!$V$5:$V$1264,L$4,Temas_TIMSS!$K$5:$K$1264,$A17)+COUNTIFS(Temas_TIMSS!$V$5:$V$1264,L$4,Temas_TIMSS!$L$5:$L$1264,$A17)</f>
        <v>0</v>
      </c>
      <c r="M17" s="23" t="n">
        <f aca="false">COUNTIFS(Temas_TIMSS!$V$5:$V$1264,M$4,Temas_TIMSS!$K$5:$K$1264,$A17)+COUNTIFS(Temas_TIMSS!$V$5:$V$1264,M$4,Temas_TIMSS!$L$5:$L$1264,$A17)</f>
        <v>0</v>
      </c>
      <c r="N17" s="23" t="n">
        <f aca="false">COUNTIFS(Temas_TIMSS!$V$5:$V$1264,N$4,Temas_TIMSS!$K$5:$K$1264,$A17)+COUNTIFS(Temas_TIMSS!$V$5:$V$1264,N$4,Temas_TIMSS!$L$5:$L$1264,$A17)</f>
        <v>0</v>
      </c>
      <c r="O17" s="23" t="n">
        <f aca="false">COUNTIFS(Temas_TIMSS!$V$5:$V$1264,O$4,Temas_TIMSS!$K$5:$K$1264,$A17)+COUNTIFS(Temas_TIMSS!$V$5:$V$1264,O$4,Temas_TIMSS!$L$5:$L$1264,$A17)</f>
        <v>0</v>
      </c>
      <c r="P17" s="23" t="n">
        <f aca="false">IF($B17="T4",SUM(F17:H17),IF($B17="T8",SUM(I17:L17),SUM(N17:O17)))</f>
        <v>10</v>
      </c>
      <c r="Q17" s="23" t="n">
        <f aca="false">COUNTIFS(Temas_TIMSS!$K$5:$K$1264,$A17)</f>
        <v>8</v>
      </c>
      <c r="R17" s="23" t="str">
        <f aca="false">IF(P17&gt;0,"Sí","No")</f>
        <v>Sí</v>
      </c>
      <c r="S17" s="23" t="str">
        <f aca="false">IF(P17=0,"No cubierto",IF(P17=1,"Débil (1 tema)",IF(P17&lt;=3,"Básica (2–3)","Sólida (4+)")))</f>
        <v>Sólida (4+)</v>
      </c>
      <c r="T17" s="23" t="str">
        <f aca="false">IFERROR(INDEX($F$4:$O$4,MATCH(TRUE(),INDEX(F17:O17&gt;0,0),0)),"—")</f>
        <v>2°</v>
      </c>
    </row>
    <row r="18" customFormat="false" ht="23.85" hidden="false" customHeight="false" outlineLevel="0" collapsed="false">
      <c r="A18" s="23" t="s">
        <v>140</v>
      </c>
      <c r="B18" s="23" t="s">
        <v>109</v>
      </c>
      <c r="C18" s="23" t="s">
        <v>86</v>
      </c>
      <c r="D18" s="23" t="s">
        <v>141</v>
      </c>
      <c r="E18" s="23" t="s">
        <v>142</v>
      </c>
      <c r="F18" s="23" t="n">
        <f aca="false">COUNTIFS(Temas_TIMSS!$V$5:$V$1264,F$4,Temas_TIMSS!$K$5:$K$1264,$A18)+COUNTIFS(Temas_TIMSS!$V$5:$V$1264,F$4,Temas_TIMSS!$L$5:$L$1264,$A18)</f>
        <v>1</v>
      </c>
      <c r="G18" s="23" t="n">
        <f aca="false">COUNTIFS(Temas_TIMSS!$V$5:$V$1264,G$4,Temas_TIMSS!$K$5:$K$1264,$A18)+COUNTIFS(Temas_TIMSS!$V$5:$V$1264,G$4,Temas_TIMSS!$L$5:$L$1264,$A18)</f>
        <v>0</v>
      </c>
      <c r="H18" s="23" t="n">
        <f aca="false">COUNTIFS(Temas_TIMSS!$V$5:$V$1264,H$4,Temas_TIMSS!$K$5:$K$1264,$A18)+COUNTIFS(Temas_TIMSS!$V$5:$V$1264,H$4,Temas_TIMSS!$L$5:$L$1264,$A18)</f>
        <v>0</v>
      </c>
      <c r="I18" s="23" t="n">
        <f aca="false">COUNTIFS(Temas_TIMSS!$V$5:$V$1264,I$4,Temas_TIMSS!$K$5:$K$1264,$A18)+COUNTIFS(Temas_TIMSS!$V$5:$V$1264,I$4,Temas_TIMSS!$L$5:$L$1264,$A18)</f>
        <v>0</v>
      </c>
      <c r="J18" s="23" t="n">
        <f aca="false">COUNTIFS(Temas_TIMSS!$V$5:$V$1264,J$4,Temas_TIMSS!$K$5:$K$1264,$A18)+COUNTIFS(Temas_TIMSS!$V$5:$V$1264,J$4,Temas_TIMSS!$L$5:$L$1264,$A18)</f>
        <v>0</v>
      </c>
      <c r="K18" s="23" t="n">
        <f aca="false">COUNTIFS(Temas_TIMSS!$V$5:$V$1264,K$4,Temas_TIMSS!$K$5:$K$1264,$A18)+COUNTIFS(Temas_TIMSS!$V$5:$V$1264,K$4,Temas_TIMSS!$L$5:$L$1264,$A18)</f>
        <v>0</v>
      </c>
      <c r="L18" s="23" t="n">
        <f aca="false">COUNTIFS(Temas_TIMSS!$V$5:$V$1264,L$4,Temas_TIMSS!$K$5:$K$1264,$A18)+COUNTIFS(Temas_TIMSS!$V$5:$V$1264,L$4,Temas_TIMSS!$L$5:$L$1264,$A18)</f>
        <v>0</v>
      </c>
      <c r="M18" s="23" t="n">
        <f aca="false">COUNTIFS(Temas_TIMSS!$V$5:$V$1264,M$4,Temas_TIMSS!$K$5:$K$1264,$A18)+COUNTIFS(Temas_TIMSS!$V$5:$V$1264,M$4,Temas_TIMSS!$L$5:$L$1264,$A18)</f>
        <v>0</v>
      </c>
      <c r="N18" s="23" t="n">
        <f aca="false">COUNTIFS(Temas_TIMSS!$V$5:$V$1264,N$4,Temas_TIMSS!$K$5:$K$1264,$A18)+COUNTIFS(Temas_TIMSS!$V$5:$V$1264,N$4,Temas_TIMSS!$L$5:$L$1264,$A18)</f>
        <v>0</v>
      </c>
      <c r="O18" s="23" t="n">
        <f aca="false">COUNTIFS(Temas_TIMSS!$V$5:$V$1264,O$4,Temas_TIMSS!$K$5:$K$1264,$A18)+COUNTIFS(Temas_TIMSS!$V$5:$V$1264,O$4,Temas_TIMSS!$L$5:$L$1264,$A18)</f>
        <v>0</v>
      </c>
      <c r="P18" s="23" t="n">
        <f aca="false">IF($B18="T4",SUM(F18:H18),IF($B18="T8",SUM(I18:L18),SUM(N18:O18)))</f>
        <v>1</v>
      </c>
      <c r="Q18" s="23" t="n">
        <f aca="false">COUNTIFS(Temas_TIMSS!$K$5:$K$1264,$A18)</f>
        <v>0</v>
      </c>
      <c r="R18" s="23" t="str">
        <f aca="false">IF(P18&gt;0,"Sí","No")</f>
        <v>Sí</v>
      </c>
      <c r="S18" s="23" t="str">
        <f aca="false">IF(P18=0,"No cubierto",IF(P18=1,"Débil (1 tema)",IF(P18&lt;=3,"Básica (2–3)","Sólida (4+)")))</f>
        <v>Débil (1 tema)</v>
      </c>
      <c r="T18" s="23" t="str">
        <f aca="false">IFERROR(INDEX($F$4:$O$4,MATCH(TRUE(),INDEX(F18:O18&gt;0,0),0)),"—")</f>
        <v>2°</v>
      </c>
    </row>
    <row r="19" customFormat="false" ht="23.85" hidden="false" customHeight="false" outlineLevel="0" collapsed="false">
      <c r="A19" s="23" t="s">
        <v>143</v>
      </c>
      <c r="B19" s="23" t="s">
        <v>109</v>
      </c>
      <c r="C19" s="23" t="s">
        <v>86</v>
      </c>
      <c r="D19" s="23" t="s">
        <v>141</v>
      </c>
      <c r="E19" s="23" t="s">
        <v>144</v>
      </c>
      <c r="F19" s="23" t="n">
        <f aca="false">COUNTIFS(Temas_TIMSS!$V$5:$V$1264,F$4,Temas_TIMSS!$K$5:$K$1264,$A19)+COUNTIFS(Temas_TIMSS!$V$5:$V$1264,F$4,Temas_TIMSS!$L$5:$L$1264,$A19)</f>
        <v>7</v>
      </c>
      <c r="G19" s="23" t="n">
        <f aca="false">COUNTIFS(Temas_TIMSS!$V$5:$V$1264,G$4,Temas_TIMSS!$K$5:$K$1264,$A19)+COUNTIFS(Temas_TIMSS!$V$5:$V$1264,G$4,Temas_TIMSS!$L$5:$L$1264,$A19)</f>
        <v>9</v>
      </c>
      <c r="H19" s="23" t="n">
        <f aca="false">COUNTIFS(Temas_TIMSS!$V$5:$V$1264,H$4,Temas_TIMSS!$K$5:$K$1264,$A19)+COUNTIFS(Temas_TIMSS!$V$5:$V$1264,H$4,Temas_TIMSS!$L$5:$L$1264,$A19)</f>
        <v>0</v>
      </c>
      <c r="I19" s="23" t="n">
        <f aca="false">COUNTIFS(Temas_TIMSS!$V$5:$V$1264,I$4,Temas_TIMSS!$K$5:$K$1264,$A19)+COUNTIFS(Temas_TIMSS!$V$5:$V$1264,I$4,Temas_TIMSS!$L$5:$L$1264,$A19)</f>
        <v>0</v>
      </c>
      <c r="J19" s="23" t="n">
        <f aca="false">COUNTIFS(Temas_TIMSS!$V$5:$V$1264,J$4,Temas_TIMSS!$K$5:$K$1264,$A19)+COUNTIFS(Temas_TIMSS!$V$5:$V$1264,J$4,Temas_TIMSS!$L$5:$L$1264,$A19)</f>
        <v>0</v>
      </c>
      <c r="K19" s="23" t="n">
        <f aca="false">COUNTIFS(Temas_TIMSS!$V$5:$V$1264,K$4,Temas_TIMSS!$K$5:$K$1264,$A19)+COUNTIFS(Temas_TIMSS!$V$5:$V$1264,K$4,Temas_TIMSS!$L$5:$L$1264,$A19)</f>
        <v>0</v>
      </c>
      <c r="L19" s="23" t="n">
        <f aca="false">COUNTIFS(Temas_TIMSS!$V$5:$V$1264,L$4,Temas_TIMSS!$K$5:$K$1264,$A19)+COUNTIFS(Temas_TIMSS!$V$5:$V$1264,L$4,Temas_TIMSS!$L$5:$L$1264,$A19)</f>
        <v>0</v>
      </c>
      <c r="M19" s="23" t="n">
        <f aca="false">COUNTIFS(Temas_TIMSS!$V$5:$V$1264,M$4,Temas_TIMSS!$K$5:$K$1264,$A19)+COUNTIFS(Temas_TIMSS!$V$5:$V$1264,M$4,Temas_TIMSS!$L$5:$L$1264,$A19)</f>
        <v>0</v>
      </c>
      <c r="N19" s="23" t="n">
        <f aca="false">COUNTIFS(Temas_TIMSS!$V$5:$V$1264,N$4,Temas_TIMSS!$K$5:$K$1264,$A19)+COUNTIFS(Temas_TIMSS!$V$5:$V$1264,N$4,Temas_TIMSS!$L$5:$L$1264,$A19)</f>
        <v>0</v>
      </c>
      <c r="O19" s="23" t="n">
        <f aca="false">COUNTIFS(Temas_TIMSS!$V$5:$V$1264,O$4,Temas_TIMSS!$K$5:$K$1264,$A19)+COUNTIFS(Temas_TIMSS!$V$5:$V$1264,O$4,Temas_TIMSS!$L$5:$L$1264,$A19)</f>
        <v>0</v>
      </c>
      <c r="P19" s="23" t="n">
        <f aca="false">IF($B19="T4",SUM(F19:H19),IF($B19="T8",SUM(I19:L19),SUM(N19:O19)))</f>
        <v>16</v>
      </c>
      <c r="Q19" s="23" t="n">
        <f aca="false">COUNTIFS(Temas_TIMSS!$K$5:$K$1264,$A19)</f>
        <v>14</v>
      </c>
      <c r="R19" s="23" t="str">
        <f aca="false">IF(P19&gt;0,"Sí","No")</f>
        <v>Sí</v>
      </c>
      <c r="S19" s="23" t="str">
        <f aca="false">IF(P19=0,"No cubierto",IF(P19=1,"Débil (1 tema)",IF(P19&lt;=3,"Básica (2–3)","Sólida (4+)")))</f>
        <v>Sólida (4+)</v>
      </c>
      <c r="T19" s="23" t="str">
        <f aca="false">IFERROR(INDEX($F$4:$O$4,MATCH(TRUE(),INDEX(F19:O19&gt;0,0),0)),"—")</f>
        <v>2°</v>
      </c>
    </row>
    <row r="20" customFormat="false" ht="23.85" hidden="false" customHeight="false" outlineLevel="0" collapsed="false">
      <c r="A20" s="23" t="s">
        <v>145</v>
      </c>
      <c r="B20" s="23" t="s">
        <v>109</v>
      </c>
      <c r="C20" s="23" t="s">
        <v>86</v>
      </c>
      <c r="D20" s="23" t="s">
        <v>141</v>
      </c>
      <c r="E20" s="23" t="s">
        <v>146</v>
      </c>
      <c r="F20" s="23" t="n">
        <f aca="false">COUNTIFS(Temas_TIMSS!$V$5:$V$1264,F$4,Temas_TIMSS!$K$5:$K$1264,$A20)+COUNTIFS(Temas_TIMSS!$V$5:$V$1264,F$4,Temas_TIMSS!$L$5:$L$1264,$A20)</f>
        <v>0</v>
      </c>
      <c r="G20" s="23" t="n">
        <f aca="false">COUNTIFS(Temas_TIMSS!$V$5:$V$1264,G$4,Temas_TIMSS!$K$5:$K$1264,$A20)+COUNTIFS(Temas_TIMSS!$V$5:$V$1264,G$4,Temas_TIMSS!$L$5:$L$1264,$A20)</f>
        <v>2</v>
      </c>
      <c r="H20" s="23" t="n">
        <f aca="false">COUNTIFS(Temas_TIMSS!$V$5:$V$1264,H$4,Temas_TIMSS!$K$5:$K$1264,$A20)+COUNTIFS(Temas_TIMSS!$V$5:$V$1264,H$4,Temas_TIMSS!$L$5:$L$1264,$A20)</f>
        <v>0</v>
      </c>
      <c r="I20" s="23" t="n">
        <f aca="false">COUNTIFS(Temas_TIMSS!$V$5:$V$1264,I$4,Temas_TIMSS!$K$5:$K$1264,$A20)+COUNTIFS(Temas_TIMSS!$V$5:$V$1264,I$4,Temas_TIMSS!$L$5:$L$1264,$A20)</f>
        <v>0</v>
      </c>
      <c r="J20" s="23" t="n">
        <f aca="false">COUNTIFS(Temas_TIMSS!$V$5:$V$1264,J$4,Temas_TIMSS!$K$5:$K$1264,$A20)+COUNTIFS(Temas_TIMSS!$V$5:$V$1264,J$4,Temas_TIMSS!$L$5:$L$1264,$A20)</f>
        <v>0</v>
      </c>
      <c r="K20" s="23" t="n">
        <f aca="false">COUNTIFS(Temas_TIMSS!$V$5:$V$1264,K$4,Temas_TIMSS!$K$5:$K$1264,$A20)+COUNTIFS(Temas_TIMSS!$V$5:$V$1264,K$4,Temas_TIMSS!$L$5:$L$1264,$A20)</f>
        <v>0</v>
      </c>
      <c r="L20" s="23" t="n">
        <f aca="false">COUNTIFS(Temas_TIMSS!$V$5:$V$1264,L$4,Temas_TIMSS!$K$5:$K$1264,$A20)+COUNTIFS(Temas_TIMSS!$V$5:$V$1264,L$4,Temas_TIMSS!$L$5:$L$1264,$A20)</f>
        <v>0</v>
      </c>
      <c r="M20" s="23" t="n">
        <f aca="false">COUNTIFS(Temas_TIMSS!$V$5:$V$1264,M$4,Temas_TIMSS!$K$5:$K$1264,$A20)+COUNTIFS(Temas_TIMSS!$V$5:$V$1264,M$4,Temas_TIMSS!$L$5:$L$1264,$A20)</f>
        <v>0</v>
      </c>
      <c r="N20" s="23" t="n">
        <f aca="false">COUNTIFS(Temas_TIMSS!$V$5:$V$1264,N$4,Temas_TIMSS!$K$5:$K$1264,$A20)+COUNTIFS(Temas_TIMSS!$V$5:$V$1264,N$4,Temas_TIMSS!$L$5:$L$1264,$A20)</f>
        <v>0</v>
      </c>
      <c r="O20" s="23" t="n">
        <f aca="false">COUNTIFS(Temas_TIMSS!$V$5:$V$1264,O$4,Temas_TIMSS!$K$5:$K$1264,$A20)+COUNTIFS(Temas_TIMSS!$V$5:$V$1264,O$4,Temas_TIMSS!$L$5:$L$1264,$A20)</f>
        <v>0</v>
      </c>
      <c r="P20" s="23" t="n">
        <f aca="false">IF($B20="T4",SUM(F20:H20),IF($B20="T8",SUM(I20:L20),SUM(N20:O20)))</f>
        <v>2</v>
      </c>
      <c r="Q20" s="23" t="n">
        <f aca="false">COUNTIFS(Temas_TIMSS!$K$5:$K$1264,$A20)</f>
        <v>1</v>
      </c>
      <c r="R20" s="23" t="str">
        <f aca="false">IF(P20&gt;0,"Sí","No")</f>
        <v>Sí</v>
      </c>
      <c r="S20" s="23" t="str">
        <f aca="false">IF(P20=0,"No cubierto",IF(P20=1,"Débil (1 tema)",IF(P20&lt;=3,"Básica (2–3)","Sólida (4+)")))</f>
        <v>Básica (2–3)</v>
      </c>
      <c r="T20" s="23" t="str">
        <f aca="false">IFERROR(INDEX($F$4:$O$4,MATCH(TRUE(),INDEX(F20:O20&gt;0,0),0)),"—")</f>
        <v>3°</v>
      </c>
    </row>
    <row r="21" customFormat="false" ht="23.85" hidden="false" customHeight="false" outlineLevel="0" collapsed="false">
      <c r="A21" s="23" t="s">
        <v>147</v>
      </c>
      <c r="B21" s="23" t="s">
        <v>109</v>
      </c>
      <c r="C21" s="23" t="s">
        <v>86</v>
      </c>
      <c r="D21" s="23" t="s">
        <v>141</v>
      </c>
      <c r="E21" s="23" t="s">
        <v>148</v>
      </c>
      <c r="F21" s="23" t="n">
        <f aca="false">COUNTIFS(Temas_TIMSS!$V$5:$V$1264,F$4,Temas_TIMSS!$K$5:$K$1264,$A21)+COUNTIFS(Temas_TIMSS!$V$5:$V$1264,F$4,Temas_TIMSS!$L$5:$L$1264,$A21)</f>
        <v>1</v>
      </c>
      <c r="G21" s="23" t="n">
        <f aca="false">COUNTIFS(Temas_TIMSS!$V$5:$V$1264,G$4,Temas_TIMSS!$K$5:$K$1264,$A21)+COUNTIFS(Temas_TIMSS!$V$5:$V$1264,G$4,Temas_TIMSS!$L$5:$L$1264,$A21)</f>
        <v>2</v>
      </c>
      <c r="H21" s="23" t="n">
        <f aca="false">COUNTIFS(Temas_TIMSS!$V$5:$V$1264,H$4,Temas_TIMSS!$K$5:$K$1264,$A21)+COUNTIFS(Temas_TIMSS!$V$5:$V$1264,H$4,Temas_TIMSS!$L$5:$L$1264,$A21)</f>
        <v>0</v>
      </c>
      <c r="I21" s="23" t="n">
        <f aca="false">COUNTIFS(Temas_TIMSS!$V$5:$V$1264,I$4,Temas_TIMSS!$K$5:$K$1264,$A21)+COUNTIFS(Temas_TIMSS!$V$5:$V$1264,I$4,Temas_TIMSS!$L$5:$L$1264,$A21)</f>
        <v>0</v>
      </c>
      <c r="J21" s="23" t="n">
        <f aca="false">COUNTIFS(Temas_TIMSS!$V$5:$V$1264,J$4,Temas_TIMSS!$K$5:$K$1264,$A21)+COUNTIFS(Temas_TIMSS!$V$5:$V$1264,J$4,Temas_TIMSS!$L$5:$L$1264,$A21)</f>
        <v>0</v>
      </c>
      <c r="K21" s="23" t="n">
        <f aca="false">COUNTIFS(Temas_TIMSS!$V$5:$V$1264,K$4,Temas_TIMSS!$K$5:$K$1264,$A21)+COUNTIFS(Temas_TIMSS!$V$5:$V$1264,K$4,Temas_TIMSS!$L$5:$L$1264,$A21)</f>
        <v>0</v>
      </c>
      <c r="L21" s="23" t="n">
        <f aca="false">COUNTIFS(Temas_TIMSS!$V$5:$V$1264,L$4,Temas_TIMSS!$K$5:$K$1264,$A21)+COUNTIFS(Temas_TIMSS!$V$5:$V$1264,L$4,Temas_TIMSS!$L$5:$L$1264,$A21)</f>
        <v>0</v>
      </c>
      <c r="M21" s="23" t="n">
        <f aca="false">COUNTIFS(Temas_TIMSS!$V$5:$V$1264,M$4,Temas_TIMSS!$K$5:$K$1264,$A21)+COUNTIFS(Temas_TIMSS!$V$5:$V$1264,M$4,Temas_TIMSS!$L$5:$L$1264,$A21)</f>
        <v>0</v>
      </c>
      <c r="N21" s="23" t="n">
        <f aca="false">COUNTIFS(Temas_TIMSS!$V$5:$V$1264,N$4,Temas_TIMSS!$K$5:$K$1264,$A21)+COUNTIFS(Temas_TIMSS!$V$5:$V$1264,N$4,Temas_TIMSS!$L$5:$L$1264,$A21)</f>
        <v>0</v>
      </c>
      <c r="O21" s="23" t="n">
        <f aca="false">COUNTIFS(Temas_TIMSS!$V$5:$V$1264,O$4,Temas_TIMSS!$K$5:$K$1264,$A21)+COUNTIFS(Temas_TIMSS!$V$5:$V$1264,O$4,Temas_TIMSS!$L$5:$L$1264,$A21)</f>
        <v>0</v>
      </c>
      <c r="P21" s="23" t="n">
        <f aca="false">IF($B21="T4",SUM(F21:H21),IF($B21="T8",SUM(I21:L21),SUM(N21:O21)))</f>
        <v>3</v>
      </c>
      <c r="Q21" s="23" t="n">
        <f aca="false">COUNTIFS(Temas_TIMSS!$K$5:$K$1264,$A21)</f>
        <v>1</v>
      </c>
      <c r="R21" s="23" t="str">
        <f aca="false">IF(P21&gt;0,"Sí","No")</f>
        <v>Sí</v>
      </c>
      <c r="S21" s="23" t="str">
        <f aca="false">IF(P21=0,"No cubierto",IF(P21=1,"Débil (1 tema)",IF(P21&lt;=3,"Básica (2–3)","Sólida (4+)")))</f>
        <v>Básica (2–3)</v>
      </c>
      <c r="T21" s="23" t="str">
        <f aca="false">IFERROR(INDEX($F$4:$O$4,MATCH(TRUE(),INDEX(F21:O21&gt;0,0),0)),"—")</f>
        <v>2°</v>
      </c>
    </row>
    <row r="22" customFormat="false" ht="23.85" hidden="false" customHeight="false" outlineLevel="0" collapsed="false">
      <c r="A22" s="23" t="s">
        <v>149</v>
      </c>
      <c r="B22" s="23" t="s">
        <v>109</v>
      </c>
      <c r="C22" s="23" t="s">
        <v>86</v>
      </c>
      <c r="D22" s="23" t="s">
        <v>141</v>
      </c>
      <c r="E22" s="23" t="s">
        <v>150</v>
      </c>
      <c r="F22" s="23" t="n">
        <f aca="false">COUNTIFS(Temas_TIMSS!$V$5:$V$1264,F$4,Temas_TIMSS!$K$5:$K$1264,$A22)+COUNTIFS(Temas_TIMSS!$V$5:$V$1264,F$4,Temas_TIMSS!$L$5:$L$1264,$A22)</f>
        <v>2</v>
      </c>
      <c r="G22" s="23" t="n">
        <f aca="false">COUNTIFS(Temas_TIMSS!$V$5:$V$1264,G$4,Temas_TIMSS!$K$5:$K$1264,$A22)+COUNTIFS(Temas_TIMSS!$V$5:$V$1264,G$4,Temas_TIMSS!$L$5:$L$1264,$A22)</f>
        <v>5</v>
      </c>
      <c r="H22" s="23" t="n">
        <f aca="false">COUNTIFS(Temas_TIMSS!$V$5:$V$1264,H$4,Temas_TIMSS!$K$5:$K$1264,$A22)+COUNTIFS(Temas_TIMSS!$V$5:$V$1264,H$4,Temas_TIMSS!$L$5:$L$1264,$A22)</f>
        <v>0</v>
      </c>
      <c r="I22" s="23" t="n">
        <f aca="false">COUNTIFS(Temas_TIMSS!$V$5:$V$1264,I$4,Temas_TIMSS!$K$5:$K$1264,$A22)+COUNTIFS(Temas_TIMSS!$V$5:$V$1264,I$4,Temas_TIMSS!$L$5:$L$1264,$A22)</f>
        <v>0</v>
      </c>
      <c r="J22" s="23" t="n">
        <f aca="false">COUNTIFS(Temas_TIMSS!$V$5:$V$1264,J$4,Temas_TIMSS!$K$5:$K$1264,$A22)+COUNTIFS(Temas_TIMSS!$V$5:$V$1264,J$4,Temas_TIMSS!$L$5:$L$1264,$A22)</f>
        <v>0</v>
      </c>
      <c r="K22" s="23" t="n">
        <f aca="false">COUNTIFS(Temas_TIMSS!$V$5:$V$1264,K$4,Temas_TIMSS!$K$5:$K$1264,$A22)+COUNTIFS(Temas_TIMSS!$V$5:$V$1264,K$4,Temas_TIMSS!$L$5:$L$1264,$A22)</f>
        <v>0</v>
      </c>
      <c r="L22" s="23" t="n">
        <f aca="false">COUNTIFS(Temas_TIMSS!$V$5:$V$1264,L$4,Temas_TIMSS!$K$5:$K$1264,$A22)+COUNTIFS(Temas_TIMSS!$V$5:$V$1264,L$4,Temas_TIMSS!$L$5:$L$1264,$A22)</f>
        <v>0</v>
      </c>
      <c r="M22" s="23" t="n">
        <f aca="false">COUNTIFS(Temas_TIMSS!$V$5:$V$1264,M$4,Temas_TIMSS!$K$5:$K$1264,$A22)+COUNTIFS(Temas_TIMSS!$V$5:$V$1264,M$4,Temas_TIMSS!$L$5:$L$1264,$A22)</f>
        <v>0</v>
      </c>
      <c r="N22" s="23" t="n">
        <f aca="false">COUNTIFS(Temas_TIMSS!$V$5:$V$1264,N$4,Temas_TIMSS!$K$5:$K$1264,$A22)+COUNTIFS(Temas_TIMSS!$V$5:$V$1264,N$4,Temas_TIMSS!$L$5:$L$1264,$A22)</f>
        <v>0</v>
      </c>
      <c r="O22" s="23" t="n">
        <f aca="false">COUNTIFS(Temas_TIMSS!$V$5:$V$1264,O$4,Temas_TIMSS!$K$5:$K$1264,$A22)+COUNTIFS(Temas_TIMSS!$V$5:$V$1264,O$4,Temas_TIMSS!$L$5:$L$1264,$A22)</f>
        <v>0</v>
      </c>
      <c r="P22" s="23" t="n">
        <f aca="false">IF($B22="T4",SUM(F22:H22),IF($B22="T8",SUM(I22:L22),SUM(N22:O22)))</f>
        <v>7</v>
      </c>
      <c r="Q22" s="23" t="n">
        <f aca="false">COUNTIFS(Temas_TIMSS!$K$5:$K$1264,$A22)</f>
        <v>7</v>
      </c>
      <c r="R22" s="23" t="str">
        <f aca="false">IF(P22&gt;0,"Sí","No")</f>
        <v>Sí</v>
      </c>
      <c r="S22" s="23" t="str">
        <f aca="false">IF(P22=0,"No cubierto",IF(P22=1,"Débil (1 tema)",IF(P22&lt;=3,"Básica (2–3)","Sólida (4+)")))</f>
        <v>Sólida (4+)</v>
      </c>
      <c r="T22" s="23" t="str">
        <f aca="false">IFERROR(INDEX($F$4:$O$4,MATCH(TRUE(),INDEX(F22:O22&gt;0,0),0)),"—")</f>
        <v>2°</v>
      </c>
    </row>
    <row r="23" customFormat="false" ht="23.85" hidden="false" customHeight="false" outlineLevel="0" collapsed="false">
      <c r="A23" s="23" t="s">
        <v>151</v>
      </c>
      <c r="B23" s="23" t="s">
        <v>109</v>
      </c>
      <c r="C23" s="23" t="s">
        <v>86</v>
      </c>
      <c r="D23" s="23" t="s">
        <v>152</v>
      </c>
      <c r="E23" s="23" t="s">
        <v>153</v>
      </c>
      <c r="F23" s="23" t="n">
        <f aca="false">COUNTIFS(Temas_TIMSS!$V$5:$V$1264,F$4,Temas_TIMSS!$K$5:$K$1264,$A23)+COUNTIFS(Temas_TIMSS!$V$5:$V$1264,F$4,Temas_TIMSS!$L$5:$L$1264,$A23)</f>
        <v>6</v>
      </c>
      <c r="G23" s="23" t="n">
        <f aca="false">COUNTIFS(Temas_TIMSS!$V$5:$V$1264,G$4,Temas_TIMSS!$K$5:$K$1264,$A23)+COUNTIFS(Temas_TIMSS!$V$5:$V$1264,G$4,Temas_TIMSS!$L$5:$L$1264,$A23)</f>
        <v>0</v>
      </c>
      <c r="H23" s="23" t="n">
        <f aca="false">COUNTIFS(Temas_TIMSS!$V$5:$V$1264,H$4,Temas_TIMSS!$K$5:$K$1264,$A23)+COUNTIFS(Temas_TIMSS!$V$5:$V$1264,H$4,Temas_TIMSS!$L$5:$L$1264,$A23)</f>
        <v>2</v>
      </c>
      <c r="I23" s="23" t="n">
        <f aca="false">COUNTIFS(Temas_TIMSS!$V$5:$V$1264,I$4,Temas_TIMSS!$K$5:$K$1264,$A23)+COUNTIFS(Temas_TIMSS!$V$5:$V$1264,I$4,Temas_TIMSS!$L$5:$L$1264,$A23)</f>
        <v>0</v>
      </c>
      <c r="J23" s="23" t="n">
        <f aca="false">COUNTIFS(Temas_TIMSS!$V$5:$V$1264,J$4,Temas_TIMSS!$K$5:$K$1264,$A23)+COUNTIFS(Temas_TIMSS!$V$5:$V$1264,J$4,Temas_TIMSS!$L$5:$L$1264,$A23)</f>
        <v>0</v>
      </c>
      <c r="K23" s="23" t="n">
        <f aca="false">COUNTIFS(Temas_TIMSS!$V$5:$V$1264,K$4,Temas_TIMSS!$K$5:$K$1264,$A23)+COUNTIFS(Temas_TIMSS!$V$5:$V$1264,K$4,Temas_TIMSS!$L$5:$L$1264,$A23)</f>
        <v>0</v>
      </c>
      <c r="L23" s="23" t="n">
        <f aca="false">COUNTIFS(Temas_TIMSS!$V$5:$V$1264,L$4,Temas_TIMSS!$K$5:$K$1264,$A23)+COUNTIFS(Temas_TIMSS!$V$5:$V$1264,L$4,Temas_TIMSS!$L$5:$L$1264,$A23)</f>
        <v>0</v>
      </c>
      <c r="M23" s="23" t="n">
        <f aca="false">COUNTIFS(Temas_TIMSS!$V$5:$V$1264,M$4,Temas_TIMSS!$K$5:$K$1264,$A23)+COUNTIFS(Temas_TIMSS!$V$5:$V$1264,M$4,Temas_TIMSS!$L$5:$L$1264,$A23)</f>
        <v>0</v>
      </c>
      <c r="N23" s="23" t="n">
        <f aca="false">COUNTIFS(Temas_TIMSS!$V$5:$V$1264,N$4,Temas_TIMSS!$K$5:$K$1264,$A23)+COUNTIFS(Temas_TIMSS!$V$5:$V$1264,N$4,Temas_TIMSS!$L$5:$L$1264,$A23)</f>
        <v>0</v>
      </c>
      <c r="O23" s="23" t="n">
        <f aca="false">COUNTIFS(Temas_TIMSS!$V$5:$V$1264,O$4,Temas_TIMSS!$K$5:$K$1264,$A23)+COUNTIFS(Temas_TIMSS!$V$5:$V$1264,O$4,Temas_TIMSS!$L$5:$L$1264,$A23)</f>
        <v>0</v>
      </c>
      <c r="P23" s="23" t="n">
        <f aca="false">IF($B23="T4",SUM(F23:H23),IF($B23="T8",SUM(I23:L23),SUM(N23:O23)))</f>
        <v>8</v>
      </c>
      <c r="Q23" s="23" t="n">
        <f aca="false">COUNTIFS(Temas_TIMSS!$K$5:$K$1264,$A23)</f>
        <v>7</v>
      </c>
      <c r="R23" s="23" t="str">
        <f aca="false">IF(P23&gt;0,"Sí","No")</f>
        <v>Sí</v>
      </c>
      <c r="S23" s="23" t="str">
        <f aca="false">IF(P23=0,"No cubierto",IF(P23=1,"Débil (1 tema)",IF(P23&lt;=3,"Básica (2–3)","Sólida (4+)")))</f>
        <v>Sólida (4+)</v>
      </c>
      <c r="T23" s="23" t="str">
        <f aca="false">IFERROR(INDEX($F$4:$O$4,MATCH(TRUE(),INDEX(F23:O23&gt;0,0),0)),"—")</f>
        <v>2°</v>
      </c>
    </row>
    <row r="24" customFormat="false" ht="23.85" hidden="false" customHeight="false" outlineLevel="0" collapsed="false">
      <c r="A24" s="23" t="s">
        <v>154</v>
      </c>
      <c r="B24" s="23" t="s">
        <v>109</v>
      </c>
      <c r="C24" s="23" t="s">
        <v>86</v>
      </c>
      <c r="D24" s="23" t="s">
        <v>152</v>
      </c>
      <c r="E24" s="23" t="s">
        <v>155</v>
      </c>
      <c r="F24" s="23" t="n">
        <f aca="false">COUNTIFS(Temas_TIMSS!$V$5:$V$1264,F$4,Temas_TIMSS!$K$5:$K$1264,$A24)+COUNTIFS(Temas_TIMSS!$V$5:$V$1264,F$4,Temas_TIMSS!$L$5:$L$1264,$A24)</f>
        <v>3</v>
      </c>
      <c r="G24" s="23" t="n">
        <f aca="false">COUNTIFS(Temas_TIMSS!$V$5:$V$1264,G$4,Temas_TIMSS!$K$5:$K$1264,$A24)+COUNTIFS(Temas_TIMSS!$V$5:$V$1264,G$4,Temas_TIMSS!$L$5:$L$1264,$A24)</f>
        <v>0</v>
      </c>
      <c r="H24" s="23" t="n">
        <f aca="false">COUNTIFS(Temas_TIMSS!$V$5:$V$1264,H$4,Temas_TIMSS!$K$5:$K$1264,$A24)+COUNTIFS(Temas_TIMSS!$V$5:$V$1264,H$4,Temas_TIMSS!$L$5:$L$1264,$A24)</f>
        <v>0</v>
      </c>
      <c r="I24" s="23" t="n">
        <f aca="false">COUNTIFS(Temas_TIMSS!$V$5:$V$1264,I$4,Temas_TIMSS!$K$5:$K$1264,$A24)+COUNTIFS(Temas_TIMSS!$V$5:$V$1264,I$4,Temas_TIMSS!$L$5:$L$1264,$A24)</f>
        <v>0</v>
      </c>
      <c r="J24" s="23" t="n">
        <f aca="false">COUNTIFS(Temas_TIMSS!$V$5:$V$1264,J$4,Temas_TIMSS!$K$5:$K$1264,$A24)+COUNTIFS(Temas_TIMSS!$V$5:$V$1264,J$4,Temas_TIMSS!$L$5:$L$1264,$A24)</f>
        <v>0</v>
      </c>
      <c r="K24" s="23" t="n">
        <f aca="false">COUNTIFS(Temas_TIMSS!$V$5:$V$1264,K$4,Temas_TIMSS!$K$5:$K$1264,$A24)+COUNTIFS(Temas_TIMSS!$V$5:$V$1264,K$4,Temas_TIMSS!$L$5:$L$1264,$A24)</f>
        <v>0</v>
      </c>
      <c r="L24" s="23" t="n">
        <f aca="false">COUNTIFS(Temas_TIMSS!$V$5:$V$1264,L$4,Temas_TIMSS!$K$5:$K$1264,$A24)+COUNTIFS(Temas_TIMSS!$V$5:$V$1264,L$4,Temas_TIMSS!$L$5:$L$1264,$A24)</f>
        <v>0</v>
      </c>
      <c r="M24" s="23" t="n">
        <f aca="false">COUNTIFS(Temas_TIMSS!$V$5:$V$1264,M$4,Temas_TIMSS!$K$5:$K$1264,$A24)+COUNTIFS(Temas_TIMSS!$V$5:$V$1264,M$4,Temas_TIMSS!$L$5:$L$1264,$A24)</f>
        <v>0</v>
      </c>
      <c r="N24" s="23" t="n">
        <f aca="false">COUNTIFS(Temas_TIMSS!$V$5:$V$1264,N$4,Temas_TIMSS!$K$5:$K$1264,$A24)+COUNTIFS(Temas_TIMSS!$V$5:$V$1264,N$4,Temas_TIMSS!$L$5:$L$1264,$A24)</f>
        <v>0</v>
      </c>
      <c r="O24" s="23" t="n">
        <f aca="false">COUNTIFS(Temas_TIMSS!$V$5:$V$1264,O$4,Temas_TIMSS!$K$5:$K$1264,$A24)+COUNTIFS(Temas_TIMSS!$V$5:$V$1264,O$4,Temas_TIMSS!$L$5:$L$1264,$A24)</f>
        <v>0</v>
      </c>
      <c r="P24" s="23" t="n">
        <f aca="false">IF($B24="T4",SUM(F24:H24),IF($B24="T8",SUM(I24:L24),SUM(N24:O24)))</f>
        <v>3</v>
      </c>
      <c r="Q24" s="23" t="n">
        <f aca="false">COUNTIFS(Temas_TIMSS!$K$5:$K$1264,$A24)</f>
        <v>3</v>
      </c>
      <c r="R24" s="23" t="str">
        <f aca="false">IF(P24&gt;0,"Sí","No")</f>
        <v>Sí</v>
      </c>
      <c r="S24" s="23" t="str">
        <f aca="false">IF(P24=0,"No cubierto",IF(P24=1,"Débil (1 tema)",IF(P24&lt;=3,"Básica (2–3)","Sólida (4+)")))</f>
        <v>Básica (2–3)</v>
      </c>
      <c r="T24" s="23" t="str">
        <f aca="false">IFERROR(INDEX($F$4:$O$4,MATCH(TRUE(),INDEX(F24:O24&gt;0,0),0)),"—")</f>
        <v>2°</v>
      </c>
    </row>
    <row r="25" customFormat="false" ht="23.85" hidden="false" customHeight="false" outlineLevel="0" collapsed="false">
      <c r="A25" s="23" t="s">
        <v>156</v>
      </c>
      <c r="B25" s="23" t="s">
        <v>109</v>
      </c>
      <c r="C25" s="23" t="s">
        <v>86</v>
      </c>
      <c r="D25" s="23" t="s">
        <v>152</v>
      </c>
      <c r="E25" s="23" t="s">
        <v>157</v>
      </c>
      <c r="F25" s="23" t="n">
        <f aca="false">COUNTIFS(Temas_TIMSS!$V$5:$V$1264,F$4,Temas_TIMSS!$K$5:$K$1264,$A25)+COUNTIFS(Temas_TIMSS!$V$5:$V$1264,F$4,Temas_TIMSS!$L$5:$L$1264,$A25)</f>
        <v>1</v>
      </c>
      <c r="G25" s="23" t="n">
        <f aca="false">COUNTIFS(Temas_TIMSS!$V$5:$V$1264,G$4,Temas_TIMSS!$K$5:$K$1264,$A25)+COUNTIFS(Temas_TIMSS!$V$5:$V$1264,G$4,Temas_TIMSS!$L$5:$L$1264,$A25)</f>
        <v>0</v>
      </c>
      <c r="H25" s="23" t="n">
        <f aca="false">COUNTIFS(Temas_TIMSS!$V$5:$V$1264,H$4,Temas_TIMSS!$K$5:$K$1264,$A25)+COUNTIFS(Temas_TIMSS!$V$5:$V$1264,H$4,Temas_TIMSS!$L$5:$L$1264,$A25)</f>
        <v>0</v>
      </c>
      <c r="I25" s="23" t="n">
        <f aca="false">COUNTIFS(Temas_TIMSS!$V$5:$V$1264,I$4,Temas_TIMSS!$K$5:$K$1264,$A25)+COUNTIFS(Temas_TIMSS!$V$5:$V$1264,I$4,Temas_TIMSS!$L$5:$L$1264,$A25)</f>
        <v>0</v>
      </c>
      <c r="J25" s="23" t="n">
        <f aca="false">COUNTIFS(Temas_TIMSS!$V$5:$V$1264,J$4,Temas_TIMSS!$K$5:$K$1264,$A25)+COUNTIFS(Temas_TIMSS!$V$5:$V$1264,J$4,Temas_TIMSS!$L$5:$L$1264,$A25)</f>
        <v>0</v>
      </c>
      <c r="K25" s="23" t="n">
        <f aca="false">COUNTIFS(Temas_TIMSS!$V$5:$V$1264,K$4,Temas_TIMSS!$K$5:$K$1264,$A25)+COUNTIFS(Temas_TIMSS!$V$5:$V$1264,K$4,Temas_TIMSS!$L$5:$L$1264,$A25)</f>
        <v>0</v>
      </c>
      <c r="L25" s="23" t="n">
        <f aca="false">COUNTIFS(Temas_TIMSS!$V$5:$V$1264,L$4,Temas_TIMSS!$K$5:$K$1264,$A25)+COUNTIFS(Temas_TIMSS!$V$5:$V$1264,L$4,Temas_TIMSS!$L$5:$L$1264,$A25)</f>
        <v>0</v>
      </c>
      <c r="M25" s="23" t="n">
        <f aca="false">COUNTIFS(Temas_TIMSS!$V$5:$V$1264,M$4,Temas_TIMSS!$K$5:$K$1264,$A25)+COUNTIFS(Temas_TIMSS!$V$5:$V$1264,M$4,Temas_TIMSS!$L$5:$L$1264,$A25)</f>
        <v>0</v>
      </c>
      <c r="N25" s="23" t="n">
        <f aca="false">COUNTIFS(Temas_TIMSS!$V$5:$V$1264,N$4,Temas_TIMSS!$K$5:$K$1264,$A25)+COUNTIFS(Temas_TIMSS!$V$5:$V$1264,N$4,Temas_TIMSS!$L$5:$L$1264,$A25)</f>
        <v>0</v>
      </c>
      <c r="O25" s="23" t="n">
        <f aca="false">COUNTIFS(Temas_TIMSS!$V$5:$V$1264,O$4,Temas_TIMSS!$K$5:$K$1264,$A25)+COUNTIFS(Temas_TIMSS!$V$5:$V$1264,O$4,Temas_TIMSS!$L$5:$L$1264,$A25)</f>
        <v>0</v>
      </c>
      <c r="P25" s="23" t="n">
        <f aca="false">IF($B25="T4",SUM(F25:H25),IF($B25="T8",SUM(I25:L25),SUM(N25:O25)))</f>
        <v>1</v>
      </c>
      <c r="Q25" s="23" t="n">
        <f aca="false">COUNTIFS(Temas_TIMSS!$K$5:$K$1264,$A25)</f>
        <v>0</v>
      </c>
      <c r="R25" s="23" t="str">
        <f aca="false">IF(P25&gt;0,"Sí","No")</f>
        <v>Sí</v>
      </c>
      <c r="S25" s="23" t="str">
        <f aca="false">IF(P25=0,"No cubierto",IF(P25=1,"Débil (1 tema)",IF(P25&lt;=3,"Básica (2–3)","Sólida (4+)")))</f>
        <v>Débil (1 tema)</v>
      </c>
      <c r="T25" s="23" t="str">
        <f aca="false">IFERROR(INDEX($F$4:$O$4,MATCH(TRUE(),INDEX(F25:O25&gt;0,0),0)),"—")</f>
        <v>2°</v>
      </c>
    </row>
    <row r="26" customFormat="false" ht="23.85" hidden="false" customHeight="false" outlineLevel="0" collapsed="false">
      <c r="A26" s="23" t="s">
        <v>158</v>
      </c>
      <c r="B26" s="23" t="s">
        <v>109</v>
      </c>
      <c r="C26" s="23" t="s">
        <v>86</v>
      </c>
      <c r="D26" s="23" t="s">
        <v>152</v>
      </c>
      <c r="E26" s="23" t="s">
        <v>159</v>
      </c>
      <c r="F26" s="23" t="n">
        <f aca="false">COUNTIFS(Temas_TIMSS!$V$5:$V$1264,F$4,Temas_TIMSS!$K$5:$K$1264,$A26)+COUNTIFS(Temas_TIMSS!$V$5:$V$1264,F$4,Temas_TIMSS!$L$5:$L$1264,$A26)</f>
        <v>2</v>
      </c>
      <c r="G26" s="23" t="n">
        <f aca="false">COUNTIFS(Temas_TIMSS!$V$5:$V$1264,G$4,Temas_TIMSS!$K$5:$K$1264,$A26)+COUNTIFS(Temas_TIMSS!$V$5:$V$1264,G$4,Temas_TIMSS!$L$5:$L$1264,$A26)</f>
        <v>0</v>
      </c>
      <c r="H26" s="23" t="n">
        <f aca="false">COUNTIFS(Temas_TIMSS!$V$5:$V$1264,H$4,Temas_TIMSS!$K$5:$K$1264,$A26)+COUNTIFS(Temas_TIMSS!$V$5:$V$1264,H$4,Temas_TIMSS!$L$5:$L$1264,$A26)</f>
        <v>2</v>
      </c>
      <c r="I26" s="23" t="n">
        <f aca="false">COUNTIFS(Temas_TIMSS!$V$5:$V$1264,I$4,Temas_TIMSS!$K$5:$K$1264,$A26)+COUNTIFS(Temas_TIMSS!$V$5:$V$1264,I$4,Temas_TIMSS!$L$5:$L$1264,$A26)</f>
        <v>0</v>
      </c>
      <c r="J26" s="23" t="n">
        <f aca="false">COUNTIFS(Temas_TIMSS!$V$5:$V$1264,J$4,Temas_TIMSS!$K$5:$K$1264,$A26)+COUNTIFS(Temas_TIMSS!$V$5:$V$1264,J$4,Temas_TIMSS!$L$5:$L$1264,$A26)</f>
        <v>0</v>
      </c>
      <c r="K26" s="23" t="n">
        <f aca="false">COUNTIFS(Temas_TIMSS!$V$5:$V$1264,K$4,Temas_TIMSS!$K$5:$K$1264,$A26)+COUNTIFS(Temas_TIMSS!$V$5:$V$1264,K$4,Temas_TIMSS!$L$5:$L$1264,$A26)</f>
        <v>0</v>
      </c>
      <c r="L26" s="23" t="n">
        <f aca="false">COUNTIFS(Temas_TIMSS!$V$5:$V$1264,L$4,Temas_TIMSS!$K$5:$K$1264,$A26)+COUNTIFS(Temas_TIMSS!$V$5:$V$1264,L$4,Temas_TIMSS!$L$5:$L$1264,$A26)</f>
        <v>0</v>
      </c>
      <c r="M26" s="23" t="n">
        <f aca="false">COUNTIFS(Temas_TIMSS!$V$5:$V$1264,M$4,Temas_TIMSS!$K$5:$K$1264,$A26)+COUNTIFS(Temas_TIMSS!$V$5:$V$1264,M$4,Temas_TIMSS!$L$5:$L$1264,$A26)</f>
        <v>0</v>
      </c>
      <c r="N26" s="23" t="n">
        <f aca="false">COUNTIFS(Temas_TIMSS!$V$5:$V$1264,N$4,Temas_TIMSS!$K$5:$K$1264,$A26)+COUNTIFS(Temas_TIMSS!$V$5:$V$1264,N$4,Temas_TIMSS!$L$5:$L$1264,$A26)</f>
        <v>0</v>
      </c>
      <c r="O26" s="23" t="n">
        <f aca="false">COUNTIFS(Temas_TIMSS!$V$5:$V$1264,O$4,Temas_TIMSS!$K$5:$K$1264,$A26)+COUNTIFS(Temas_TIMSS!$V$5:$V$1264,O$4,Temas_TIMSS!$L$5:$L$1264,$A26)</f>
        <v>0</v>
      </c>
      <c r="P26" s="23" t="n">
        <f aca="false">IF($B26="T4",SUM(F26:H26),IF($B26="T8",SUM(I26:L26),SUM(N26:O26)))</f>
        <v>4</v>
      </c>
      <c r="Q26" s="23" t="n">
        <f aca="false">COUNTIFS(Temas_TIMSS!$K$5:$K$1264,$A26)</f>
        <v>3</v>
      </c>
      <c r="R26" s="23" t="str">
        <f aca="false">IF(P26&gt;0,"Sí","No")</f>
        <v>Sí</v>
      </c>
      <c r="S26" s="23" t="str">
        <f aca="false">IF(P26=0,"No cubierto",IF(P26=1,"Débil (1 tema)",IF(P26&lt;=3,"Básica (2–3)","Sólida (4+)")))</f>
        <v>Sólida (4+)</v>
      </c>
      <c r="T26" s="23" t="str">
        <f aca="false">IFERROR(INDEX($F$4:$O$4,MATCH(TRUE(),INDEX(F26:O26&gt;0,0),0)),"—")</f>
        <v>2°</v>
      </c>
    </row>
    <row r="27" customFormat="false" ht="23.85" hidden="false" customHeight="false" outlineLevel="0" collapsed="false">
      <c r="A27" s="23" t="s">
        <v>160</v>
      </c>
      <c r="B27" s="23" t="s">
        <v>109</v>
      </c>
      <c r="C27" s="23" t="s">
        <v>86</v>
      </c>
      <c r="D27" s="23" t="s">
        <v>161</v>
      </c>
      <c r="E27" s="23" t="s">
        <v>162</v>
      </c>
      <c r="F27" s="23" t="n">
        <f aca="false">COUNTIFS(Temas_TIMSS!$V$5:$V$1264,F$4,Temas_TIMSS!$K$5:$K$1264,$A27)+COUNTIFS(Temas_TIMSS!$V$5:$V$1264,F$4,Temas_TIMSS!$L$5:$L$1264,$A27)</f>
        <v>4</v>
      </c>
      <c r="G27" s="23" t="n">
        <f aca="false">COUNTIFS(Temas_TIMSS!$V$5:$V$1264,G$4,Temas_TIMSS!$K$5:$K$1264,$A27)+COUNTIFS(Temas_TIMSS!$V$5:$V$1264,G$4,Temas_TIMSS!$L$5:$L$1264,$A27)</f>
        <v>4</v>
      </c>
      <c r="H27" s="23" t="n">
        <f aca="false">COUNTIFS(Temas_TIMSS!$V$5:$V$1264,H$4,Temas_TIMSS!$K$5:$K$1264,$A27)+COUNTIFS(Temas_TIMSS!$V$5:$V$1264,H$4,Temas_TIMSS!$L$5:$L$1264,$A27)</f>
        <v>0</v>
      </c>
      <c r="I27" s="23" t="n">
        <f aca="false">COUNTIFS(Temas_TIMSS!$V$5:$V$1264,I$4,Temas_TIMSS!$K$5:$K$1264,$A27)+COUNTIFS(Temas_TIMSS!$V$5:$V$1264,I$4,Temas_TIMSS!$L$5:$L$1264,$A27)</f>
        <v>0</v>
      </c>
      <c r="J27" s="23" t="n">
        <f aca="false">COUNTIFS(Temas_TIMSS!$V$5:$V$1264,J$4,Temas_TIMSS!$K$5:$K$1264,$A27)+COUNTIFS(Temas_TIMSS!$V$5:$V$1264,J$4,Temas_TIMSS!$L$5:$L$1264,$A27)</f>
        <v>0</v>
      </c>
      <c r="K27" s="23" t="n">
        <f aca="false">COUNTIFS(Temas_TIMSS!$V$5:$V$1264,K$4,Temas_TIMSS!$K$5:$K$1264,$A27)+COUNTIFS(Temas_TIMSS!$V$5:$V$1264,K$4,Temas_TIMSS!$L$5:$L$1264,$A27)</f>
        <v>0</v>
      </c>
      <c r="L27" s="23" t="n">
        <f aca="false">COUNTIFS(Temas_TIMSS!$V$5:$V$1264,L$4,Temas_TIMSS!$K$5:$K$1264,$A27)+COUNTIFS(Temas_TIMSS!$V$5:$V$1264,L$4,Temas_TIMSS!$L$5:$L$1264,$A27)</f>
        <v>0</v>
      </c>
      <c r="M27" s="23" t="n">
        <f aca="false">COUNTIFS(Temas_TIMSS!$V$5:$V$1264,M$4,Temas_TIMSS!$K$5:$K$1264,$A27)+COUNTIFS(Temas_TIMSS!$V$5:$V$1264,M$4,Temas_TIMSS!$L$5:$L$1264,$A27)</f>
        <v>0</v>
      </c>
      <c r="N27" s="23" t="n">
        <f aca="false">COUNTIFS(Temas_TIMSS!$V$5:$V$1264,N$4,Temas_TIMSS!$K$5:$K$1264,$A27)+COUNTIFS(Temas_TIMSS!$V$5:$V$1264,N$4,Temas_TIMSS!$L$5:$L$1264,$A27)</f>
        <v>0</v>
      </c>
      <c r="O27" s="23" t="n">
        <f aca="false">COUNTIFS(Temas_TIMSS!$V$5:$V$1264,O$4,Temas_TIMSS!$K$5:$K$1264,$A27)+COUNTIFS(Temas_TIMSS!$V$5:$V$1264,O$4,Temas_TIMSS!$L$5:$L$1264,$A27)</f>
        <v>0</v>
      </c>
      <c r="P27" s="23" t="n">
        <f aca="false">IF($B27="T4",SUM(F27:H27),IF($B27="T8",SUM(I27:L27),SUM(N27:O27)))</f>
        <v>8</v>
      </c>
      <c r="Q27" s="23" t="n">
        <f aca="false">COUNTIFS(Temas_TIMSS!$K$5:$K$1264,$A27)</f>
        <v>7</v>
      </c>
      <c r="R27" s="23" t="str">
        <f aca="false">IF(P27&gt;0,"Sí","No")</f>
        <v>Sí</v>
      </c>
      <c r="S27" s="23" t="str">
        <f aca="false">IF(P27=0,"No cubierto",IF(P27=1,"Débil (1 tema)",IF(P27&lt;=3,"Básica (2–3)","Sólida (4+)")))</f>
        <v>Sólida (4+)</v>
      </c>
      <c r="T27" s="23" t="str">
        <f aca="false">IFERROR(INDEX($F$4:$O$4,MATCH(TRUE(),INDEX(F27:O27&gt;0,0),0)),"—")</f>
        <v>2°</v>
      </c>
    </row>
    <row r="28" customFormat="false" ht="15" hidden="false" customHeight="false" outlineLevel="0" collapsed="false">
      <c r="A28" s="23" t="s">
        <v>163</v>
      </c>
      <c r="B28" s="23" t="s">
        <v>109</v>
      </c>
      <c r="C28" s="23" t="s">
        <v>86</v>
      </c>
      <c r="D28" s="23" t="s">
        <v>161</v>
      </c>
      <c r="E28" s="23" t="s">
        <v>164</v>
      </c>
      <c r="F28" s="23" t="n">
        <f aca="false">COUNTIFS(Temas_TIMSS!$V$5:$V$1264,F$4,Temas_TIMSS!$K$5:$K$1264,$A28)+COUNTIFS(Temas_TIMSS!$V$5:$V$1264,F$4,Temas_TIMSS!$L$5:$L$1264,$A28)</f>
        <v>0</v>
      </c>
      <c r="G28" s="23" t="n">
        <f aca="false">COUNTIFS(Temas_TIMSS!$V$5:$V$1264,G$4,Temas_TIMSS!$K$5:$K$1264,$A28)+COUNTIFS(Temas_TIMSS!$V$5:$V$1264,G$4,Temas_TIMSS!$L$5:$L$1264,$A28)</f>
        <v>0</v>
      </c>
      <c r="H28" s="23" t="n">
        <f aca="false">COUNTIFS(Temas_TIMSS!$V$5:$V$1264,H$4,Temas_TIMSS!$K$5:$K$1264,$A28)+COUNTIFS(Temas_TIMSS!$V$5:$V$1264,H$4,Temas_TIMSS!$L$5:$L$1264,$A28)</f>
        <v>6</v>
      </c>
      <c r="I28" s="23" t="n">
        <f aca="false">COUNTIFS(Temas_TIMSS!$V$5:$V$1264,I$4,Temas_TIMSS!$K$5:$K$1264,$A28)+COUNTIFS(Temas_TIMSS!$V$5:$V$1264,I$4,Temas_TIMSS!$L$5:$L$1264,$A28)</f>
        <v>0</v>
      </c>
      <c r="J28" s="23" t="n">
        <f aca="false">COUNTIFS(Temas_TIMSS!$V$5:$V$1264,J$4,Temas_TIMSS!$K$5:$K$1264,$A28)+COUNTIFS(Temas_TIMSS!$V$5:$V$1264,J$4,Temas_TIMSS!$L$5:$L$1264,$A28)</f>
        <v>0</v>
      </c>
      <c r="K28" s="23" t="n">
        <f aca="false">COUNTIFS(Temas_TIMSS!$V$5:$V$1264,K$4,Temas_TIMSS!$K$5:$K$1264,$A28)+COUNTIFS(Temas_TIMSS!$V$5:$V$1264,K$4,Temas_TIMSS!$L$5:$L$1264,$A28)</f>
        <v>0</v>
      </c>
      <c r="L28" s="23" t="n">
        <f aca="false">COUNTIFS(Temas_TIMSS!$V$5:$V$1264,L$4,Temas_TIMSS!$K$5:$K$1264,$A28)+COUNTIFS(Temas_TIMSS!$V$5:$V$1264,L$4,Temas_TIMSS!$L$5:$L$1264,$A28)</f>
        <v>0</v>
      </c>
      <c r="M28" s="23" t="n">
        <f aca="false">COUNTIFS(Temas_TIMSS!$V$5:$V$1264,M$4,Temas_TIMSS!$K$5:$K$1264,$A28)+COUNTIFS(Temas_TIMSS!$V$5:$V$1264,M$4,Temas_TIMSS!$L$5:$L$1264,$A28)</f>
        <v>0</v>
      </c>
      <c r="N28" s="23" t="n">
        <f aca="false">COUNTIFS(Temas_TIMSS!$V$5:$V$1264,N$4,Temas_TIMSS!$K$5:$K$1264,$A28)+COUNTIFS(Temas_TIMSS!$V$5:$V$1264,N$4,Temas_TIMSS!$L$5:$L$1264,$A28)</f>
        <v>0</v>
      </c>
      <c r="O28" s="23" t="n">
        <f aca="false">COUNTIFS(Temas_TIMSS!$V$5:$V$1264,O$4,Temas_TIMSS!$K$5:$K$1264,$A28)+COUNTIFS(Temas_TIMSS!$V$5:$V$1264,O$4,Temas_TIMSS!$L$5:$L$1264,$A28)</f>
        <v>0</v>
      </c>
      <c r="P28" s="23" t="n">
        <f aca="false">IF($B28="T4",SUM(F28:H28),IF($B28="T8",SUM(I28:L28),SUM(N28:O28)))</f>
        <v>6</v>
      </c>
      <c r="Q28" s="23" t="n">
        <f aca="false">COUNTIFS(Temas_TIMSS!$K$5:$K$1264,$A28)</f>
        <v>6</v>
      </c>
      <c r="R28" s="23" t="str">
        <f aca="false">IF(P28&gt;0,"Sí","No")</f>
        <v>Sí</v>
      </c>
      <c r="S28" s="23" t="str">
        <f aca="false">IF(P28=0,"No cubierto",IF(P28=1,"Débil (1 tema)",IF(P28&lt;=3,"Básica (2–3)","Sólida (4+)")))</f>
        <v>Sólida (4+)</v>
      </c>
      <c r="T28" s="23" t="str">
        <f aca="false">IFERROR(INDEX($F$4:$O$4,MATCH(TRUE(),INDEX(F28:O28&gt;0,0),0)),"—")</f>
        <v>4°</v>
      </c>
    </row>
    <row r="29" customFormat="false" ht="23.85" hidden="false" customHeight="false" outlineLevel="0" collapsed="false">
      <c r="A29" s="23" t="s">
        <v>165</v>
      </c>
      <c r="B29" s="23" t="s">
        <v>109</v>
      </c>
      <c r="C29" s="23" t="s">
        <v>87</v>
      </c>
      <c r="D29" s="23" t="s">
        <v>166</v>
      </c>
      <c r="E29" s="23" t="s">
        <v>167</v>
      </c>
      <c r="F29" s="23" t="n">
        <f aca="false">COUNTIFS(Temas_TIMSS!$V$5:$V$1264,F$4,Temas_TIMSS!$K$5:$K$1264,$A29)+COUNTIFS(Temas_TIMSS!$V$5:$V$1264,F$4,Temas_TIMSS!$L$5:$L$1264,$A29)</f>
        <v>0</v>
      </c>
      <c r="G29" s="23" t="n">
        <f aca="false">COUNTIFS(Temas_TIMSS!$V$5:$V$1264,G$4,Temas_TIMSS!$K$5:$K$1264,$A29)+COUNTIFS(Temas_TIMSS!$V$5:$V$1264,G$4,Temas_TIMSS!$L$5:$L$1264,$A29)</f>
        <v>5</v>
      </c>
      <c r="H29" s="23" t="n">
        <f aca="false">COUNTIFS(Temas_TIMSS!$V$5:$V$1264,H$4,Temas_TIMSS!$K$5:$K$1264,$A29)+COUNTIFS(Temas_TIMSS!$V$5:$V$1264,H$4,Temas_TIMSS!$L$5:$L$1264,$A29)</f>
        <v>0</v>
      </c>
      <c r="I29" s="23" t="n">
        <f aca="false">COUNTIFS(Temas_TIMSS!$V$5:$V$1264,I$4,Temas_TIMSS!$K$5:$K$1264,$A29)+COUNTIFS(Temas_TIMSS!$V$5:$V$1264,I$4,Temas_TIMSS!$L$5:$L$1264,$A29)</f>
        <v>0</v>
      </c>
      <c r="J29" s="23" t="n">
        <f aca="false">COUNTIFS(Temas_TIMSS!$V$5:$V$1264,J$4,Temas_TIMSS!$K$5:$K$1264,$A29)+COUNTIFS(Temas_TIMSS!$V$5:$V$1264,J$4,Temas_TIMSS!$L$5:$L$1264,$A29)</f>
        <v>0</v>
      </c>
      <c r="K29" s="23" t="n">
        <f aca="false">COUNTIFS(Temas_TIMSS!$V$5:$V$1264,K$4,Temas_TIMSS!$K$5:$K$1264,$A29)+COUNTIFS(Temas_TIMSS!$V$5:$V$1264,K$4,Temas_TIMSS!$L$5:$L$1264,$A29)</f>
        <v>0</v>
      </c>
      <c r="L29" s="23" t="n">
        <f aca="false">COUNTIFS(Temas_TIMSS!$V$5:$V$1264,L$4,Temas_TIMSS!$K$5:$K$1264,$A29)+COUNTIFS(Temas_TIMSS!$V$5:$V$1264,L$4,Temas_TIMSS!$L$5:$L$1264,$A29)</f>
        <v>0</v>
      </c>
      <c r="M29" s="23" t="n">
        <f aca="false">COUNTIFS(Temas_TIMSS!$V$5:$V$1264,M$4,Temas_TIMSS!$K$5:$K$1264,$A29)+COUNTIFS(Temas_TIMSS!$V$5:$V$1264,M$4,Temas_TIMSS!$L$5:$L$1264,$A29)</f>
        <v>0</v>
      </c>
      <c r="N29" s="23" t="n">
        <f aca="false">COUNTIFS(Temas_TIMSS!$V$5:$V$1264,N$4,Temas_TIMSS!$K$5:$K$1264,$A29)+COUNTIFS(Temas_TIMSS!$V$5:$V$1264,N$4,Temas_TIMSS!$L$5:$L$1264,$A29)</f>
        <v>0</v>
      </c>
      <c r="O29" s="23" t="n">
        <f aca="false">COUNTIFS(Temas_TIMSS!$V$5:$V$1264,O$4,Temas_TIMSS!$K$5:$K$1264,$A29)+COUNTIFS(Temas_TIMSS!$V$5:$V$1264,O$4,Temas_TIMSS!$L$5:$L$1264,$A29)</f>
        <v>0</v>
      </c>
      <c r="P29" s="23" t="n">
        <f aca="false">IF($B29="T4",SUM(F29:H29),IF($B29="T8",SUM(I29:L29),SUM(N29:O29)))</f>
        <v>5</v>
      </c>
      <c r="Q29" s="23" t="n">
        <f aca="false">COUNTIFS(Temas_TIMSS!$K$5:$K$1264,$A29)</f>
        <v>5</v>
      </c>
      <c r="R29" s="23" t="str">
        <f aca="false">IF(P29&gt;0,"Sí","No")</f>
        <v>Sí</v>
      </c>
      <c r="S29" s="23" t="str">
        <f aca="false">IF(P29=0,"No cubierto",IF(P29=1,"Débil (1 tema)",IF(P29&lt;=3,"Básica (2–3)","Sólida (4+)")))</f>
        <v>Sólida (4+)</v>
      </c>
      <c r="T29" s="23" t="str">
        <f aca="false">IFERROR(INDEX($F$4:$O$4,MATCH(TRUE(),INDEX(F29:O29&gt;0,0),0)),"—")</f>
        <v>3°</v>
      </c>
    </row>
    <row r="30" customFormat="false" ht="23.85" hidden="false" customHeight="false" outlineLevel="0" collapsed="false">
      <c r="A30" s="23" t="s">
        <v>168</v>
      </c>
      <c r="B30" s="23" t="s">
        <v>109</v>
      </c>
      <c r="C30" s="23" t="s">
        <v>87</v>
      </c>
      <c r="D30" s="23" t="s">
        <v>166</v>
      </c>
      <c r="E30" s="23" t="s">
        <v>169</v>
      </c>
      <c r="F30" s="23" t="n">
        <f aca="false">COUNTIFS(Temas_TIMSS!$V$5:$V$1264,F$4,Temas_TIMSS!$K$5:$K$1264,$A30)+COUNTIFS(Temas_TIMSS!$V$5:$V$1264,F$4,Temas_TIMSS!$L$5:$L$1264,$A30)</f>
        <v>7</v>
      </c>
      <c r="G30" s="23" t="n">
        <f aca="false">COUNTIFS(Temas_TIMSS!$V$5:$V$1264,G$4,Temas_TIMSS!$K$5:$K$1264,$A30)+COUNTIFS(Temas_TIMSS!$V$5:$V$1264,G$4,Temas_TIMSS!$L$5:$L$1264,$A30)</f>
        <v>7</v>
      </c>
      <c r="H30" s="23" t="n">
        <f aca="false">COUNTIFS(Temas_TIMSS!$V$5:$V$1264,H$4,Temas_TIMSS!$K$5:$K$1264,$A30)+COUNTIFS(Temas_TIMSS!$V$5:$V$1264,H$4,Temas_TIMSS!$L$5:$L$1264,$A30)</f>
        <v>1</v>
      </c>
      <c r="I30" s="23" t="n">
        <f aca="false">COUNTIFS(Temas_TIMSS!$V$5:$V$1264,I$4,Temas_TIMSS!$K$5:$K$1264,$A30)+COUNTIFS(Temas_TIMSS!$V$5:$V$1264,I$4,Temas_TIMSS!$L$5:$L$1264,$A30)</f>
        <v>0</v>
      </c>
      <c r="J30" s="23" t="n">
        <f aca="false">COUNTIFS(Temas_TIMSS!$V$5:$V$1264,J$4,Temas_TIMSS!$K$5:$K$1264,$A30)+COUNTIFS(Temas_TIMSS!$V$5:$V$1264,J$4,Temas_TIMSS!$L$5:$L$1264,$A30)</f>
        <v>0</v>
      </c>
      <c r="K30" s="23" t="n">
        <f aca="false">COUNTIFS(Temas_TIMSS!$V$5:$V$1264,K$4,Temas_TIMSS!$K$5:$K$1264,$A30)+COUNTIFS(Temas_TIMSS!$V$5:$V$1264,K$4,Temas_TIMSS!$L$5:$L$1264,$A30)</f>
        <v>0</v>
      </c>
      <c r="L30" s="23" t="n">
        <f aca="false">COUNTIFS(Temas_TIMSS!$V$5:$V$1264,L$4,Temas_TIMSS!$K$5:$K$1264,$A30)+COUNTIFS(Temas_TIMSS!$V$5:$V$1264,L$4,Temas_TIMSS!$L$5:$L$1264,$A30)</f>
        <v>0</v>
      </c>
      <c r="M30" s="23" t="n">
        <f aca="false">COUNTIFS(Temas_TIMSS!$V$5:$V$1264,M$4,Temas_TIMSS!$K$5:$K$1264,$A30)+COUNTIFS(Temas_TIMSS!$V$5:$V$1264,M$4,Temas_TIMSS!$L$5:$L$1264,$A30)</f>
        <v>0</v>
      </c>
      <c r="N30" s="23" t="n">
        <f aca="false">COUNTIFS(Temas_TIMSS!$V$5:$V$1264,N$4,Temas_TIMSS!$K$5:$K$1264,$A30)+COUNTIFS(Temas_TIMSS!$V$5:$V$1264,N$4,Temas_TIMSS!$L$5:$L$1264,$A30)</f>
        <v>0</v>
      </c>
      <c r="O30" s="23" t="n">
        <f aca="false">COUNTIFS(Temas_TIMSS!$V$5:$V$1264,O$4,Temas_TIMSS!$K$5:$K$1264,$A30)+COUNTIFS(Temas_TIMSS!$V$5:$V$1264,O$4,Temas_TIMSS!$L$5:$L$1264,$A30)</f>
        <v>0</v>
      </c>
      <c r="P30" s="23" t="n">
        <f aca="false">IF($B30="T4",SUM(F30:H30),IF($B30="T8",SUM(I30:L30),SUM(N30:O30)))</f>
        <v>15</v>
      </c>
      <c r="Q30" s="23" t="n">
        <f aca="false">COUNTIFS(Temas_TIMSS!$K$5:$K$1264,$A30)</f>
        <v>8</v>
      </c>
      <c r="R30" s="23" t="str">
        <f aca="false">IF(P30&gt;0,"Sí","No")</f>
        <v>Sí</v>
      </c>
      <c r="S30" s="23" t="str">
        <f aca="false">IF(P30=0,"No cubierto",IF(P30=1,"Débil (1 tema)",IF(P30&lt;=3,"Básica (2–3)","Sólida (4+)")))</f>
        <v>Sólida (4+)</v>
      </c>
      <c r="T30" s="23" t="str">
        <f aca="false">IFERROR(INDEX($F$4:$O$4,MATCH(TRUE(),INDEX(F30:O30&gt;0,0),0)),"—")</f>
        <v>2°</v>
      </c>
    </row>
    <row r="31" customFormat="false" ht="23.85" hidden="false" customHeight="false" outlineLevel="0" collapsed="false">
      <c r="A31" s="23" t="s">
        <v>170</v>
      </c>
      <c r="B31" s="23" t="s">
        <v>109</v>
      </c>
      <c r="C31" s="23" t="s">
        <v>87</v>
      </c>
      <c r="D31" s="23" t="s">
        <v>166</v>
      </c>
      <c r="E31" s="23" t="s">
        <v>171</v>
      </c>
      <c r="F31" s="23" t="n">
        <f aca="false">COUNTIFS(Temas_TIMSS!$V$5:$V$1264,F$4,Temas_TIMSS!$K$5:$K$1264,$A31)+COUNTIFS(Temas_TIMSS!$V$5:$V$1264,F$4,Temas_TIMSS!$L$5:$L$1264,$A31)</f>
        <v>0</v>
      </c>
      <c r="G31" s="23" t="n">
        <f aca="false">COUNTIFS(Temas_TIMSS!$V$5:$V$1264,G$4,Temas_TIMSS!$K$5:$K$1264,$A31)+COUNTIFS(Temas_TIMSS!$V$5:$V$1264,G$4,Temas_TIMSS!$L$5:$L$1264,$A31)</f>
        <v>2</v>
      </c>
      <c r="H31" s="23" t="n">
        <f aca="false">COUNTIFS(Temas_TIMSS!$V$5:$V$1264,H$4,Temas_TIMSS!$K$5:$K$1264,$A31)+COUNTIFS(Temas_TIMSS!$V$5:$V$1264,H$4,Temas_TIMSS!$L$5:$L$1264,$A31)</f>
        <v>2</v>
      </c>
      <c r="I31" s="23" t="n">
        <f aca="false">COUNTIFS(Temas_TIMSS!$V$5:$V$1264,I$4,Temas_TIMSS!$K$5:$K$1264,$A31)+COUNTIFS(Temas_TIMSS!$V$5:$V$1264,I$4,Temas_TIMSS!$L$5:$L$1264,$A31)</f>
        <v>0</v>
      </c>
      <c r="J31" s="23" t="n">
        <f aca="false">COUNTIFS(Temas_TIMSS!$V$5:$V$1264,J$4,Temas_TIMSS!$K$5:$K$1264,$A31)+COUNTIFS(Temas_TIMSS!$V$5:$V$1264,J$4,Temas_TIMSS!$L$5:$L$1264,$A31)</f>
        <v>0</v>
      </c>
      <c r="K31" s="23" t="n">
        <f aca="false">COUNTIFS(Temas_TIMSS!$V$5:$V$1264,K$4,Temas_TIMSS!$K$5:$K$1264,$A31)+COUNTIFS(Temas_TIMSS!$V$5:$V$1264,K$4,Temas_TIMSS!$L$5:$L$1264,$A31)</f>
        <v>0</v>
      </c>
      <c r="L31" s="23" t="n">
        <f aca="false">COUNTIFS(Temas_TIMSS!$V$5:$V$1264,L$4,Temas_TIMSS!$K$5:$K$1264,$A31)+COUNTIFS(Temas_TIMSS!$V$5:$V$1264,L$4,Temas_TIMSS!$L$5:$L$1264,$A31)</f>
        <v>0</v>
      </c>
      <c r="M31" s="23" t="n">
        <f aca="false">COUNTIFS(Temas_TIMSS!$V$5:$V$1264,M$4,Temas_TIMSS!$K$5:$K$1264,$A31)+COUNTIFS(Temas_TIMSS!$V$5:$V$1264,M$4,Temas_TIMSS!$L$5:$L$1264,$A31)</f>
        <v>0</v>
      </c>
      <c r="N31" s="23" t="n">
        <f aca="false">COUNTIFS(Temas_TIMSS!$V$5:$V$1264,N$4,Temas_TIMSS!$K$5:$K$1264,$A31)+COUNTIFS(Temas_TIMSS!$V$5:$V$1264,N$4,Temas_TIMSS!$L$5:$L$1264,$A31)</f>
        <v>0</v>
      </c>
      <c r="O31" s="23" t="n">
        <f aca="false">COUNTIFS(Temas_TIMSS!$V$5:$V$1264,O$4,Temas_TIMSS!$K$5:$K$1264,$A31)+COUNTIFS(Temas_TIMSS!$V$5:$V$1264,O$4,Temas_TIMSS!$L$5:$L$1264,$A31)</f>
        <v>0</v>
      </c>
      <c r="P31" s="23" t="n">
        <f aca="false">IF($B31="T4",SUM(F31:H31),IF($B31="T8",SUM(I31:L31),SUM(N31:O31)))</f>
        <v>4</v>
      </c>
      <c r="Q31" s="23" t="n">
        <f aca="false">COUNTIFS(Temas_TIMSS!$K$5:$K$1264,$A31)</f>
        <v>4</v>
      </c>
      <c r="R31" s="23" t="str">
        <f aca="false">IF(P31&gt;0,"Sí","No")</f>
        <v>Sí</v>
      </c>
      <c r="S31" s="23" t="str">
        <f aca="false">IF(P31=0,"No cubierto",IF(P31=1,"Débil (1 tema)",IF(P31&lt;=3,"Básica (2–3)","Sólida (4+)")))</f>
        <v>Sólida (4+)</v>
      </c>
      <c r="T31" s="23" t="str">
        <f aca="false">IFERROR(INDEX($F$4:$O$4,MATCH(TRUE(),INDEX(F31:O31&gt;0,0),0)),"—")</f>
        <v>3°</v>
      </c>
    </row>
    <row r="32" customFormat="false" ht="15" hidden="false" customHeight="false" outlineLevel="0" collapsed="false">
      <c r="A32" s="23" t="s">
        <v>172</v>
      </c>
      <c r="B32" s="23" t="s">
        <v>109</v>
      </c>
      <c r="C32" s="23" t="s">
        <v>87</v>
      </c>
      <c r="D32" s="23" t="s">
        <v>173</v>
      </c>
      <c r="E32" s="23" t="s">
        <v>174</v>
      </c>
      <c r="F32" s="23" t="n">
        <f aca="false">COUNTIFS(Temas_TIMSS!$V$5:$V$1264,F$4,Temas_TIMSS!$K$5:$K$1264,$A32)+COUNTIFS(Temas_TIMSS!$V$5:$V$1264,F$4,Temas_TIMSS!$L$5:$L$1264,$A32)</f>
        <v>0</v>
      </c>
      <c r="G32" s="23" t="n">
        <f aca="false">COUNTIFS(Temas_TIMSS!$V$5:$V$1264,G$4,Temas_TIMSS!$K$5:$K$1264,$A32)+COUNTIFS(Temas_TIMSS!$V$5:$V$1264,G$4,Temas_TIMSS!$L$5:$L$1264,$A32)</f>
        <v>0</v>
      </c>
      <c r="H32" s="23" t="n">
        <f aca="false">COUNTIFS(Temas_TIMSS!$V$5:$V$1264,H$4,Temas_TIMSS!$K$5:$K$1264,$A32)+COUNTIFS(Temas_TIMSS!$V$5:$V$1264,H$4,Temas_TIMSS!$L$5:$L$1264,$A32)</f>
        <v>2</v>
      </c>
      <c r="I32" s="23" t="n">
        <f aca="false">COUNTIFS(Temas_TIMSS!$V$5:$V$1264,I$4,Temas_TIMSS!$K$5:$K$1264,$A32)+COUNTIFS(Temas_TIMSS!$V$5:$V$1264,I$4,Temas_TIMSS!$L$5:$L$1264,$A32)</f>
        <v>0</v>
      </c>
      <c r="J32" s="23" t="n">
        <f aca="false">COUNTIFS(Temas_TIMSS!$V$5:$V$1264,J$4,Temas_TIMSS!$K$5:$K$1264,$A32)+COUNTIFS(Temas_TIMSS!$V$5:$V$1264,J$4,Temas_TIMSS!$L$5:$L$1264,$A32)</f>
        <v>0</v>
      </c>
      <c r="K32" s="23" t="n">
        <f aca="false">COUNTIFS(Temas_TIMSS!$V$5:$V$1264,K$4,Temas_TIMSS!$K$5:$K$1264,$A32)+COUNTIFS(Temas_TIMSS!$V$5:$V$1264,K$4,Temas_TIMSS!$L$5:$L$1264,$A32)</f>
        <v>0</v>
      </c>
      <c r="L32" s="23" t="n">
        <f aca="false">COUNTIFS(Temas_TIMSS!$V$5:$V$1264,L$4,Temas_TIMSS!$K$5:$K$1264,$A32)+COUNTIFS(Temas_TIMSS!$V$5:$V$1264,L$4,Temas_TIMSS!$L$5:$L$1264,$A32)</f>
        <v>0</v>
      </c>
      <c r="M32" s="23" t="n">
        <f aca="false">COUNTIFS(Temas_TIMSS!$V$5:$V$1264,M$4,Temas_TIMSS!$K$5:$K$1264,$A32)+COUNTIFS(Temas_TIMSS!$V$5:$V$1264,M$4,Temas_TIMSS!$L$5:$L$1264,$A32)</f>
        <v>0</v>
      </c>
      <c r="N32" s="23" t="n">
        <f aca="false">COUNTIFS(Temas_TIMSS!$V$5:$V$1264,N$4,Temas_TIMSS!$K$5:$K$1264,$A32)+COUNTIFS(Temas_TIMSS!$V$5:$V$1264,N$4,Temas_TIMSS!$L$5:$L$1264,$A32)</f>
        <v>0</v>
      </c>
      <c r="O32" s="23" t="n">
        <f aca="false">COUNTIFS(Temas_TIMSS!$V$5:$V$1264,O$4,Temas_TIMSS!$K$5:$K$1264,$A32)+COUNTIFS(Temas_TIMSS!$V$5:$V$1264,O$4,Temas_TIMSS!$L$5:$L$1264,$A32)</f>
        <v>0</v>
      </c>
      <c r="P32" s="23" t="n">
        <f aca="false">IF($B32="T4",SUM(F32:H32),IF($B32="T8",SUM(I32:L32),SUM(N32:O32)))</f>
        <v>2</v>
      </c>
      <c r="Q32" s="23" t="n">
        <f aca="false">COUNTIFS(Temas_TIMSS!$K$5:$K$1264,$A32)</f>
        <v>2</v>
      </c>
      <c r="R32" s="23" t="str">
        <f aca="false">IF(P32&gt;0,"Sí","No")</f>
        <v>Sí</v>
      </c>
      <c r="S32" s="23" t="str">
        <f aca="false">IF(P32=0,"No cubierto",IF(P32=1,"Débil (1 tema)",IF(P32&lt;=3,"Básica (2–3)","Sólida (4+)")))</f>
        <v>Básica (2–3)</v>
      </c>
      <c r="T32" s="23" t="str">
        <f aca="false">IFERROR(INDEX($F$4:$O$4,MATCH(TRUE(),INDEX(F32:O32&gt;0,0),0)),"—")</f>
        <v>4°</v>
      </c>
    </row>
    <row r="33" customFormat="false" ht="15" hidden="false" customHeight="false" outlineLevel="0" collapsed="false">
      <c r="A33" s="23" t="s">
        <v>175</v>
      </c>
      <c r="B33" s="23" t="s">
        <v>109</v>
      </c>
      <c r="C33" s="23" t="s">
        <v>87</v>
      </c>
      <c r="D33" s="23" t="s">
        <v>173</v>
      </c>
      <c r="E33" s="23" t="s">
        <v>176</v>
      </c>
      <c r="F33" s="23" t="n">
        <f aca="false">COUNTIFS(Temas_TIMSS!$V$5:$V$1264,F$4,Temas_TIMSS!$K$5:$K$1264,$A33)+COUNTIFS(Temas_TIMSS!$V$5:$V$1264,F$4,Temas_TIMSS!$L$5:$L$1264,$A33)</f>
        <v>1</v>
      </c>
      <c r="G33" s="23" t="n">
        <f aca="false">COUNTIFS(Temas_TIMSS!$V$5:$V$1264,G$4,Temas_TIMSS!$K$5:$K$1264,$A33)+COUNTIFS(Temas_TIMSS!$V$5:$V$1264,G$4,Temas_TIMSS!$L$5:$L$1264,$A33)</f>
        <v>0</v>
      </c>
      <c r="H33" s="23" t="n">
        <f aca="false">COUNTIFS(Temas_TIMSS!$V$5:$V$1264,H$4,Temas_TIMSS!$K$5:$K$1264,$A33)+COUNTIFS(Temas_TIMSS!$V$5:$V$1264,H$4,Temas_TIMSS!$L$5:$L$1264,$A33)</f>
        <v>1</v>
      </c>
      <c r="I33" s="23" t="n">
        <f aca="false">COUNTIFS(Temas_TIMSS!$V$5:$V$1264,I$4,Temas_TIMSS!$K$5:$K$1264,$A33)+COUNTIFS(Temas_TIMSS!$V$5:$V$1264,I$4,Temas_TIMSS!$L$5:$L$1264,$A33)</f>
        <v>0</v>
      </c>
      <c r="J33" s="23" t="n">
        <f aca="false">COUNTIFS(Temas_TIMSS!$V$5:$V$1264,J$4,Temas_TIMSS!$K$5:$K$1264,$A33)+COUNTIFS(Temas_TIMSS!$V$5:$V$1264,J$4,Temas_TIMSS!$L$5:$L$1264,$A33)</f>
        <v>0</v>
      </c>
      <c r="K33" s="23" t="n">
        <f aca="false">COUNTIFS(Temas_TIMSS!$V$5:$V$1264,K$4,Temas_TIMSS!$K$5:$K$1264,$A33)+COUNTIFS(Temas_TIMSS!$V$5:$V$1264,K$4,Temas_TIMSS!$L$5:$L$1264,$A33)</f>
        <v>0</v>
      </c>
      <c r="L33" s="23" t="n">
        <f aca="false">COUNTIFS(Temas_TIMSS!$V$5:$V$1264,L$4,Temas_TIMSS!$K$5:$K$1264,$A33)+COUNTIFS(Temas_TIMSS!$V$5:$V$1264,L$4,Temas_TIMSS!$L$5:$L$1264,$A33)</f>
        <v>0</v>
      </c>
      <c r="M33" s="23" t="n">
        <f aca="false">COUNTIFS(Temas_TIMSS!$V$5:$V$1264,M$4,Temas_TIMSS!$K$5:$K$1264,$A33)+COUNTIFS(Temas_TIMSS!$V$5:$V$1264,M$4,Temas_TIMSS!$L$5:$L$1264,$A33)</f>
        <v>0</v>
      </c>
      <c r="N33" s="23" t="n">
        <f aca="false">COUNTIFS(Temas_TIMSS!$V$5:$V$1264,N$4,Temas_TIMSS!$K$5:$K$1264,$A33)+COUNTIFS(Temas_TIMSS!$V$5:$V$1264,N$4,Temas_TIMSS!$L$5:$L$1264,$A33)</f>
        <v>0</v>
      </c>
      <c r="O33" s="23" t="n">
        <f aca="false">COUNTIFS(Temas_TIMSS!$V$5:$V$1264,O$4,Temas_TIMSS!$K$5:$K$1264,$A33)+COUNTIFS(Temas_TIMSS!$V$5:$V$1264,O$4,Temas_TIMSS!$L$5:$L$1264,$A33)</f>
        <v>0</v>
      </c>
      <c r="P33" s="23" t="n">
        <f aca="false">IF($B33="T4",SUM(F33:H33),IF($B33="T8",SUM(I33:L33),SUM(N33:O33)))</f>
        <v>2</v>
      </c>
      <c r="Q33" s="23" t="n">
        <f aca="false">COUNTIFS(Temas_TIMSS!$K$5:$K$1264,$A33)</f>
        <v>0</v>
      </c>
      <c r="R33" s="23" t="str">
        <f aca="false">IF(P33&gt;0,"Sí","No")</f>
        <v>Sí</v>
      </c>
      <c r="S33" s="23" t="str">
        <f aca="false">IF(P33=0,"No cubierto",IF(P33=1,"Débil (1 tema)",IF(P33&lt;=3,"Básica (2–3)","Sólida (4+)")))</f>
        <v>Básica (2–3)</v>
      </c>
      <c r="T33" s="23" t="str">
        <f aca="false">IFERROR(INDEX($F$4:$O$4,MATCH(TRUE(),INDEX(F33:O33&gt;0,0),0)),"—")</f>
        <v>2°</v>
      </c>
    </row>
    <row r="34" customFormat="false" ht="23.85" hidden="false" customHeight="false" outlineLevel="0" collapsed="false">
      <c r="A34" s="23" t="s">
        <v>177</v>
      </c>
      <c r="B34" s="23" t="s">
        <v>109</v>
      </c>
      <c r="C34" s="23" t="s">
        <v>87</v>
      </c>
      <c r="D34" s="23" t="s">
        <v>173</v>
      </c>
      <c r="E34" s="23" t="s">
        <v>178</v>
      </c>
      <c r="F34" s="23" t="n">
        <f aca="false">COUNTIFS(Temas_TIMSS!$V$5:$V$1264,F$4,Temas_TIMSS!$K$5:$K$1264,$A34)+COUNTIFS(Temas_TIMSS!$V$5:$V$1264,F$4,Temas_TIMSS!$L$5:$L$1264,$A34)</f>
        <v>2</v>
      </c>
      <c r="G34" s="23" t="n">
        <f aca="false">COUNTIFS(Temas_TIMSS!$V$5:$V$1264,G$4,Temas_TIMSS!$K$5:$K$1264,$A34)+COUNTIFS(Temas_TIMSS!$V$5:$V$1264,G$4,Temas_TIMSS!$L$5:$L$1264,$A34)</f>
        <v>0</v>
      </c>
      <c r="H34" s="23" t="n">
        <f aca="false">COUNTIFS(Temas_TIMSS!$V$5:$V$1264,H$4,Temas_TIMSS!$K$5:$K$1264,$A34)+COUNTIFS(Temas_TIMSS!$V$5:$V$1264,H$4,Temas_TIMSS!$L$5:$L$1264,$A34)</f>
        <v>1</v>
      </c>
      <c r="I34" s="23" t="n">
        <f aca="false">COUNTIFS(Temas_TIMSS!$V$5:$V$1264,I$4,Temas_TIMSS!$K$5:$K$1264,$A34)+COUNTIFS(Temas_TIMSS!$V$5:$V$1264,I$4,Temas_TIMSS!$L$5:$L$1264,$A34)</f>
        <v>0</v>
      </c>
      <c r="J34" s="23" t="n">
        <f aca="false">COUNTIFS(Temas_TIMSS!$V$5:$V$1264,J$4,Temas_TIMSS!$K$5:$K$1264,$A34)+COUNTIFS(Temas_TIMSS!$V$5:$V$1264,J$4,Temas_TIMSS!$L$5:$L$1264,$A34)</f>
        <v>0</v>
      </c>
      <c r="K34" s="23" t="n">
        <f aca="false">COUNTIFS(Temas_TIMSS!$V$5:$V$1264,K$4,Temas_TIMSS!$K$5:$K$1264,$A34)+COUNTIFS(Temas_TIMSS!$V$5:$V$1264,K$4,Temas_TIMSS!$L$5:$L$1264,$A34)</f>
        <v>0</v>
      </c>
      <c r="L34" s="23" t="n">
        <f aca="false">COUNTIFS(Temas_TIMSS!$V$5:$V$1264,L$4,Temas_TIMSS!$K$5:$K$1264,$A34)+COUNTIFS(Temas_TIMSS!$V$5:$V$1264,L$4,Temas_TIMSS!$L$5:$L$1264,$A34)</f>
        <v>0</v>
      </c>
      <c r="M34" s="23" t="n">
        <f aca="false">COUNTIFS(Temas_TIMSS!$V$5:$V$1264,M$4,Temas_TIMSS!$K$5:$K$1264,$A34)+COUNTIFS(Temas_TIMSS!$V$5:$V$1264,M$4,Temas_TIMSS!$L$5:$L$1264,$A34)</f>
        <v>0</v>
      </c>
      <c r="N34" s="23" t="n">
        <f aca="false">COUNTIFS(Temas_TIMSS!$V$5:$V$1264,N$4,Temas_TIMSS!$K$5:$K$1264,$A34)+COUNTIFS(Temas_TIMSS!$V$5:$V$1264,N$4,Temas_TIMSS!$L$5:$L$1264,$A34)</f>
        <v>0</v>
      </c>
      <c r="O34" s="23" t="n">
        <f aca="false">COUNTIFS(Temas_TIMSS!$V$5:$V$1264,O$4,Temas_TIMSS!$K$5:$K$1264,$A34)+COUNTIFS(Temas_TIMSS!$V$5:$V$1264,O$4,Temas_TIMSS!$L$5:$L$1264,$A34)</f>
        <v>0</v>
      </c>
      <c r="P34" s="23" t="n">
        <f aca="false">IF($B34="T4",SUM(F34:H34),IF($B34="T8",SUM(I34:L34),SUM(N34:O34)))</f>
        <v>3</v>
      </c>
      <c r="Q34" s="23" t="n">
        <f aca="false">COUNTIFS(Temas_TIMSS!$K$5:$K$1264,$A34)</f>
        <v>3</v>
      </c>
      <c r="R34" s="23" t="str">
        <f aca="false">IF(P34&gt;0,"Sí","No")</f>
        <v>Sí</v>
      </c>
      <c r="S34" s="23" t="str">
        <f aca="false">IF(P34=0,"No cubierto",IF(P34=1,"Débil (1 tema)",IF(P34&lt;=3,"Básica (2–3)","Sólida (4+)")))</f>
        <v>Básica (2–3)</v>
      </c>
      <c r="T34" s="23" t="str">
        <f aca="false">IFERROR(INDEX($F$4:$O$4,MATCH(TRUE(),INDEX(F34:O34&gt;0,0),0)),"—")</f>
        <v>2°</v>
      </c>
    </row>
    <row r="35" customFormat="false" ht="15" hidden="false" customHeight="false" outlineLevel="0" collapsed="false">
      <c r="A35" s="23" t="s">
        <v>179</v>
      </c>
      <c r="B35" s="23" t="s">
        <v>109</v>
      </c>
      <c r="C35" s="23" t="s">
        <v>87</v>
      </c>
      <c r="D35" s="23" t="s">
        <v>180</v>
      </c>
      <c r="E35" s="23" t="s">
        <v>181</v>
      </c>
      <c r="F35" s="23" t="n">
        <f aca="false">COUNTIFS(Temas_TIMSS!$V$5:$V$1264,F$4,Temas_TIMSS!$K$5:$K$1264,$A35)+COUNTIFS(Temas_TIMSS!$V$5:$V$1264,F$4,Temas_TIMSS!$L$5:$L$1264,$A35)</f>
        <v>1</v>
      </c>
      <c r="G35" s="23" t="n">
        <f aca="false">COUNTIFS(Temas_TIMSS!$V$5:$V$1264,G$4,Temas_TIMSS!$K$5:$K$1264,$A35)+COUNTIFS(Temas_TIMSS!$V$5:$V$1264,G$4,Temas_TIMSS!$L$5:$L$1264,$A35)</f>
        <v>0</v>
      </c>
      <c r="H35" s="23" t="n">
        <f aca="false">COUNTIFS(Temas_TIMSS!$V$5:$V$1264,H$4,Temas_TIMSS!$K$5:$K$1264,$A35)+COUNTIFS(Temas_TIMSS!$V$5:$V$1264,H$4,Temas_TIMSS!$L$5:$L$1264,$A35)</f>
        <v>10</v>
      </c>
      <c r="I35" s="23" t="n">
        <f aca="false">COUNTIFS(Temas_TIMSS!$V$5:$V$1264,I$4,Temas_TIMSS!$K$5:$K$1264,$A35)+COUNTIFS(Temas_TIMSS!$V$5:$V$1264,I$4,Temas_TIMSS!$L$5:$L$1264,$A35)</f>
        <v>0</v>
      </c>
      <c r="J35" s="23" t="n">
        <f aca="false">COUNTIFS(Temas_TIMSS!$V$5:$V$1264,J$4,Temas_TIMSS!$K$5:$K$1264,$A35)+COUNTIFS(Temas_TIMSS!$V$5:$V$1264,J$4,Temas_TIMSS!$L$5:$L$1264,$A35)</f>
        <v>0</v>
      </c>
      <c r="K35" s="23" t="n">
        <f aca="false">COUNTIFS(Temas_TIMSS!$V$5:$V$1264,K$4,Temas_TIMSS!$K$5:$K$1264,$A35)+COUNTIFS(Temas_TIMSS!$V$5:$V$1264,K$4,Temas_TIMSS!$L$5:$L$1264,$A35)</f>
        <v>0</v>
      </c>
      <c r="L35" s="23" t="n">
        <f aca="false">COUNTIFS(Temas_TIMSS!$V$5:$V$1264,L$4,Temas_TIMSS!$K$5:$K$1264,$A35)+COUNTIFS(Temas_TIMSS!$V$5:$V$1264,L$4,Temas_TIMSS!$L$5:$L$1264,$A35)</f>
        <v>0</v>
      </c>
      <c r="M35" s="23" t="n">
        <f aca="false">COUNTIFS(Temas_TIMSS!$V$5:$V$1264,M$4,Temas_TIMSS!$K$5:$K$1264,$A35)+COUNTIFS(Temas_TIMSS!$V$5:$V$1264,M$4,Temas_TIMSS!$L$5:$L$1264,$A35)</f>
        <v>0</v>
      </c>
      <c r="N35" s="23" t="n">
        <f aca="false">COUNTIFS(Temas_TIMSS!$V$5:$V$1264,N$4,Temas_TIMSS!$K$5:$K$1264,$A35)+COUNTIFS(Temas_TIMSS!$V$5:$V$1264,N$4,Temas_TIMSS!$L$5:$L$1264,$A35)</f>
        <v>0</v>
      </c>
      <c r="O35" s="23" t="n">
        <f aca="false">COUNTIFS(Temas_TIMSS!$V$5:$V$1264,O$4,Temas_TIMSS!$K$5:$K$1264,$A35)+COUNTIFS(Temas_TIMSS!$V$5:$V$1264,O$4,Temas_TIMSS!$L$5:$L$1264,$A35)</f>
        <v>0</v>
      </c>
      <c r="P35" s="23" t="n">
        <f aca="false">IF($B35="T4",SUM(F35:H35),IF($B35="T8",SUM(I35:L35),SUM(N35:O35)))</f>
        <v>11</v>
      </c>
      <c r="Q35" s="23" t="n">
        <f aca="false">COUNTIFS(Temas_TIMSS!$K$5:$K$1264,$A35)</f>
        <v>11</v>
      </c>
      <c r="R35" s="23" t="str">
        <f aca="false">IF(P35&gt;0,"Sí","No")</f>
        <v>Sí</v>
      </c>
      <c r="S35" s="23" t="str">
        <f aca="false">IF(P35=0,"No cubierto",IF(P35=1,"Débil (1 tema)",IF(P35&lt;=3,"Básica (2–3)","Sólida (4+)")))</f>
        <v>Sólida (4+)</v>
      </c>
      <c r="T35" s="23" t="str">
        <f aca="false">IFERROR(INDEX($F$4:$O$4,MATCH(TRUE(),INDEX(F35:O35&gt;0,0),0)),"—")</f>
        <v>2°</v>
      </c>
    </row>
    <row r="36" customFormat="false" ht="15" hidden="false" customHeight="false" outlineLevel="0" collapsed="false">
      <c r="A36" s="23" t="s">
        <v>182</v>
      </c>
      <c r="B36" s="23" t="s">
        <v>109</v>
      </c>
      <c r="C36" s="23" t="s">
        <v>87</v>
      </c>
      <c r="D36" s="23" t="s">
        <v>180</v>
      </c>
      <c r="E36" s="23" t="s">
        <v>183</v>
      </c>
      <c r="F36" s="23" t="n">
        <f aca="false">COUNTIFS(Temas_TIMSS!$V$5:$V$1264,F$4,Temas_TIMSS!$K$5:$K$1264,$A36)+COUNTIFS(Temas_TIMSS!$V$5:$V$1264,F$4,Temas_TIMSS!$L$5:$L$1264,$A36)</f>
        <v>2</v>
      </c>
      <c r="G36" s="23" t="n">
        <f aca="false">COUNTIFS(Temas_TIMSS!$V$5:$V$1264,G$4,Temas_TIMSS!$K$5:$K$1264,$A36)+COUNTIFS(Temas_TIMSS!$V$5:$V$1264,G$4,Temas_TIMSS!$L$5:$L$1264,$A36)</f>
        <v>0</v>
      </c>
      <c r="H36" s="23" t="n">
        <f aca="false">COUNTIFS(Temas_TIMSS!$V$5:$V$1264,H$4,Temas_TIMSS!$K$5:$K$1264,$A36)+COUNTIFS(Temas_TIMSS!$V$5:$V$1264,H$4,Temas_TIMSS!$L$5:$L$1264,$A36)</f>
        <v>2</v>
      </c>
      <c r="I36" s="23" t="n">
        <f aca="false">COUNTIFS(Temas_TIMSS!$V$5:$V$1264,I$4,Temas_TIMSS!$K$5:$K$1264,$A36)+COUNTIFS(Temas_TIMSS!$V$5:$V$1264,I$4,Temas_TIMSS!$L$5:$L$1264,$A36)</f>
        <v>0</v>
      </c>
      <c r="J36" s="23" t="n">
        <f aca="false">COUNTIFS(Temas_TIMSS!$V$5:$V$1264,J$4,Temas_TIMSS!$K$5:$K$1264,$A36)+COUNTIFS(Temas_TIMSS!$V$5:$V$1264,J$4,Temas_TIMSS!$L$5:$L$1264,$A36)</f>
        <v>0</v>
      </c>
      <c r="K36" s="23" t="n">
        <f aca="false">COUNTIFS(Temas_TIMSS!$V$5:$V$1264,K$4,Temas_TIMSS!$K$5:$K$1264,$A36)+COUNTIFS(Temas_TIMSS!$V$5:$V$1264,K$4,Temas_TIMSS!$L$5:$L$1264,$A36)</f>
        <v>0</v>
      </c>
      <c r="L36" s="23" t="n">
        <f aca="false">COUNTIFS(Temas_TIMSS!$V$5:$V$1264,L$4,Temas_TIMSS!$K$5:$K$1264,$A36)+COUNTIFS(Temas_TIMSS!$V$5:$V$1264,L$4,Temas_TIMSS!$L$5:$L$1264,$A36)</f>
        <v>0</v>
      </c>
      <c r="M36" s="23" t="n">
        <f aca="false">COUNTIFS(Temas_TIMSS!$V$5:$V$1264,M$4,Temas_TIMSS!$K$5:$K$1264,$A36)+COUNTIFS(Temas_TIMSS!$V$5:$V$1264,M$4,Temas_TIMSS!$L$5:$L$1264,$A36)</f>
        <v>0</v>
      </c>
      <c r="N36" s="23" t="n">
        <f aca="false">COUNTIFS(Temas_TIMSS!$V$5:$V$1264,N$4,Temas_TIMSS!$K$5:$K$1264,$A36)+COUNTIFS(Temas_TIMSS!$V$5:$V$1264,N$4,Temas_TIMSS!$L$5:$L$1264,$A36)</f>
        <v>0</v>
      </c>
      <c r="O36" s="23" t="n">
        <f aca="false">COUNTIFS(Temas_TIMSS!$V$5:$V$1264,O$4,Temas_TIMSS!$K$5:$K$1264,$A36)+COUNTIFS(Temas_TIMSS!$V$5:$V$1264,O$4,Temas_TIMSS!$L$5:$L$1264,$A36)</f>
        <v>0</v>
      </c>
      <c r="P36" s="23" t="n">
        <f aca="false">IF($B36="T4",SUM(F36:H36),IF($B36="T8",SUM(I36:L36),SUM(N36:O36)))</f>
        <v>4</v>
      </c>
      <c r="Q36" s="23" t="n">
        <f aca="false">COUNTIFS(Temas_TIMSS!$K$5:$K$1264,$A36)</f>
        <v>4</v>
      </c>
      <c r="R36" s="23" t="str">
        <f aca="false">IF(P36&gt;0,"Sí","No")</f>
        <v>Sí</v>
      </c>
      <c r="S36" s="23" t="str">
        <f aca="false">IF(P36=0,"No cubierto",IF(P36=1,"Débil (1 tema)",IF(P36&lt;=3,"Básica (2–3)","Sólida (4+)")))</f>
        <v>Sólida (4+)</v>
      </c>
      <c r="T36" s="23" t="str">
        <f aca="false">IFERROR(INDEX($F$4:$O$4,MATCH(TRUE(),INDEX(F36:O36&gt;0,0),0)),"—")</f>
        <v>2°</v>
      </c>
    </row>
    <row r="37" customFormat="false" ht="23.85" hidden="false" customHeight="false" outlineLevel="0" collapsed="false">
      <c r="A37" s="23" t="s">
        <v>184</v>
      </c>
      <c r="B37" s="23" t="s">
        <v>185</v>
      </c>
      <c r="C37" s="23" t="s">
        <v>89</v>
      </c>
      <c r="D37" s="23" t="s">
        <v>110</v>
      </c>
      <c r="E37" s="23" t="s">
        <v>186</v>
      </c>
      <c r="F37" s="23" t="n">
        <f aca="false">COUNTIFS(Temas_TIMSS!$V$5:$V$1264,F$4,Temas_TIMSS!$K$5:$K$1264,$A37)+COUNTIFS(Temas_TIMSS!$V$5:$V$1264,F$4,Temas_TIMSS!$L$5:$L$1264,$A37)</f>
        <v>0</v>
      </c>
      <c r="G37" s="23" t="n">
        <f aca="false">COUNTIFS(Temas_TIMSS!$V$5:$V$1264,G$4,Temas_TIMSS!$K$5:$K$1264,$A37)+COUNTIFS(Temas_TIMSS!$V$5:$V$1264,G$4,Temas_TIMSS!$L$5:$L$1264,$A37)</f>
        <v>0</v>
      </c>
      <c r="H37" s="23" t="n">
        <f aca="false">COUNTIFS(Temas_TIMSS!$V$5:$V$1264,H$4,Temas_TIMSS!$K$5:$K$1264,$A37)+COUNTIFS(Temas_TIMSS!$V$5:$V$1264,H$4,Temas_TIMSS!$L$5:$L$1264,$A37)</f>
        <v>0</v>
      </c>
      <c r="I37" s="23" t="n">
        <f aca="false">COUNTIFS(Temas_TIMSS!$V$5:$V$1264,I$4,Temas_TIMSS!$K$5:$K$1264,$A37)+COUNTIFS(Temas_TIMSS!$V$5:$V$1264,I$4,Temas_TIMSS!$L$5:$L$1264,$A37)</f>
        <v>0</v>
      </c>
      <c r="J37" s="23" t="n">
        <f aca="false">COUNTIFS(Temas_TIMSS!$V$5:$V$1264,J$4,Temas_TIMSS!$K$5:$K$1264,$A37)+COUNTIFS(Temas_TIMSS!$V$5:$V$1264,J$4,Temas_TIMSS!$L$5:$L$1264,$A37)</f>
        <v>1</v>
      </c>
      <c r="K37" s="23" t="n">
        <f aca="false">COUNTIFS(Temas_TIMSS!$V$5:$V$1264,K$4,Temas_TIMSS!$K$5:$K$1264,$A37)+COUNTIFS(Temas_TIMSS!$V$5:$V$1264,K$4,Temas_TIMSS!$L$5:$L$1264,$A37)</f>
        <v>11</v>
      </c>
      <c r="L37" s="23" t="n">
        <f aca="false">COUNTIFS(Temas_TIMSS!$V$5:$V$1264,L$4,Temas_TIMSS!$K$5:$K$1264,$A37)+COUNTIFS(Temas_TIMSS!$V$5:$V$1264,L$4,Temas_TIMSS!$L$5:$L$1264,$A37)</f>
        <v>0</v>
      </c>
      <c r="M37" s="23" t="n">
        <f aca="false">COUNTIFS(Temas_TIMSS!$V$5:$V$1264,M$4,Temas_TIMSS!$K$5:$K$1264,$A37)+COUNTIFS(Temas_TIMSS!$V$5:$V$1264,M$4,Temas_TIMSS!$L$5:$L$1264,$A37)</f>
        <v>0</v>
      </c>
      <c r="N37" s="23" t="n">
        <f aca="false">COUNTIFS(Temas_TIMSS!$V$5:$V$1264,N$4,Temas_TIMSS!$K$5:$K$1264,$A37)+COUNTIFS(Temas_TIMSS!$V$5:$V$1264,N$4,Temas_TIMSS!$L$5:$L$1264,$A37)</f>
        <v>0</v>
      </c>
      <c r="O37" s="23" t="n">
        <f aca="false">COUNTIFS(Temas_TIMSS!$V$5:$V$1264,O$4,Temas_TIMSS!$K$5:$K$1264,$A37)+COUNTIFS(Temas_TIMSS!$V$5:$V$1264,O$4,Temas_TIMSS!$L$5:$L$1264,$A37)</f>
        <v>0</v>
      </c>
      <c r="P37" s="23" t="n">
        <f aca="false">IF($B37="T4",SUM(F37:H37),IF($B37="T8",SUM(I37:L37),SUM(N37:O37)))</f>
        <v>12</v>
      </c>
      <c r="Q37" s="23" t="n">
        <f aca="false">COUNTIFS(Temas_TIMSS!$K$5:$K$1264,$A37)</f>
        <v>11</v>
      </c>
      <c r="R37" s="23" t="str">
        <f aca="false">IF(P37&gt;0,"Sí","No")</f>
        <v>Sí</v>
      </c>
      <c r="S37" s="23" t="str">
        <f aca="false">IF(P37=0,"No cubierto",IF(P37=1,"Débil (1 tema)",IF(P37&lt;=3,"Básica (2–3)","Sólida (4+)")))</f>
        <v>Sólida (4+)</v>
      </c>
      <c r="T37" s="23" t="str">
        <f aca="false">IFERROR(INDEX($F$4:$O$4,MATCH(TRUE(),INDEX(F37:O37&gt;0,0),0)),"—")</f>
        <v>6°</v>
      </c>
    </row>
    <row r="38" customFormat="false" ht="23.85" hidden="false" customHeight="false" outlineLevel="0" collapsed="false">
      <c r="A38" s="23" t="s">
        <v>187</v>
      </c>
      <c r="B38" s="23" t="s">
        <v>185</v>
      </c>
      <c r="C38" s="23" t="s">
        <v>89</v>
      </c>
      <c r="D38" s="23" t="s">
        <v>110</v>
      </c>
      <c r="E38" s="23" t="s">
        <v>188</v>
      </c>
      <c r="F38" s="23" t="n">
        <f aca="false">COUNTIFS(Temas_TIMSS!$V$5:$V$1264,F$4,Temas_TIMSS!$K$5:$K$1264,$A38)+COUNTIFS(Temas_TIMSS!$V$5:$V$1264,F$4,Temas_TIMSS!$L$5:$L$1264,$A38)</f>
        <v>0</v>
      </c>
      <c r="G38" s="23" t="n">
        <f aca="false">COUNTIFS(Temas_TIMSS!$V$5:$V$1264,G$4,Temas_TIMSS!$K$5:$K$1264,$A38)+COUNTIFS(Temas_TIMSS!$V$5:$V$1264,G$4,Temas_TIMSS!$L$5:$L$1264,$A38)</f>
        <v>0</v>
      </c>
      <c r="H38" s="23" t="n">
        <f aca="false">COUNTIFS(Temas_TIMSS!$V$5:$V$1264,H$4,Temas_TIMSS!$K$5:$K$1264,$A38)+COUNTIFS(Temas_TIMSS!$V$5:$V$1264,H$4,Temas_TIMSS!$L$5:$L$1264,$A38)</f>
        <v>0</v>
      </c>
      <c r="I38" s="23" t="n">
        <f aca="false">COUNTIFS(Temas_TIMSS!$V$5:$V$1264,I$4,Temas_TIMSS!$K$5:$K$1264,$A38)+COUNTIFS(Temas_TIMSS!$V$5:$V$1264,I$4,Temas_TIMSS!$L$5:$L$1264,$A38)</f>
        <v>0</v>
      </c>
      <c r="J38" s="23" t="n">
        <f aca="false">COUNTIFS(Temas_TIMSS!$V$5:$V$1264,J$4,Temas_TIMSS!$K$5:$K$1264,$A38)+COUNTIFS(Temas_TIMSS!$V$5:$V$1264,J$4,Temas_TIMSS!$L$5:$L$1264,$A38)</f>
        <v>1</v>
      </c>
      <c r="K38" s="23" t="n">
        <f aca="false">COUNTIFS(Temas_TIMSS!$V$5:$V$1264,K$4,Temas_TIMSS!$K$5:$K$1264,$A38)+COUNTIFS(Temas_TIMSS!$V$5:$V$1264,K$4,Temas_TIMSS!$L$5:$L$1264,$A38)</f>
        <v>0</v>
      </c>
      <c r="L38" s="23" t="n">
        <f aca="false">COUNTIFS(Temas_TIMSS!$V$5:$V$1264,L$4,Temas_TIMSS!$K$5:$K$1264,$A38)+COUNTIFS(Temas_TIMSS!$V$5:$V$1264,L$4,Temas_TIMSS!$L$5:$L$1264,$A38)</f>
        <v>15</v>
      </c>
      <c r="M38" s="23" t="n">
        <f aca="false">COUNTIFS(Temas_TIMSS!$V$5:$V$1264,M$4,Temas_TIMSS!$K$5:$K$1264,$A38)+COUNTIFS(Temas_TIMSS!$V$5:$V$1264,M$4,Temas_TIMSS!$L$5:$L$1264,$A38)</f>
        <v>0</v>
      </c>
      <c r="N38" s="23" t="n">
        <f aca="false">COUNTIFS(Temas_TIMSS!$V$5:$V$1264,N$4,Temas_TIMSS!$K$5:$K$1264,$A38)+COUNTIFS(Temas_TIMSS!$V$5:$V$1264,N$4,Temas_TIMSS!$L$5:$L$1264,$A38)</f>
        <v>0</v>
      </c>
      <c r="O38" s="23" t="n">
        <f aca="false">COUNTIFS(Temas_TIMSS!$V$5:$V$1264,O$4,Temas_TIMSS!$K$5:$K$1264,$A38)+COUNTIFS(Temas_TIMSS!$V$5:$V$1264,O$4,Temas_TIMSS!$L$5:$L$1264,$A38)</f>
        <v>0</v>
      </c>
      <c r="P38" s="23" t="n">
        <f aca="false">IF($B38="T4",SUM(F38:H38),IF($B38="T8",SUM(I38:L38),SUM(N38:O38)))</f>
        <v>16</v>
      </c>
      <c r="Q38" s="23" t="n">
        <f aca="false">COUNTIFS(Temas_TIMSS!$K$5:$K$1264,$A38)</f>
        <v>13</v>
      </c>
      <c r="R38" s="23" t="str">
        <f aca="false">IF(P38&gt;0,"Sí","No")</f>
        <v>Sí</v>
      </c>
      <c r="S38" s="23" t="str">
        <f aca="false">IF(P38=0,"No cubierto",IF(P38=1,"Débil (1 tema)",IF(P38&lt;=3,"Básica (2–3)","Sólida (4+)")))</f>
        <v>Sólida (4+)</v>
      </c>
      <c r="T38" s="23" t="str">
        <f aca="false">IFERROR(INDEX($F$4:$O$4,MATCH(TRUE(),INDEX(F38:O38&gt;0,0),0)),"—")</f>
        <v>6°</v>
      </c>
    </row>
    <row r="39" customFormat="false" ht="23.85" hidden="false" customHeight="false" outlineLevel="0" collapsed="false">
      <c r="A39" s="23" t="s">
        <v>189</v>
      </c>
      <c r="B39" s="23" t="s">
        <v>185</v>
      </c>
      <c r="C39" s="23" t="s">
        <v>89</v>
      </c>
      <c r="D39" s="23" t="s">
        <v>110</v>
      </c>
      <c r="E39" s="23" t="s">
        <v>190</v>
      </c>
      <c r="F39" s="23" t="n">
        <f aca="false">COUNTIFS(Temas_TIMSS!$V$5:$V$1264,F$4,Temas_TIMSS!$K$5:$K$1264,$A39)+COUNTIFS(Temas_TIMSS!$V$5:$V$1264,F$4,Temas_TIMSS!$L$5:$L$1264,$A39)</f>
        <v>0</v>
      </c>
      <c r="G39" s="23" t="n">
        <f aca="false">COUNTIFS(Temas_TIMSS!$V$5:$V$1264,G$4,Temas_TIMSS!$K$5:$K$1264,$A39)+COUNTIFS(Temas_TIMSS!$V$5:$V$1264,G$4,Temas_TIMSS!$L$5:$L$1264,$A39)</f>
        <v>0</v>
      </c>
      <c r="H39" s="23" t="n">
        <f aca="false">COUNTIFS(Temas_TIMSS!$V$5:$V$1264,H$4,Temas_TIMSS!$K$5:$K$1264,$A39)+COUNTIFS(Temas_TIMSS!$V$5:$V$1264,H$4,Temas_TIMSS!$L$5:$L$1264,$A39)</f>
        <v>0</v>
      </c>
      <c r="I39" s="23" t="n">
        <f aca="false">COUNTIFS(Temas_TIMSS!$V$5:$V$1264,I$4,Temas_TIMSS!$K$5:$K$1264,$A39)+COUNTIFS(Temas_TIMSS!$V$5:$V$1264,I$4,Temas_TIMSS!$L$5:$L$1264,$A39)</f>
        <v>0</v>
      </c>
      <c r="J39" s="23" t="n">
        <f aca="false">COUNTIFS(Temas_TIMSS!$V$5:$V$1264,J$4,Temas_TIMSS!$K$5:$K$1264,$A39)+COUNTIFS(Temas_TIMSS!$V$5:$V$1264,J$4,Temas_TIMSS!$L$5:$L$1264,$A39)</f>
        <v>0</v>
      </c>
      <c r="K39" s="23" t="n">
        <f aca="false">COUNTIFS(Temas_TIMSS!$V$5:$V$1264,K$4,Temas_TIMSS!$K$5:$K$1264,$A39)+COUNTIFS(Temas_TIMSS!$V$5:$V$1264,K$4,Temas_TIMSS!$L$5:$L$1264,$A39)</f>
        <v>0</v>
      </c>
      <c r="L39" s="23" t="n">
        <f aca="false">COUNTIFS(Temas_TIMSS!$V$5:$V$1264,L$4,Temas_TIMSS!$K$5:$K$1264,$A39)+COUNTIFS(Temas_TIMSS!$V$5:$V$1264,L$4,Temas_TIMSS!$L$5:$L$1264,$A39)</f>
        <v>5</v>
      </c>
      <c r="M39" s="23" t="n">
        <f aca="false">COUNTIFS(Temas_TIMSS!$V$5:$V$1264,M$4,Temas_TIMSS!$K$5:$K$1264,$A39)+COUNTIFS(Temas_TIMSS!$V$5:$V$1264,M$4,Temas_TIMSS!$L$5:$L$1264,$A39)</f>
        <v>0</v>
      </c>
      <c r="N39" s="23" t="n">
        <f aca="false">COUNTIFS(Temas_TIMSS!$V$5:$V$1264,N$4,Temas_TIMSS!$K$5:$K$1264,$A39)+COUNTIFS(Temas_TIMSS!$V$5:$V$1264,N$4,Temas_TIMSS!$L$5:$L$1264,$A39)</f>
        <v>0</v>
      </c>
      <c r="O39" s="23" t="n">
        <f aca="false">COUNTIFS(Temas_TIMSS!$V$5:$V$1264,O$4,Temas_TIMSS!$K$5:$K$1264,$A39)+COUNTIFS(Temas_TIMSS!$V$5:$V$1264,O$4,Temas_TIMSS!$L$5:$L$1264,$A39)</f>
        <v>0</v>
      </c>
      <c r="P39" s="23" t="n">
        <f aca="false">IF($B39="T4",SUM(F39:H39),IF($B39="T8",SUM(I39:L39),SUM(N39:O39)))</f>
        <v>5</v>
      </c>
      <c r="Q39" s="23" t="n">
        <f aca="false">COUNTIFS(Temas_TIMSS!$K$5:$K$1264,$A39)</f>
        <v>1</v>
      </c>
      <c r="R39" s="23" t="str">
        <f aca="false">IF(P39&gt;0,"Sí","No")</f>
        <v>Sí</v>
      </c>
      <c r="S39" s="23" t="str">
        <f aca="false">IF(P39=0,"No cubierto",IF(P39=1,"Débil (1 tema)",IF(P39&lt;=3,"Básica (2–3)","Sólida (4+)")))</f>
        <v>Sólida (4+)</v>
      </c>
      <c r="T39" s="23" t="str">
        <f aca="false">IFERROR(INDEX($F$4:$O$4,MATCH(TRUE(),INDEX(F39:O39&gt;0,0),0)),"—")</f>
        <v>8°</v>
      </c>
    </row>
    <row r="40" customFormat="false" ht="23.85" hidden="false" customHeight="false" outlineLevel="0" collapsed="false">
      <c r="A40" s="23" t="s">
        <v>191</v>
      </c>
      <c r="B40" s="23" t="s">
        <v>185</v>
      </c>
      <c r="C40" s="23" t="s">
        <v>89</v>
      </c>
      <c r="D40" s="23" t="s">
        <v>192</v>
      </c>
      <c r="E40" s="23" t="s">
        <v>193</v>
      </c>
      <c r="F40" s="23" t="n">
        <f aca="false">COUNTIFS(Temas_TIMSS!$V$5:$V$1264,F$4,Temas_TIMSS!$K$5:$K$1264,$A40)+COUNTIFS(Temas_TIMSS!$V$5:$V$1264,F$4,Temas_TIMSS!$L$5:$L$1264,$A40)</f>
        <v>0</v>
      </c>
      <c r="G40" s="23" t="n">
        <f aca="false">COUNTIFS(Temas_TIMSS!$V$5:$V$1264,G$4,Temas_TIMSS!$K$5:$K$1264,$A40)+COUNTIFS(Temas_TIMSS!$V$5:$V$1264,G$4,Temas_TIMSS!$L$5:$L$1264,$A40)</f>
        <v>0</v>
      </c>
      <c r="H40" s="23" t="n">
        <f aca="false">COUNTIFS(Temas_TIMSS!$V$5:$V$1264,H$4,Temas_TIMSS!$K$5:$K$1264,$A40)+COUNTIFS(Temas_TIMSS!$V$5:$V$1264,H$4,Temas_TIMSS!$L$5:$L$1264,$A40)</f>
        <v>0</v>
      </c>
      <c r="I40" s="23" t="n">
        <f aca="false">COUNTIFS(Temas_TIMSS!$V$5:$V$1264,I$4,Temas_TIMSS!$K$5:$K$1264,$A40)+COUNTIFS(Temas_TIMSS!$V$5:$V$1264,I$4,Temas_TIMSS!$L$5:$L$1264,$A40)</f>
        <v>0</v>
      </c>
      <c r="J40" s="23" t="n">
        <f aca="false">COUNTIFS(Temas_TIMSS!$V$5:$V$1264,J$4,Temas_TIMSS!$K$5:$K$1264,$A40)+COUNTIFS(Temas_TIMSS!$V$5:$V$1264,J$4,Temas_TIMSS!$L$5:$L$1264,$A40)</f>
        <v>17</v>
      </c>
      <c r="K40" s="23" t="n">
        <f aca="false">COUNTIFS(Temas_TIMSS!$V$5:$V$1264,K$4,Temas_TIMSS!$K$5:$K$1264,$A40)+COUNTIFS(Temas_TIMSS!$V$5:$V$1264,K$4,Temas_TIMSS!$L$5:$L$1264,$A40)</f>
        <v>0</v>
      </c>
      <c r="L40" s="23" t="n">
        <f aca="false">COUNTIFS(Temas_TIMSS!$V$5:$V$1264,L$4,Temas_TIMSS!$K$5:$K$1264,$A40)+COUNTIFS(Temas_TIMSS!$V$5:$V$1264,L$4,Temas_TIMSS!$L$5:$L$1264,$A40)</f>
        <v>9</v>
      </c>
      <c r="M40" s="23" t="n">
        <f aca="false">COUNTIFS(Temas_TIMSS!$V$5:$V$1264,M$4,Temas_TIMSS!$K$5:$K$1264,$A40)+COUNTIFS(Temas_TIMSS!$V$5:$V$1264,M$4,Temas_TIMSS!$L$5:$L$1264,$A40)</f>
        <v>0</v>
      </c>
      <c r="N40" s="23" t="n">
        <f aca="false">COUNTIFS(Temas_TIMSS!$V$5:$V$1264,N$4,Temas_TIMSS!$K$5:$K$1264,$A40)+COUNTIFS(Temas_TIMSS!$V$5:$V$1264,N$4,Temas_TIMSS!$L$5:$L$1264,$A40)</f>
        <v>0</v>
      </c>
      <c r="O40" s="23" t="n">
        <f aca="false">COUNTIFS(Temas_TIMSS!$V$5:$V$1264,O$4,Temas_TIMSS!$K$5:$K$1264,$A40)+COUNTIFS(Temas_TIMSS!$V$5:$V$1264,O$4,Temas_TIMSS!$L$5:$L$1264,$A40)</f>
        <v>0</v>
      </c>
      <c r="P40" s="23" t="n">
        <f aca="false">IF($B40="T4",SUM(F40:H40),IF($B40="T8",SUM(I40:L40),SUM(N40:O40)))</f>
        <v>26</v>
      </c>
      <c r="Q40" s="23" t="n">
        <f aca="false">COUNTIFS(Temas_TIMSS!$K$5:$K$1264,$A40)</f>
        <v>23</v>
      </c>
      <c r="R40" s="23" t="str">
        <f aca="false">IF(P40&gt;0,"Sí","No")</f>
        <v>Sí</v>
      </c>
      <c r="S40" s="23" t="str">
        <f aca="false">IF(P40=0,"No cubierto",IF(P40=1,"Débil (1 tema)",IF(P40&lt;=3,"Básica (2–3)","Sólida (4+)")))</f>
        <v>Sólida (4+)</v>
      </c>
      <c r="T40" s="23" t="str">
        <f aca="false">IFERROR(INDEX($F$4:$O$4,MATCH(TRUE(),INDEX(F40:O40&gt;0,0),0)),"—")</f>
        <v>6°</v>
      </c>
    </row>
    <row r="41" customFormat="false" ht="15" hidden="false" customHeight="false" outlineLevel="0" collapsed="false">
      <c r="A41" s="23" t="s">
        <v>194</v>
      </c>
      <c r="B41" s="23" t="s">
        <v>185</v>
      </c>
      <c r="C41" s="23" t="s">
        <v>89</v>
      </c>
      <c r="D41" s="23" t="s">
        <v>192</v>
      </c>
      <c r="E41" s="23" t="s">
        <v>195</v>
      </c>
      <c r="F41" s="23" t="n">
        <f aca="false">COUNTIFS(Temas_TIMSS!$V$5:$V$1264,F$4,Temas_TIMSS!$K$5:$K$1264,$A41)+COUNTIFS(Temas_TIMSS!$V$5:$V$1264,F$4,Temas_TIMSS!$L$5:$L$1264,$A41)</f>
        <v>0</v>
      </c>
      <c r="G41" s="23" t="n">
        <f aca="false">COUNTIFS(Temas_TIMSS!$V$5:$V$1264,G$4,Temas_TIMSS!$K$5:$K$1264,$A41)+COUNTIFS(Temas_TIMSS!$V$5:$V$1264,G$4,Temas_TIMSS!$L$5:$L$1264,$A41)</f>
        <v>0</v>
      </c>
      <c r="H41" s="23" t="n">
        <f aca="false">COUNTIFS(Temas_TIMSS!$V$5:$V$1264,H$4,Temas_TIMSS!$K$5:$K$1264,$A41)+COUNTIFS(Temas_TIMSS!$V$5:$V$1264,H$4,Temas_TIMSS!$L$5:$L$1264,$A41)</f>
        <v>0</v>
      </c>
      <c r="I41" s="23" t="n">
        <f aca="false">COUNTIFS(Temas_TIMSS!$V$5:$V$1264,I$4,Temas_TIMSS!$K$5:$K$1264,$A41)+COUNTIFS(Temas_TIMSS!$V$5:$V$1264,I$4,Temas_TIMSS!$L$5:$L$1264,$A41)</f>
        <v>0</v>
      </c>
      <c r="J41" s="23" t="n">
        <f aca="false">COUNTIFS(Temas_TIMSS!$V$5:$V$1264,J$4,Temas_TIMSS!$K$5:$K$1264,$A41)+COUNTIFS(Temas_TIMSS!$V$5:$V$1264,J$4,Temas_TIMSS!$L$5:$L$1264,$A41)</f>
        <v>6</v>
      </c>
      <c r="K41" s="23" t="n">
        <f aca="false">COUNTIFS(Temas_TIMSS!$V$5:$V$1264,K$4,Temas_TIMSS!$K$5:$K$1264,$A41)+COUNTIFS(Temas_TIMSS!$V$5:$V$1264,K$4,Temas_TIMSS!$L$5:$L$1264,$A41)</f>
        <v>0</v>
      </c>
      <c r="L41" s="23" t="n">
        <f aca="false">COUNTIFS(Temas_TIMSS!$V$5:$V$1264,L$4,Temas_TIMSS!$K$5:$K$1264,$A41)+COUNTIFS(Temas_TIMSS!$V$5:$V$1264,L$4,Temas_TIMSS!$L$5:$L$1264,$A41)</f>
        <v>3</v>
      </c>
      <c r="M41" s="23" t="n">
        <f aca="false">COUNTIFS(Temas_TIMSS!$V$5:$V$1264,M$4,Temas_TIMSS!$K$5:$K$1264,$A41)+COUNTIFS(Temas_TIMSS!$V$5:$V$1264,M$4,Temas_TIMSS!$L$5:$L$1264,$A41)</f>
        <v>0</v>
      </c>
      <c r="N41" s="23" t="n">
        <f aca="false">COUNTIFS(Temas_TIMSS!$V$5:$V$1264,N$4,Temas_TIMSS!$K$5:$K$1264,$A41)+COUNTIFS(Temas_TIMSS!$V$5:$V$1264,N$4,Temas_TIMSS!$L$5:$L$1264,$A41)</f>
        <v>0</v>
      </c>
      <c r="O41" s="23" t="n">
        <f aca="false">COUNTIFS(Temas_TIMSS!$V$5:$V$1264,O$4,Temas_TIMSS!$K$5:$K$1264,$A41)+COUNTIFS(Temas_TIMSS!$V$5:$V$1264,O$4,Temas_TIMSS!$L$5:$L$1264,$A41)</f>
        <v>0</v>
      </c>
      <c r="P41" s="23" t="n">
        <f aca="false">IF($B41="T4",SUM(F41:H41),IF($B41="T8",SUM(I41:L41),SUM(N41:O41)))</f>
        <v>9</v>
      </c>
      <c r="Q41" s="23" t="n">
        <f aca="false">COUNTIFS(Temas_TIMSS!$K$5:$K$1264,$A41)</f>
        <v>7</v>
      </c>
      <c r="R41" s="23" t="str">
        <f aca="false">IF(P41&gt;0,"Sí","No")</f>
        <v>Sí</v>
      </c>
      <c r="S41" s="23" t="str">
        <f aca="false">IF(P41=0,"No cubierto",IF(P41=1,"Débil (1 tema)",IF(P41&lt;=3,"Básica (2–3)","Sólida (4+)")))</f>
        <v>Sólida (4+)</v>
      </c>
      <c r="T41" s="23" t="str">
        <f aca="false">IFERROR(INDEX($F$4:$O$4,MATCH(TRUE(),INDEX(F41:O41&gt;0,0),0)),"—")</f>
        <v>6°</v>
      </c>
    </row>
    <row r="42" customFormat="false" ht="23.85" hidden="false" customHeight="false" outlineLevel="0" collapsed="false">
      <c r="A42" s="23" t="s">
        <v>196</v>
      </c>
      <c r="B42" s="23" t="s">
        <v>185</v>
      </c>
      <c r="C42" s="23" t="s">
        <v>89</v>
      </c>
      <c r="D42" s="23" t="s">
        <v>117</v>
      </c>
      <c r="E42" s="23" t="s">
        <v>197</v>
      </c>
      <c r="F42" s="23" t="n">
        <f aca="false">COUNTIFS(Temas_TIMSS!$V$5:$V$1264,F$4,Temas_TIMSS!$K$5:$K$1264,$A42)+COUNTIFS(Temas_TIMSS!$V$5:$V$1264,F$4,Temas_TIMSS!$L$5:$L$1264,$A42)</f>
        <v>0</v>
      </c>
      <c r="G42" s="23" t="n">
        <f aca="false">COUNTIFS(Temas_TIMSS!$V$5:$V$1264,G$4,Temas_TIMSS!$K$5:$K$1264,$A42)+COUNTIFS(Temas_TIMSS!$V$5:$V$1264,G$4,Temas_TIMSS!$L$5:$L$1264,$A42)</f>
        <v>0</v>
      </c>
      <c r="H42" s="23" t="n">
        <f aca="false">COUNTIFS(Temas_TIMSS!$V$5:$V$1264,H$4,Temas_TIMSS!$K$5:$K$1264,$A42)+COUNTIFS(Temas_TIMSS!$V$5:$V$1264,H$4,Temas_TIMSS!$L$5:$L$1264,$A42)</f>
        <v>0</v>
      </c>
      <c r="I42" s="23" t="n">
        <f aca="false">COUNTIFS(Temas_TIMSS!$V$5:$V$1264,I$4,Temas_TIMSS!$K$5:$K$1264,$A42)+COUNTIFS(Temas_TIMSS!$V$5:$V$1264,I$4,Temas_TIMSS!$L$5:$L$1264,$A42)</f>
        <v>0</v>
      </c>
      <c r="J42" s="23" t="n">
        <f aca="false">COUNTIFS(Temas_TIMSS!$V$5:$V$1264,J$4,Temas_TIMSS!$K$5:$K$1264,$A42)+COUNTIFS(Temas_TIMSS!$V$5:$V$1264,J$4,Temas_TIMSS!$L$5:$L$1264,$A42)</f>
        <v>7</v>
      </c>
      <c r="K42" s="23" t="n">
        <f aca="false">COUNTIFS(Temas_TIMSS!$V$5:$V$1264,K$4,Temas_TIMSS!$K$5:$K$1264,$A42)+COUNTIFS(Temas_TIMSS!$V$5:$V$1264,K$4,Temas_TIMSS!$L$5:$L$1264,$A42)</f>
        <v>0</v>
      </c>
      <c r="L42" s="23" t="n">
        <f aca="false">COUNTIFS(Temas_TIMSS!$V$5:$V$1264,L$4,Temas_TIMSS!$K$5:$K$1264,$A42)+COUNTIFS(Temas_TIMSS!$V$5:$V$1264,L$4,Temas_TIMSS!$L$5:$L$1264,$A42)</f>
        <v>3</v>
      </c>
      <c r="M42" s="23" t="n">
        <f aca="false">COUNTIFS(Temas_TIMSS!$V$5:$V$1264,M$4,Temas_TIMSS!$K$5:$K$1264,$A42)+COUNTIFS(Temas_TIMSS!$V$5:$V$1264,M$4,Temas_TIMSS!$L$5:$L$1264,$A42)</f>
        <v>0</v>
      </c>
      <c r="N42" s="23" t="n">
        <f aca="false">COUNTIFS(Temas_TIMSS!$V$5:$V$1264,N$4,Temas_TIMSS!$K$5:$K$1264,$A42)+COUNTIFS(Temas_TIMSS!$V$5:$V$1264,N$4,Temas_TIMSS!$L$5:$L$1264,$A42)</f>
        <v>0</v>
      </c>
      <c r="O42" s="23" t="n">
        <f aca="false">COUNTIFS(Temas_TIMSS!$V$5:$V$1264,O$4,Temas_TIMSS!$K$5:$K$1264,$A42)+COUNTIFS(Temas_TIMSS!$V$5:$V$1264,O$4,Temas_TIMSS!$L$5:$L$1264,$A42)</f>
        <v>0</v>
      </c>
      <c r="P42" s="23" t="n">
        <f aca="false">IF($B42="T4",SUM(F42:H42),IF($B42="T8",SUM(I42:L42),SUM(N42:O42)))</f>
        <v>10</v>
      </c>
      <c r="Q42" s="23" t="n">
        <f aca="false">COUNTIFS(Temas_TIMSS!$K$5:$K$1264,$A42)</f>
        <v>7</v>
      </c>
      <c r="R42" s="23" t="str">
        <f aca="false">IF(P42&gt;0,"Sí","No")</f>
        <v>Sí</v>
      </c>
      <c r="S42" s="23" t="str">
        <f aca="false">IF(P42=0,"No cubierto",IF(P42=1,"Débil (1 tema)",IF(P42&lt;=3,"Básica (2–3)","Sólida (4+)")))</f>
        <v>Sólida (4+)</v>
      </c>
      <c r="T42" s="23" t="str">
        <f aca="false">IFERROR(INDEX($F$4:$O$4,MATCH(TRUE(),INDEX(F42:O42&gt;0,0),0)),"—")</f>
        <v>6°</v>
      </c>
    </row>
    <row r="43" customFormat="false" ht="23.85" hidden="false" customHeight="false" outlineLevel="0" collapsed="false">
      <c r="A43" s="23" t="s">
        <v>198</v>
      </c>
      <c r="B43" s="23" t="s">
        <v>185</v>
      </c>
      <c r="C43" s="23" t="s">
        <v>89</v>
      </c>
      <c r="D43" s="23" t="s">
        <v>117</v>
      </c>
      <c r="E43" s="23" t="s">
        <v>199</v>
      </c>
      <c r="F43" s="23" t="n">
        <f aca="false">COUNTIFS(Temas_TIMSS!$V$5:$V$1264,F$4,Temas_TIMSS!$K$5:$K$1264,$A43)+COUNTIFS(Temas_TIMSS!$V$5:$V$1264,F$4,Temas_TIMSS!$L$5:$L$1264,$A43)</f>
        <v>0</v>
      </c>
      <c r="G43" s="23" t="n">
        <f aca="false">COUNTIFS(Temas_TIMSS!$V$5:$V$1264,G$4,Temas_TIMSS!$K$5:$K$1264,$A43)+COUNTIFS(Temas_TIMSS!$V$5:$V$1264,G$4,Temas_TIMSS!$L$5:$L$1264,$A43)</f>
        <v>0</v>
      </c>
      <c r="H43" s="23" t="n">
        <f aca="false">COUNTIFS(Temas_TIMSS!$V$5:$V$1264,H$4,Temas_TIMSS!$K$5:$K$1264,$A43)+COUNTIFS(Temas_TIMSS!$V$5:$V$1264,H$4,Temas_TIMSS!$L$5:$L$1264,$A43)</f>
        <v>0</v>
      </c>
      <c r="I43" s="23" t="n">
        <f aca="false">COUNTIFS(Temas_TIMSS!$V$5:$V$1264,I$4,Temas_TIMSS!$K$5:$K$1264,$A43)+COUNTIFS(Temas_TIMSS!$V$5:$V$1264,I$4,Temas_TIMSS!$L$5:$L$1264,$A43)</f>
        <v>0</v>
      </c>
      <c r="J43" s="23" t="n">
        <f aca="false">COUNTIFS(Temas_TIMSS!$V$5:$V$1264,J$4,Temas_TIMSS!$K$5:$K$1264,$A43)+COUNTIFS(Temas_TIMSS!$V$5:$V$1264,J$4,Temas_TIMSS!$L$5:$L$1264,$A43)</f>
        <v>8</v>
      </c>
      <c r="K43" s="23" t="n">
        <f aca="false">COUNTIFS(Temas_TIMSS!$V$5:$V$1264,K$4,Temas_TIMSS!$K$5:$K$1264,$A43)+COUNTIFS(Temas_TIMSS!$V$5:$V$1264,K$4,Temas_TIMSS!$L$5:$L$1264,$A43)</f>
        <v>14</v>
      </c>
      <c r="L43" s="23" t="n">
        <f aca="false">COUNTIFS(Temas_TIMSS!$V$5:$V$1264,L$4,Temas_TIMSS!$K$5:$K$1264,$A43)+COUNTIFS(Temas_TIMSS!$V$5:$V$1264,L$4,Temas_TIMSS!$L$5:$L$1264,$A43)</f>
        <v>0</v>
      </c>
      <c r="M43" s="23" t="n">
        <f aca="false">COUNTIFS(Temas_TIMSS!$V$5:$V$1264,M$4,Temas_TIMSS!$K$5:$K$1264,$A43)+COUNTIFS(Temas_TIMSS!$V$5:$V$1264,M$4,Temas_TIMSS!$L$5:$L$1264,$A43)</f>
        <v>0</v>
      </c>
      <c r="N43" s="23" t="n">
        <f aca="false">COUNTIFS(Temas_TIMSS!$V$5:$V$1264,N$4,Temas_TIMSS!$K$5:$K$1264,$A43)+COUNTIFS(Temas_TIMSS!$V$5:$V$1264,N$4,Temas_TIMSS!$L$5:$L$1264,$A43)</f>
        <v>0</v>
      </c>
      <c r="O43" s="23" t="n">
        <f aca="false">COUNTIFS(Temas_TIMSS!$V$5:$V$1264,O$4,Temas_TIMSS!$K$5:$K$1264,$A43)+COUNTIFS(Temas_TIMSS!$V$5:$V$1264,O$4,Temas_TIMSS!$L$5:$L$1264,$A43)</f>
        <v>0</v>
      </c>
      <c r="P43" s="23" t="n">
        <f aca="false">IF($B43="T4",SUM(F43:H43),IF($B43="T8",SUM(I43:L43),SUM(N43:O43)))</f>
        <v>22</v>
      </c>
      <c r="Q43" s="23" t="n">
        <f aca="false">COUNTIFS(Temas_TIMSS!$K$5:$K$1264,$A43)</f>
        <v>20</v>
      </c>
      <c r="R43" s="23" t="str">
        <f aca="false">IF(P43&gt;0,"Sí","No")</f>
        <v>Sí</v>
      </c>
      <c r="S43" s="23" t="str">
        <f aca="false">IF(P43=0,"No cubierto",IF(P43=1,"Débil (1 tema)",IF(P43&lt;=3,"Básica (2–3)","Sólida (4+)")))</f>
        <v>Sólida (4+)</v>
      </c>
      <c r="T43" s="23" t="str">
        <f aca="false">IFERROR(INDEX($F$4:$O$4,MATCH(TRUE(),INDEX(F43:O43&gt;0,0),0)),"—")</f>
        <v>6°</v>
      </c>
    </row>
    <row r="44" customFormat="false" ht="23.85" hidden="false" customHeight="false" outlineLevel="0" collapsed="false">
      <c r="A44" s="23" t="s">
        <v>200</v>
      </c>
      <c r="B44" s="23" t="s">
        <v>185</v>
      </c>
      <c r="C44" s="23" t="s">
        <v>89</v>
      </c>
      <c r="D44" s="23" t="s">
        <v>201</v>
      </c>
      <c r="E44" s="23" t="s">
        <v>202</v>
      </c>
      <c r="F44" s="23" t="n">
        <f aca="false">COUNTIFS(Temas_TIMSS!$V$5:$V$1264,F$4,Temas_TIMSS!$K$5:$K$1264,$A44)+COUNTIFS(Temas_TIMSS!$V$5:$V$1264,F$4,Temas_TIMSS!$L$5:$L$1264,$A44)</f>
        <v>0</v>
      </c>
      <c r="G44" s="23" t="n">
        <f aca="false">COUNTIFS(Temas_TIMSS!$V$5:$V$1264,G$4,Temas_TIMSS!$K$5:$K$1264,$A44)+COUNTIFS(Temas_TIMSS!$V$5:$V$1264,G$4,Temas_TIMSS!$L$5:$L$1264,$A44)</f>
        <v>0</v>
      </c>
      <c r="H44" s="23" t="n">
        <f aca="false">COUNTIFS(Temas_TIMSS!$V$5:$V$1264,H$4,Temas_TIMSS!$K$5:$K$1264,$A44)+COUNTIFS(Temas_TIMSS!$V$5:$V$1264,H$4,Temas_TIMSS!$L$5:$L$1264,$A44)</f>
        <v>0</v>
      </c>
      <c r="I44" s="23" t="n">
        <f aca="false">COUNTIFS(Temas_TIMSS!$V$5:$V$1264,I$4,Temas_TIMSS!$K$5:$K$1264,$A44)+COUNTIFS(Temas_TIMSS!$V$5:$V$1264,I$4,Temas_TIMSS!$L$5:$L$1264,$A44)</f>
        <v>1</v>
      </c>
      <c r="J44" s="23" t="n">
        <f aca="false">COUNTIFS(Temas_TIMSS!$V$5:$V$1264,J$4,Temas_TIMSS!$K$5:$K$1264,$A44)+COUNTIFS(Temas_TIMSS!$V$5:$V$1264,J$4,Temas_TIMSS!$L$5:$L$1264,$A44)</f>
        <v>0</v>
      </c>
      <c r="K44" s="23" t="n">
        <f aca="false">COUNTIFS(Temas_TIMSS!$V$5:$V$1264,K$4,Temas_TIMSS!$K$5:$K$1264,$A44)+COUNTIFS(Temas_TIMSS!$V$5:$V$1264,K$4,Temas_TIMSS!$L$5:$L$1264,$A44)</f>
        <v>7</v>
      </c>
      <c r="L44" s="23" t="n">
        <f aca="false">COUNTIFS(Temas_TIMSS!$V$5:$V$1264,L$4,Temas_TIMSS!$K$5:$K$1264,$A44)+COUNTIFS(Temas_TIMSS!$V$5:$V$1264,L$4,Temas_TIMSS!$L$5:$L$1264,$A44)</f>
        <v>0</v>
      </c>
      <c r="M44" s="23" t="n">
        <f aca="false">COUNTIFS(Temas_TIMSS!$V$5:$V$1264,M$4,Temas_TIMSS!$K$5:$K$1264,$A44)+COUNTIFS(Temas_TIMSS!$V$5:$V$1264,M$4,Temas_TIMSS!$L$5:$L$1264,$A44)</f>
        <v>0</v>
      </c>
      <c r="N44" s="23" t="n">
        <f aca="false">COUNTIFS(Temas_TIMSS!$V$5:$V$1264,N$4,Temas_TIMSS!$K$5:$K$1264,$A44)+COUNTIFS(Temas_TIMSS!$V$5:$V$1264,N$4,Temas_TIMSS!$L$5:$L$1264,$A44)</f>
        <v>0</v>
      </c>
      <c r="O44" s="23" t="n">
        <f aca="false">COUNTIFS(Temas_TIMSS!$V$5:$V$1264,O$4,Temas_TIMSS!$K$5:$K$1264,$A44)+COUNTIFS(Temas_TIMSS!$V$5:$V$1264,O$4,Temas_TIMSS!$L$5:$L$1264,$A44)</f>
        <v>0</v>
      </c>
      <c r="P44" s="23" t="n">
        <f aca="false">IF($B44="T4",SUM(F44:H44),IF($B44="T8",SUM(I44:L44),SUM(N44:O44)))</f>
        <v>8</v>
      </c>
      <c r="Q44" s="23" t="n">
        <f aca="false">COUNTIFS(Temas_TIMSS!$K$5:$K$1264,$A44)</f>
        <v>6</v>
      </c>
      <c r="R44" s="23" t="str">
        <f aca="false">IF(P44&gt;0,"Sí","No")</f>
        <v>Sí</v>
      </c>
      <c r="S44" s="23" t="str">
        <f aca="false">IF(P44=0,"No cubierto",IF(P44=1,"Débil (1 tema)",IF(P44&lt;=3,"Básica (2–3)","Sólida (4+)")))</f>
        <v>Sólida (4+)</v>
      </c>
      <c r="T44" s="23" t="str">
        <f aca="false">IFERROR(INDEX($F$4:$O$4,MATCH(TRUE(),INDEX(F44:O44&gt;0,0),0)),"—")</f>
        <v>5°</v>
      </c>
    </row>
    <row r="45" customFormat="false" ht="23.85" hidden="false" customHeight="false" outlineLevel="0" collapsed="false">
      <c r="A45" s="23" t="s">
        <v>203</v>
      </c>
      <c r="B45" s="23" t="s">
        <v>185</v>
      </c>
      <c r="C45" s="23" t="s">
        <v>89</v>
      </c>
      <c r="D45" s="23" t="s">
        <v>201</v>
      </c>
      <c r="E45" s="23" t="s">
        <v>204</v>
      </c>
      <c r="F45" s="23" t="n">
        <f aca="false">COUNTIFS(Temas_TIMSS!$V$5:$V$1264,F$4,Temas_TIMSS!$K$5:$K$1264,$A45)+COUNTIFS(Temas_TIMSS!$V$5:$V$1264,F$4,Temas_TIMSS!$L$5:$L$1264,$A45)</f>
        <v>0</v>
      </c>
      <c r="G45" s="23" t="n">
        <f aca="false">COUNTIFS(Temas_TIMSS!$V$5:$V$1264,G$4,Temas_TIMSS!$K$5:$K$1264,$A45)+COUNTIFS(Temas_TIMSS!$V$5:$V$1264,G$4,Temas_TIMSS!$L$5:$L$1264,$A45)</f>
        <v>0</v>
      </c>
      <c r="H45" s="23" t="n">
        <f aca="false">COUNTIFS(Temas_TIMSS!$V$5:$V$1264,H$4,Temas_TIMSS!$K$5:$K$1264,$A45)+COUNTIFS(Temas_TIMSS!$V$5:$V$1264,H$4,Temas_TIMSS!$L$5:$L$1264,$A45)</f>
        <v>0</v>
      </c>
      <c r="I45" s="23" t="n">
        <f aca="false">COUNTIFS(Temas_TIMSS!$V$5:$V$1264,I$4,Temas_TIMSS!$K$5:$K$1264,$A45)+COUNTIFS(Temas_TIMSS!$V$5:$V$1264,I$4,Temas_TIMSS!$L$5:$L$1264,$A45)</f>
        <v>5</v>
      </c>
      <c r="J45" s="23" t="n">
        <f aca="false">COUNTIFS(Temas_TIMSS!$V$5:$V$1264,J$4,Temas_TIMSS!$K$5:$K$1264,$A45)+COUNTIFS(Temas_TIMSS!$V$5:$V$1264,J$4,Temas_TIMSS!$L$5:$L$1264,$A45)</f>
        <v>0</v>
      </c>
      <c r="K45" s="23" t="n">
        <f aca="false">COUNTIFS(Temas_TIMSS!$V$5:$V$1264,K$4,Temas_TIMSS!$K$5:$K$1264,$A45)+COUNTIFS(Temas_TIMSS!$V$5:$V$1264,K$4,Temas_TIMSS!$L$5:$L$1264,$A45)</f>
        <v>2</v>
      </c>
      <c r="L45" s="23" t="n">
        <f aca="false">COUNTIFS(Temas_TIMSS!$V$5:$V$1264,L$4,Temas_TIMSS!$K$5:$K$1264,$A45)+COUNTIFS(Temas_TIMSS!$V$5:$V$1264,L$4,Temas_TIMSS!$L$5:$L$1264,$A45)</f>
        <v>0</v>
      </c>
      <c r="M45" s="23" t="n">
        <f aca="false">COUNTIFS(Temas_TIMSS!$V$5:$V$1264,M$4,Temas_TIMSS!$K$5:$K$1264,$A45)+COUNTIFS(Temas_TIMSS!$V$5:$V$1264,M$4,Temas_TIMSS!$L$5:$L$1264,$A45)</f>
        <v>0</v>
      </c>
      <c r="N45" s="23" t="n">
        <f aca="false">COUNTIFS(Temas_TIMSS!$V$5:$V$1264,N$4,Temas_TIMSS!$K$5:$K$1264,$A45)+COUNTIFS(Temas_TIMSS!$V$5:$V$1264,N$4,Temas_TIMSS!$L$5:$L$1264,$A45)</f>
        <v>0</v>
      </c>
      <c r="O45" s="23" t="n">
        <f aca="false">COUNTIFS(Temas_TIMSS!$V$5:$V$1264,O$4,Temas_TIMSS!$K$5:$K$1264,$A45)+COUNTIFS(Temas_TIMSS!$V$5:$V$1264,O$4,Temas_TIMSS!$L$5:$L$1264,$A45)</f>
        <v>0</v>
      </c>
      <c r="P45" s="23" t="n">
        <f aca="false">IF($B45="T4",SUM(F45:H45),IF($B45="T8",SUM(I45:L45),SUM(N45:O45)))</f>
        <v>7</v>
      </c>
      <c r="Q45" s="23" t="n">
        <f aca="false">COUNTIFS(Temas_TIMSS!$K$5:$K$1264,$A45)</f>
        <v>0</v>
      </c>
      <c r="R45" s="23" t="str">
        <f aca="false">IF(P45&gt;0,"Sí","No")</f>
        <v>Sí</v>
      </c>
      <c r="S45" s="23" t="str">
        <f aca="false">IF(P45=0,"No cubierto",IF(P45=1,"Débil (1 tema)",IF(P45&lt;=3,"Básica (2–3)","Sólida (4+)")))</f>
        <v>Sólida (4+)</v>
      </c>
      <c r="T45" s="23" t="str">
        <f aca="false">IFERROR(INDEX($F$4:$O$4,MATCH(TRUE(),INDEX(F45:O45&gt;0,0),0)),"—")</f>
        <v>5°</v>
      </c>
    </row>
    <row r="46" customFormat="false" ht="23.85" hidden="false" customHeight="false" outlineLevel="0" collapsed="false">
      <c r="A46" s="23" t="s">
        <v>205</v>
      </c>
      <c r="B46" s="23" t="s">
        <v>185</v>
      </c>
      <c r="C46" s="23" t="s">
        <v>89</v>
      </c>
      <c r="D46" s="23" t="s">
        <v>129</v>
      </c>
      <c r="E46" s="23" t="s">
        <v>206</v>
      </c>
      <c r="F46" s="23" t="n">
        <f aca="false">COUNTIFS(Temas_TIMSS!$V$5:$V$1264,F$4,Temas_TIMSS!$K$5:$K$1264,$A46)+COUNTIFS(Temas_TIMSS!$V$5:$V$1264,F$4,Temas_TIMSS!$L$5:$L$1264,$A46)</f>
        <v>0</v>
      </c>
      <c r="G46" s="23" t="n">
        <f aca="false">COUNTIFS(Temas_TIMSS!$V$5:$V$1264,G$4,Temas_TIMSS!$K$5:$K$1264,$A46)+COUNTIFS(Temas_TIMSS!$V$5:$V$1264,G$4,Temas_TIMSS!$L$5:$L$1264,$A46)</f>
        <v>0</v>
      </c>
      <c r="H46" s="23" t="n">
        <f aca="false">COUNTIFS(Temas_TIMSS!$V$5:$V$1264,H$4,Temas_TIMSS!$K$5:$K$1264,$A46)+COUNTIFS(Temas_TIMSS!$V$5:$V$1264,H$4,Temas_TIMSS!$L$5:$L$1264,$A46)</f>
        <v>0</v>
      </c>
      <c r="I46" s="23" t="n">
        <f aca="false">COUNTIFS(Temas_TIMSS!$V$5:$V$1264,I$4,Temas_TIMSS!$K$5:$K$1264,$A46)+COUNTIFS(Temas_TIMSS!$V$5:$V$1264,I$4,Temas_TIMSS!$L$5:$L$1264,$A46)</f>
        <v>0</v>
      </c>
      <c r="J46" s="23" t="n">
        <f aca="false">COUNTIFS(Temas_TIMSS!$V$5:$V$1264,J$4,Temas_TIMSS!$K$5:$K$1264,$A46)+COUNTIFS(Temas_TIMSS!$V$5:$V$1264,J$4,Temas_TIMSS!$L$5:$L$1264,$A46)</f>
        <v>0</v>
      </c>
      <c r="K46" s="23" t="n">
        <f aca="false">COUNTIFS(Temas_TIMSS!$V$5:$V$1264,K$4,Temas_TIMSS!$K$5:$K$1264,$A46)+COUNTIFS(Temas_TIMSS!$V$5:$V$1264,K$4,Temas_TIMSS!$L$5:$L$1264,$A46)</f>
        <v>2</v>
      </c>
      <c r="L46" s="23" t="n">
        <f aca="false">COUNTIFS(Temas_TIMSS!$V$5:$V$1264,L$4,Temas_TIMSS!$K$5:$K$1264,$A46)+COUNTIFS(Temas_TIMSS!$V$5:$V$1264,L$4,Temas_TIMSS!$L$5:$L$1264,$A46)</f>
        <v>0</v>
      </c>
      <c r="M46" s="23" t="n">
        <f aca="false">COUNTIFS(Temas_TIMSS!$V$5:$V$1264,M$4,Temas_TIMSS!$K$5:$K$1264,$A46)+COUNTIFS(Temas_TIMSS!$V$5:$V$1264,M$4,Temas_TIMSS!$L$5:$L$1264,$A46)</f>
        <v>2</v>
      </c>
      <c r="N46" s="23" t="n">
        <f aca="false">COUNTIFS(Temas_TIMSS!$V$5:$V$1264,N$4,Temas_TIMSS!$K$5:$K$1264,$A46)+COUNTIFS(Temas_TIMSS!$V$5:$V$1264,N$4,Temas_TIMSS!$L$5:$L$1264,$A46)</f>
        <v>0</v>
      </c>
      <c r="O46" s="23" t="n">
        <f aca="false">COUNTIFS(Temas_TIMSS!$V$5:$V$1264,O$4,Temas_TIMSS!$K$5:$K$1264,$A46)+COUNTIFS(Temas_TIMSS!$V$5:$V$1264,O$4,Temas_TIMSS!$L$5:$L$1264,$A46)</f>
        <v>0</v>
      </c>
      <c r="P46" s="23" t="n">
        <f aca="false">IF($B46="T4",SUM(F46:H46),IF($B46="T8",SUM(I46:L46),SUM(N46:O46)))</f>
        <v>2</v>
      </c>
      <c r="Q46" s="23" t="n">
        <f aca="false">COUNTIFS(Temas_TIMSS!$K$5:$K$1264,$A46)</f>
        <v>3</v>
      </c>
      <c r="R46" s="23" t="str">
        <f aca="false">IF(P46&gt;0,"Sí","No")</f>
        <v>Sí</v>
      </c>
      <c r="S46" s="23" t="str">
        <f aca="false">IF(P46=0,"No cubierto",IF(P46=1,"Débil (1 tema)",IF(P46&lt;=3,"Básica (2–3)","Sólida (4+)")))</f>
        <v>Básica (2–3)</v>
      </c>
      <c r="T46" s="23" t="str">
        <f aca="false">IFERROR(INDEX($F$4:$O$4,MATCH(TRUE(),INDEX(F46:O46&gt;0,0),0)),"—")</f>
        <v>7°</v>
      </c>
    </row>
    <row r="47" customFormat="false" ht="15" hidden="false" customHeight="false" outlineLevel="0" collapsed="false">
      <c r="A47" s="23" t="s">
        <v>207</v>
      </c>
      <c r="B47" s="23" t="s">
        <v>185</v>
      </c>
      <c r="C47" s="23" t="s">
        <v>89</v>
      </c>
      <c r="D47" s="23" t="s">
        <v>129</v>
      </c>
      <c r="E47" s="23" t="s">
        <v>208</v>
      </c>
      <c r="F47" s="23" t="n">
        <f aca="false">COUNTIFS(Temas_TIMSS!$V$5:$V$1264,F$4,Temas_TIMSS!$K$5:$K$1264,$A47)+COUNTIFS(Temas_TIMSS!$V$5:$V$1264,F$4,Temas_TIMSS!$L$5:$L$1264,$A47)</f>
        <v>0</v>
      </c>
      <c r="G47" s="23" t="n">
        <f aca="false">COUNTIFS(Temas_TIMSS!$V$5:$V$1264,G$4,Temas_TIMSS!$K$5:$K$1264,$A47)+COUNTIFS(Temas_TIMSS!$V$5:$V$1264,G$4,Temas_TIMSS!$L$5:$L$1264,$A47)</f>
        <v>0</v>
      </c>
      <c r="H47" s="23" t="n">
        <f aca="false">COUNTIFS(Temas_TIMSS!$V$5:$V$1264,H$4,Temas_TIMSS!$K$5:$K$1264,$A47)+COUNTIFS(Temas_TIMSS!$V$5:$V$1264,H$4,Temas_TIMSS!$L$5:$L$1264,$A47)</f>
        <v>0</v>
      </c>
      <c r="I47" s="23" t="n">
        <f aca="false">COUNTIFS(Temas_TIMSS!$V$5:$V$1264,I$4,Temas_TIMSS!$K$5:$K$1264,$A47)+COUNTIFS(Temas_TIMSS!$V$5:$V$1264,I$4,Temas_TIMSS!$L$5:$L$1264,$A47)</f>
        <v>0</v>
      </c>
      <c r="J47" s="23" t="n">
        <f aca="false">COUNTIFS(Temas_TIMSS!$V$5:$V$1264,J$4,Temas_TIMSS!$K$5:$K$1264,$A47)+COUNTIFS(Temas_TIMSS!$V$5:$V$1264,J$4,Temas_TIMSS!$L$5:$L$1264,$A47)</f>
        <v>0</v>
      </c>
      <c r="K47" s="23" t="n">
        <f aca="false">COUNTIFS(Temas_TIMSS!$V$5:$V$1264,K$4,Temas_TIMSS!$K$5:$K$1264,$A47)+COUNTIFS(Temas_TIMSS!$V$5:$V$1264,K$4,Temas_TIMSS!$L$5:$L$1264,$A47)</f>
        <v>1</v>
      </c>
      <c r="L47" s="23" t="n">
        <f aca="false">COUNTIFS(Temas_TIMSS!$V$5:$V$1264,L$4,Temas_TIMSS!$K$5:$K$1264,$A47)+COUNTIFS(Temas_TIMSS!$V$5:$V$1264,L$4,Temas_TIMSS!$L$5:$L$1264,$A47)</f>
        <v>0</v>
      </c>
      <c r="M47" s="23" t="n">
        <f aca="false">COUNTIFS(Temas_TIMSS!$V$5:$V$1264,M$4,Temas_TIMSS!$K$5:$K$1264,$A47)+COUNTIFS(Temas_TIMSS!$V$5:$V$1264,M$4,Temas_TIMSS!$L$5:$L$1264,$A47)</f>
        <v>0</v>
      </c>
      <c r="N47" s="23" t="n">
        <f aca="false">COUNTIFS(Temas_TIMSS!$V$5:$V$1264,N$4,Temas_TIMSS!$K$5:$K$1264,$A47)+COUNTIFS(Temas_TIMSS!$V$5:$V$1264,N$4,Temas_TIMSS!$L$5:$L$1264,$A47)</f>
        <v>0</v>
      </c>
      <c r="O47" s="23" t="n">
        <f aca="false">COUNTIFS(Temas_TIMSS!$V$5:$V$1264,O$4,Temas_TIMSS!$K$5:$K$1264,$A47)+COUNTIFS(Temas_TIMSS!$V$5:$V$1264,O$4,Temas_TIMSS!$L$5:$L$1264,$A47)</f>
        <v>0</v>
      </c>
      <c r="P47" s="23" t="n">
        <f aca="false">IF($B47="T4",SUM(F47:H47),IF($B47="T8",SUM(I47:L47),SUM(N47:O47)))</f>
        <v>1</v>
      </c>
      <c r="Q47" s="23" t="n">
        <f aca="false">COUNTIFS(Temas_TIMSS!$K$5:$K$1264,$A47)</f>
        <v>0</v>
      </c>
      <c r="R47" s="23" t="str">
        <f aca="false">IF(P47&gt;0,"Sí","No")</f>
        <v>Sí</v>
      </c>
      <c r="S47" s="23" t="str">
        <f aca="false">IF(P47=0,"No cubierto",IF(P47=1,"Débil (1 tema)",IF(P47&lt;=3,"Básica (2–3)","Sólida (4+)")))</f>
        <v>Débil (1 tema)</v>
      </c>
      <c r="T47" s="23" t="str">
        <f aca="false">IFERROR(INDEX($F$4:$O$4,MATCH(TRUE(),INDEX(F47:O47&gt;0,0),0)),"—")</f>
        <v>7°</v>
      </c>
    </row>
    <row r="48" customFormat="false" ht="23.85" hidden="false" customHeight="false" outlineLevel="0" collapsed="false">
      <c r="A48" s="23" t="s">
        <v>209</v>
      </c>
      <c r="B48" s="23" t="s">
        <v>185</v>
      </c>
      <c r="C48" s="23" t="s">
        <v>89</v>
      </c>
      <c r="D48" s="23" t="s">
        <v>129</v>
      </c>
      <c r="E48" s="23" t="s">
        <v>210</v>
      </c>
      <c r="F48" s="23" t="n">
        <f aca="false">COUNTIFS(Temas_TIMSS!$V$5:$V$1264,F$4,Temas_TIMSS!$K$5:$K$1264,$A48)+COUNTIFS(Temas_TIMSS!$V$5:$V$1264,F$4,Temas_TIMSS!$L$5:$L$1264,$A48)</f>
        <v>0</v>
      </c>
      <c r="G48" s="23" t="n">
        <f aca="false">COUNTIFS(Temas_TIMSS!$V$5:$V$1264,G$4,Temas_TIMSS!$K$5:$K$1264,$A48)+COUNTIFS(Temas_TIMSS!$V$5:$V$1264,G$4,Temas_TIMSS!$L$5:$L$1264,$A48)</f>
        <v>0</v>
      </c>
      <c r="H48" s="23" t="n">
        <f aca="false">COUNTIFS(Temas_TIMSS!$V$5:$V$1264,H$4,Temas_TIMSS!$K$5:$K$1264,$A48)+COUNTIFS(Temas_TIMSS!$V$5:$V$1264,H$4,Temas_TIMSS!$L$5:$L$1264,$A48)</f>
        <v>0</v>
      </c>
      <c r="I48" s="23" t="n">
        <f aca="false">COUNTIFS(Temas_TIMSS!$V$5:$V$1264,I$4,Temas_TIMSS!$K$5:$K$1264,$A48)+COUNTIFS(Temas_TIMSS!$V$5:$V$1264,I$4,Temas_TIMSS!$L$5:$L$1264,$A48)</f>
        <v>0</v>
      </c>
      <c r="J48" s="23" t="n">
        <f aca="false">COUNTIFS(Temas_TIMSS!$V$5:$V$1264,J$4,Temas_TIMSS!$K$5:$K$1264,$A48)+COUNTIFS(Temas_TIMSS!$V$5:$V$1264,J$4,Temas_TIMSS!$L$5:$L$1264,$A48)</f>
        <v>0</v>
      </c>
      <c r="K48" s="23" t="n">
        <f aca="false">COUNTIFS(Temas_TIMSS!$V$5:$V$1264,K$4,Temas_TIMSS!$K$5:$K$1264,$A48)+COUNTIFS(Temas_TIMSS!$V$5:$V$1264,K$4,Temas_TIMSS!$L$5:$L$1264,$A48)</f>
        <v>3</v>
      </c>
      <c r="L48" s="23" t="n">
        <f aca="false">COUNTIFS(Temas_TIMSS!$V$5:$V$1264,L$4,Temas_TIMSS!$K$5:$K$1264,$A48)+COUNTIFS(Temas_TIMSS!$V$5:$V$1264,L$4,Temas_TIMSS!$L$5:$L$1264,$A48)</f>
        <v>0</v>
      </c>
      <c r="M48" s="23" t="n">
        <f aca="false">COUNTIFS(Temas_TIMSS!$V$5:$V$1264,M$4,Temas_TIMSS!$K$5:$K$1264,$A48)+COUNTIFS(Temas_TIMSS!$V$5:$V$1264,M$4,Temas_TIMSS!$L$5:$L$1264,$A48)</f>
        <v>1</v>
      </c>
      <c r="N48" s="23" t="n">
        <f aca="false">COUNTIFS(Temas_TIMSS!$V$5:$V$1264,N$4,Temas_TIMSS!$K$5:$K$1264,$A48)+COUNTIFS(Temas_TIMSS!$V$5:$V$1264,N$4,Temas_TIMSS!$L$5:$L$1264,$A48)</f>
        <v>0</v>
      </c>
      <c r="O48" s="23" t="n">
        <f aca="false">COUNTIFS(Temas_TIMSS!$V$5:$V$1264,O$4,Temas_TIMSS!$K$5:$K$1264,$A48)+COUNTIFS(Temas_TIMSS!$V$5:$V$1264,O$4,Temas_TIMSS!$L$5:$L$1264,$A48)</f>
        <v>0</v>
      </c>
      <c r="P48" s="23" t="n">
        <f aca="false">IF($B48="T4",SUM(F48:H48),IF($B48="T8",SUM(I48:L48),SUM(N48:O48)))</f>
        <v>3</v>
      </c>
      <c r="Q48" s="23" t="n">
        <f aca="false">COUNTIFS(Temas_TIMSS!$K$5:$K$1264,$A48)</f>
        <v>3</v>
      </c>
      <c r="R48" s="23" t="str">
        <f aca="false">IF(P48&gt;0,"Sí","No")</f>
        <v>Sí</v>
      </c>
      <c r="S48" s="23" t="str">
        <f aca="false">IF(P48=0,"No cubierto",IF(P48=1,"Débil (1 tema)",IF(P48&lt;=3,"Básica (2–3)","Sólida (4+)")))</f>
        <v>Básica (2–3)</v>
      </c>
      <c r="T48" s="23" t="str">
        <f aca="false">IFERROR(INDEX($F$4:$O$4,MATCH(TRUE(),INDEX(F48:O48&gt;0,0),0)),"—")</f>
        <v>7°</v>
      </c>
    </row>
    <row r="49" customFormat="false" ht="23.85" hidden="false" customHeight="false" outlineLevel="0" collapsed="false">
      <c r="A49" s="23" t="s">
        <v>211</v>
      </c>
      <c r="B49" s="23" t="s">
        <v>185</v>
      </c>
      <c r="C49" s="23" t="s">
        <v>89</v>
      </c>
      <c r="D49" s="23" t="s">
        <v>129</v>
      </c>
      <c r="E49" s="23" t="s">
        <v>212</v>
      </c>
      <c r="F49" s="23" t="n">
        <f aca="false">COUNTIFS(Temas_TIMSS!$V$5:$V$1264,F$4,Temas_TIMSS!$K$5:$K$1264,$A49)+COUNTIFS(Temas_TIMSS!$V$5:$V$1264,F$4,Temas_TIMSS!$L$5:$L$1264,$A49)</f>
        <v>0</v>
      </c>
      <c r="G49" s="23" t="n">
        <f aca="false">COUNTIFS(Temas_TIMSS!$V$5:$V$1264,G$4,Temas_TIMSS!$K$5:$K$1264,$A49)+COUNTIFS(Temas_TIMSS!$V$5:$V$1264,G$4,Temas_TIMSS!$L$5:$L$1264,$A49)</f>
        <v>0</v>
      </c>
      <c r="H49" s="23" t="n">
        <f aca="false">COUNTIFS(Temas_TIMSS!$V$5:$V$1264,H$4,Temas_TIMSS!$K$5:$K$1264,$A49)+COUNTIFS(Temas_TIMSS!$V$5:$V$1264,H$4,Temas_TIMSS!$L$5:$L$1264,$A49)</f>
        <v>0</v>
      </c>
      <c r="I49" s="23" t="n">
        <f aca="false">COUNTIFS(Temas_TIMSS!$V$5:$V$1264,I$4,Temas_TIMSS!$K$5:$K$1264,$A49)+COUNTIFS(Temas_TIMSS!$V$5:$V$1264,I$4,Temas_TIMSS!$L$5:$L$1264,$A49)</f>
        <v>0</v>
      </c>
      <c r="J49" s="23" t="n">
        <f aca="false">COUNTIFS(Temas_TIMSS!$V$5:$V$1264,J$4,Temas_TIMSS!$K$5:$K$1264,$A49)+COUNTIFS(Temas_TIMSS!$V$5:$V$1264,J$4,Temas_TIMSS!$L$5:$L$1264,$A49)</f>
        <v>1</v>
      </c>
      <c r="K49" s="23" t="n">
        <f aca="false">COUNTIFS(Temas_TIMSS!$V$5:$V$1264,K$4,Temas_TIMSS!$K$5:$K$1264,$A49)+COUNTIFS(Temas_TIMSS!$V$5:$V$1264,K$4,Temas_TIMSS!$L$5:$L$1264,$A49)</f>
        <v>7</v>
      </c>
      <c r="L49" s="23" t="n">
        <f aca="false">COUNTIFS(Temas_TIMSS!$V$5:$V$1264,L$4,Temas_TIMSS!$K$5:$K$1264,$A49)+COUNTIFS(Temas_TIMSS!$V$5:$V$1264,L$4,Temas_TIMSS!$L$5:$L$1264,$A49)</f>
        <v>0</v>
      </c>
      <c r="M49" s="23" t="n">
        <f aca="false">COUNTIFS(Temas_TIMSS!$V$5:$V$1264,M$4,Temas_TIMSS!$K$5:$K$1264,$A49)+COUNTIFS(Temas_TIMSS!$V$5:$V$1264,M$4,Temas_TIMSS!$L$5:$L$1264,$A49)</f>
        <v>1</v>
      </c>
      <c r="N49" s="23" t="n">
        <f aca="false">COUNTIFS(Temas_TIMSS!$V$5:$V$1264,N$4,Temas_TIMSS!$K$5:$K$1264,$A49)+COUNTIFS(Temas_TIMSS!$V$5:$V$1264,N$4,Temas_TIMSS!$L$5:$L$1264,$A49)</f>
        <v>0</v>
      </c>
      <c r="O49" s="23" t="n">
        <f aca="false">COUNTIFS(Temas_TIMSS!$V$5:$V$1264,O$4,Temas_TIMSS!$K$5:$K$1264,$A49)+COUNTIFS(Temas_TIMSS!$V$5:$V$1264,O$4,Temas_TIMSS!$L$5:$L$1264,$A49)</f>
        <v>0</v>
      </c>
      <c r="P49" s="23" t="n">
        <f aca="false">IF($B49="T4",SUM(F49:H49),IF($B49="T8",SUM(I49:L49),SUM(N49:O49)))</f>
        <v>8</v>
      </c>
      <c r="Q49" s="23" t="n">
        <f aca="false">COUNTIFS(Temas_TIMSS!$K$5:$K$1264,$A49)</f>
        <v>9</v>
      </c>
      <c r="R49" s="23" t="str">
        <f aca="false">IF(P49&gt;0,"Sí","No")</f>
        <v>Sí</v>
      </c>
      <c r="S49" s="23" t="str">
        <f aca="false">IF(P49=0,"No cubierto",IF(P49=1,"Débil (1 tema)",IF(P49&lt;=3,"Básica (2–3)","Sólida (4+)")))</f>
        <v>Sólida (4+)</v>
      </c>
      <c r="T49" s="23" t="str">
        <f aca="false">IFERROR(INDEX($F$4:$O$4,MATCH(TRUE(),INDEX(F49:O49&gt;0,0),0)),"—")</f>
        <v>6°</v>
      </c>
    </row>
    <row r="50" customFormat="false" ht="15" hidden="false" customHeight="false" outlineLevel="0" collapsed="false">
      <c r="A50" s="23" t="s">
        <v>213</v>
      </c>
      <c r="B50" s="23" t="s">
        <v>185</v>
      </c>
      <c r="C50" s="23" t="s">
        <v>89</v>
      </c>
      <c r="D50" s="23" t="s">
        <v>129</v>
      </c>
      <c r="E50" s="23" t="s">
        <v>214</v>
      </c>
      <c r="F50" s="23" t="n">
        <f aca="false">COUNTIFS(Temas_TIMSS!$V$5:$V$1264,F$4,Temas_TIMSS!$K$5:$K$1264,$A50)+COUNTIFS(Temas_TIMSS!$V$5:$V$1264,F$4,Temas_TIMSS!$L$5:$L$1264,$A50)</f>
        <v>0</v>
      </c>
      <c r="G50" s="23" t="n">
        <f aca="false">COUNTIFS(Temas_TIMSS!$V$5:$V$1264,G$4,Temas_TIMSS!$K$5:$K$1264,$A50)+COUNTIFS(Temas_TIMSS!$V$5:$V$1264,G$4,Temas_TIMSS!$L$5:$L$1264,$A50)</f>
        <v>0</v>
      </c>
      <c r="H50" s="23" t="n">
        <f aca="false">COUNTIFS(Temas_TIMSS!$V$5:$V$1264,H$4,Temas_TIMSS!$K$5:$K$1264,$A50)+COUNTIFS(Temas_TIMSS!$V$5:$V$1264,H$4,Temas_TIMSS!$L$5:$L$1264,$A50)</f>
        <v>0</v>
      </c>
      <c r="I50" s="23" t="n">
        <f aca="false">COUNTIFS(Temas_TIMSS!$V$5:$V$1264,I$4,Temas_TIMSS!$K$5:$K$1264,$A50)+COUNTIFS(Temas_TIMSS!$V$5:$V$1264,I$4,Temas_TIMSS!$L$5:$L$1264,$A50)</f>
        <v>2</v>
      </c>
      <c r="J50" s="23" t="n">
        <f aca="false">COUNTIFS(Temas_TIMSS!$V$5:$V$1264,J$4,Temas_TIMSS!$K$5:$K$1264,$A50)+COUNTIFS(Temas_TIMSS!$V$5:$V$1264,J$4,Temas_TIMSS!$L$5:$L$1264,$A50)</f>
        <v>0</v>
      </c>
      <c r="K50" s="23" t="n">
        <f aca="false">COUNTIFS(Temas_TIMSS!$V$5:$V$1264,K$4,Temas_TIMSS!$K$5:$K$1264,$A50)+COUNTIFS(Temas_TIMSS!$V$5:$V$1264,K$4,Temas_TIMSS!$L$5:$L$1264,$A50)</f>
        <v>12</v>
      </c>
      <c r="L50" s="23" t="n">
        <f aca="false">COUNTIFS(Temas_TIMSS!$V$5:$V$1264,L$4,Temas_TIMSS!$K$5:$K$1264,$A50)+COUNTIFS(Temas_TIMSS!$V$5:$V$1264,L$4,Temas_TIMSS!$L$5:$L$1264,$A50)</f>
        <v>1</v>
      </c>
      <c r="M50" s="23" t="n">
        <f aca="false">COUNTIFS(Temas_TIMSS!$V$5:$V$1264,M$4,Temas_TIMSS!$K$5:$K$1264,$A50)+COUNTIFS(Temas_TIMSS!$V$5:$V$1264,M$4,Temas_TIMSS!$L$5:$L$1264,$A50)</f>
        <v>1</v>
      </c>
      <c r="N50" s="23" t="n">
        <f aca="false">COUNTIFS(Temas_TIMSS!$V$5:$V$1264,N$4,Temas_TIMSS!$K$5:$K$1264,$A50)+COUNTIFS(Temas_TIMSS!$V$5:$V$1264,N$4,Temas_TIMSS!$L$5:$L$1264,$A50)</f>
        <v>0</v>
      </c>
      <c r="O50" s="23" t="n">
        <f aca="false">COUNTIFS(Temas_TIMSS!$V$5:$V$1264,O$4,Temas_TIMSS!$K$5:$K$1264,$A50)+COUNTIFS(Temas_TIMSS!$V$5:$V$1264,O$4,Temas_TIMSS!$L$5:$L$1264,$A50)</f>
        <v>0</v>
      </c>
      <c r="P50" s="23" t="n">
        <f aca="false">IF($B50="T4",SUM(F50:H50),IF($B50="T8",SUM(I50:L50),SUM(N50:O50)))</f>
        <v>15</v>
      </c>
      <c r="Q50" s="23" t="n">
        <f aca="false">COUNTIFS(Temas_TIMSS!$K$5:$K$1264,$A50)</f>
        <v>10</v>
      </c>
      <c r="R50" s="23" t="str">
        <f aca="false">IF(P50&gt;0,"Sí","No")</f>
        <v>Sí</v>
      </c>
      <c r="S50" s="23" t="str">
        <f aca="false">IF(P50=0,"No cubierto",IF(P50=1,"Débil (1 tema)",IF(P50&lt;=3,"Básica (2–3)","Sólida (4+)")))</f>
        <v>Sólida (4+)</v>
      </c>
      <c r="T50" s="23" t="str">
        <f aca="false">IFERROR(INDEX($F$4:$O$4,MATCH(TRUE(),INDEX(F50:O50&gt;0,0),0)),"—")</f>
        <v>5°</v>
      </c>
    </row>
    <row r="51" customFormat="false" ht="23.85" hidden="false" customHeight="false" outlineLevel="0" collapsed="false">
      <c r="A51" s="23" t="s">
        <v>215</v>
      </c>
      <c r="B51" s="23" t="s">
        <v>185</v>
      </c>
      <c r="C51" s="23" t="s">
        <v>89</v>
      </c>
      <c r="D51" s="23" t="s">
        <v>136</v>
      </c>
      <c r="E51" s="23" t="s">
        <v>216</v>
      </c>
      <c r="F51" s="23" t="n">
        <f aca="false">COUNTIFS(Temas_TIMSS!$V$5:$V$1264,F$4,Temas_TIMSS!$K$5:$K$1264,$A51)+COUNTIFS(Temas_TIMSS!$V$5:$V$1264,F$4,Temas_TIMSS!$L$5:$L$1264,$A51)</f>
        <v>0</v>
      </c>
      <c r="G51" s="23" t="n">
        <f aca="false">COUNTIFS(Temas_TIMSS!$V$5:$V$1264,G$4,Temas_TIMSS!$K$5:$K$1264,$A51)+COUNTIFS(Temas_TIMSS!$V$5:$V$1264,G$4,Temas_TIMSS!$L$5:$L$1264,$A51)</f>
        <v>0</v>
      </c>
      <c r="H51" s="23" t="n">
        <f aca="false">COUNTIFS(Temas_TIMSS!$V$5:$V$1264,H$4,Temas_TIMSS!$K$5:$K$1264,$A51)+COUNTIFS(Temas_TIMSS!$V$5:$V$1264,H$4,Temas_TIMSS!$L$5:$L$1264,$A51)</f>
        <v>0</v>
      </c>
      <c r="I51" s="23" t="n">
        <f aca="false">COUNTIFS(Temas_TIMSS!$V$5:$V$1264,I$4,Temas_TIMSS!$K$5:$K$1264,$A51)+COUNTIFS(Temas_TIMSS!$V$5:$V$1264,I$4,Temas_TIMSS!$L$5:$L$1264,$A51)</f>
        <v>0</v>
      </c>
      <c r="J51" s="23" t="n">
        <f aca="false">COUNTIFS(Temas_TIMSS!$V$5:$V$1264,J$4,Temas_TIMSS!$K$5:$K$1264,$A51)+COUNTIFS(Temas_TIMSS!$V$5:$V$1264,J$4,Temas_TIMSS!$L$5:$L$1264,$A51)</f>
        <v>0</v>
      </c>
      <c r="K51" s="23" t="n">
        <f aca="false">COUNTIFS(Temas_TIMSS!$V$5:$V$1264,K$4,Temas_TIMSS!$K$5:$K$1264,$A51)+COUNTIFS(Temas_TIMSS!$V$5:$V$1264,K$4,Temas_TIMSS!$L$5:$L$1264,$A51)</f>
        <v>0</v>
      </c>
      <c r="L51" s="23" t="n">
        <f aca="false">COUNTIFS(Temas_TIMSS!$V$5:$V$1264,L$4,Temas_TIMSS!$K$5:$K$1264,$A51)+COUNTIFS(Temas_TIMSS!$V$5:$V$1264,L$4,Temas_TIMSS!$L$5:$L$1264,$A51)</f>
        <v>0</v>
      </c>
      <c r="M51" s="23" t="n">
        <f aca="false">COUNTIFS(Temas_TIMSS!$V$5:$V$1264,M$4,Temas_TIMSS!$K$5:$K$1264,$A51)+COUNTIFS(Temas_TIMSS!$V$5:$V$1264,M$4,Temas_TIMSS!$L$5:$L$1264,$A51)</f>
        <v>0</v>
      </c>
      <c r="N51" s="23" t="n">
        <f aca="false">COUNTIFS(Temas_TIMSS!$V$5:$V$1264,N$4,Temas_TIMSS!$K$5:$K$1264,$A51)+COUNTIFS(Temas_TIMSS!$V$5:$V$1264,N$4,Temas_TIMSS!$L$5:$L$1264,$A51)</f>
        <v>0</v>
      </c>
      <c r="O51" s="23" t="n">
        <f aca="false">COUNTIFS(Temas_TIMSS!$V$5:$V$1264,O$4,Temas_TIMSS!$K$5:$K$1264,$A51)+COUNTIFS(Temas_TIMSS!$V$5:$V$1264,O$4,Temas_TIMSS!$L$5:$L$1264,$A51)</f>
        <v>0</v>
      </c>
      <c r="P51" s="23" t="n">
        <f aca="false">IF($B51="T4",SUM(F51:H51),IF($B51="T8",SUM(I51:L51),SUM(N51:O51)))</f>
        <v>0</v>
      </c>
      <c r="Q51" s="23" t="n">
        <f aca="false">COUNTIFS(Temas_TIMSS!$K$5:$K$1264,$A51)</f>
        <v>0</v>
      </c>
      <c r="R51" s="23" t="str">
        <f aca="false">IF(P51&gt;0,"Sí","No")</f>
        <v>No</v>
      </c>
      <c r="S51" s="23" t="str">
        <f aca="false">IF(P51=0,"No cubierto",IF(P51=1,"Débil (1 tema)",IF(P51&lt;=3,"Básica (2–3)","Sólida (4+)")))</f>
        <v>No cubierto</v>
      </c>
      <c r="T51" s="23" t="str">
        <f aca="false">IFERROR(INDEX($F$4:$O$4,MATCH(TRUE(),INDEX(F51:O51&gt;0,0),0)),"—")</f>
        <v>—</v>
      </c>
    </row>
    <row r="52" customFormat="false" ht="15" hidden="false" customHeight="false" outlineLevel="0" collapsed="false">
      <c r="A52" s="23" t="s">
        <v>217</v>
      </c>
      <c r="B52" s="23" t="s">
        <v>185</v>
      </c>
      <c r="C52" s="23" t="s">
        <v>89</v>
      </c>
      <c r="D52" s="23" t="s">
        <v>136</v>
      </c>
      <c r="E52" s="23" t="s">
        <v>218</v>
      </c>
      <c r="F52" s="23" t="n">
        <f aca="false">COUNTIFS(Temas_TIMSS!$V$5:$V$1264,F$4,Temas_TIMSS!$K$5:$K$1264,$A52)+COUNTIFS(Temas_TIMSS!$V$5:$V$1264,F$4,Temas_TIMSS!$L$5:$L$1264,$A52)</f>
        <v>0</v>
      </c>
      <c r="G52" s="23" t="n">
        <f aca="false">COUNTIFS(Temas_TIMSS!$V$5:$V$1264,G$4,Temas_TIMSS!$K$5:$K$1264,$A52)+COUNTIFS(Temas_TIMSS!$V$5:$V$1264,G$4,Temas_TIMSS!$L$5:$L$1264,$A52)</f>
        <v>0</v>
      </c>
      <c r="H52" s="23" t="n">
        <f aca="false">COUNTIFS(Temas_TIMSS!$V$5:$V$1264,H$4,Temas_TIMSS!$K$5:$K$1264,$A52)+COUNTIFS(Temas_TIMSS!$V$5:$V$1264,H$4,Temas_TIMSS!$L$5:$L$1264,$A52)</f>
        <v>0</v>
      </c>
      <c r="I52" s="23" t="n">
        <f aca="false">COUNTIFS(Temas_TIMSS!$V$5:$V$1264,I$4,Temas_TIMSS!$K$5:$K$1264,$A52)+COUNTIFS(Temas_TIMSS!$V$5:$V$1264,I$4,Temas_TIMSS!$L$5:$L$1264,$A52)</f>
        <v>0</v>
      </c>
      <c r="J52" s="23" t="n">
        <f aca="false">COUNTIFS(Temas_TIMSS!$V$5:$V$1264,J$4,Temas_TIMSS!$K$5:$K$1264,$A52)+COUNTIFS(Temas_TIMSS!$V$5:$V$1264,J$4,Temas_TIMSS!$L$5:$L$1264,$A52)</f>
        <v>1</v>
      </c>
      <c r="K52" s="23" t="n">
        <f aca="false">COUNTIFS(Temas_TIMSS!$V$5:$V$1264,K$4,Temas_TIMSS!$K$5:$K$1264,$A52)+COUNTIFS(Temas_TIMSS!$V$5:$V$1264,K$4,Temas_TIMSS!$L$5:$L$1264,$A52)</f>
        <v>1</v>
      </c>
      <c r="L52" s="23" t="n">
        <f aca="false">COUNTIFS(Temas_TIMSS!$V$5:$V$1264,L$4,Temas_TIMSS!$K$5:$K$1264,$A52)+COUNTIFS(Temas_TIMSS!$V$5:$V$1264,L$4,Temas_TIMSS!$L$5:$L$1264,$A52)</f>
        <v>0</v>
      </c>
      <c r="M52" s="23" t="n">
        <f aca="false">COUNTIFS(Temas_TIMSS!$V$5:$V$1264,M$4,Temas_TIMSS!$K$5:$K$1264,$A52)+COUNTIFS(Temas_TIMSS!$V$5:$V$1264,M$4,Temas_TIMSS!$L$5:$L$1264,$A52)</f>
        <v>0</v>
      </c>
      <c r="N52" s="23" t="n">
        <f aca="false">COUNTIFS(Temas_TIMSS!$V$5:$V$1264,N$4,Temas_TIMSS!$K$5:$K$1264,$A52)+COUNTIFS(Temas_TIMSS!$V$5:$V$1264,N$4,Temas_TIMSS!$L$5:$L$1264,$A52)</f>
        <v>0</v>
      </c>
      <c r="O52" s="23" t="n">
        <f aca="false">COUNTIFS(Temas_TIMSS!$V$5:$V$1264,O$4,Temas_TIMSS!$K$5:$K$1264,$A52)+COUNTIFS(Temas_TIMSS!$V$5:$V$1264,O$4,Temas_TIMSS!$L$5:$L$1264,$A52)</f>
        <v>0</v>
      </c>
      <c r="P52" s="23" t="n">
        <f aca="false">IF($B52="T4",SUM(F52:H52),IF($B52="T8",SUM(I52:L52),SUM(N52:O52)))</f>
        <v>2</v>
      </c>
      <c r="Q52" s="23" t="n">
        <f aca="false">COUNTIFS(Temas_TIMSS!$K$5:$K$1264,$A52)</f>
        <v>2</v>
      </c>
      <c r="R52" s="23" t="str">
        <f aca="false">IF(P52&gt;0,"Sí","No")</f>
        <v>Sí</v>
      </c>
      <c r="S52" s="23" t="str">
        <f aca="false">IF(P52=0,"No cubierto",IF(P52=1,"Débil (1 tema)",IF(P52&lt;=3,"Básica (2–3)","Sólida (4+)")))</f>
        <v>Básica (2–3)</v>
      </c>
      <c r="T52" s="23" t="str">
        <f aca="false">IFERROR(INDEX($F$4:$O$4,MATCH(TRUE(),INDEX(F52:O52&gt;0,0),0)),"—")</f>
        <v>6°</v>
      </c>
    </row>
    <row r="53" customFormat="false" ht="23.85" hidden="false" customHeight="false" outlineLevel="0" collapsed="false">
      <c r="A53" s="23" t="s">
        <v>219</v>
      </c>
      <c r="B53" s="23" t="s">
        <v>185</v>
      </c>
      <c r="C53" s="23" t="s">
        <v>90</v>
      </c>
      <c r="D53" s="23" t="s">
        <v>220</v>
      </c>
      <c r="E53" s="23" t="s">
        <v>221</v>
      </c>
      <c r="F53" s="23" t="n">
        <f aca="false">COUNTIFS(Temas_TIMSS!$V$5:$V$1264,F$4,Temas_TIMSS!$K$5:$K$1264,$A53)+COUNTIFS(Temas_TIMSS!$V$5:$V$1264,F$4,Temas_TIMSS!$L$5:$L$1264,$A53)</f>
        <v>0</v>
      </c>
      <c r="G53" s="23" t="n">
        <f aca="false">COUNTIFS(Temas_TIMSS!$V$5:$V$1264,G$4,Temas_TIMSS!$K$5:$K$1264,$A53)+COUNTIFS(Temas_TIMSS!$V$5:$V$1264,G$4,Temas_TIMSS!$L$5:$L$1264,$A53)</f>
        <v>0</v>
      </c>
      <c r="H53" s="23" t="n">
        <f aca="false">COUNTIFS(Temas_TIMSS!$V$5:$V$1264,H$4,Temas_TIMSS!$K$5:$K$1264,$A53)+COUNTIFS(Temas_TIMSS!$V$5:$V$1264,H$4,Temas_TIMSS!$L$5:$L$1264,$A53)</f>
        <v>0</v>
      </c>
      <c r="I53" s="23" t="n">
        <f aca="false">COUNTIFS(Temas_TIMSS!$V$5:$V$1264,I$4,Temas_TIMSS!$K$5:$K$1264,$A53)+COUNTIFS(Temas_TIMSS!$V$5:$V$1264,I$4,Temas_TIMSS!$L$5:$L$1264,$A53)</f>
        <v>12</v>
      </c>
      <c r="J53" s="23" t="n">
        <f aca="false">COUNTIFS(Temas_TIMSS!$V$5:$V$1264,J$4,Temas_TIMSS!$K$5:$K$1264,$A53)+COUNTIFS(Temas_TIMSS!$V$5:$V$1264,J$4,Temas_TIMSS!$L$5:$L$1264,$A53)</f>
        <v>3</v>
      </c>
      <c r="K53" s="23" t="n">
        <f aca="false">COUNTIFS(Temas_TIMSS!$V$5:$V$1264,K$4,Temas_TIMSS!$K$5:$K$1264,$A53)+COUNTIFS(Temas_TIMSS!$V$5:$V$1264,K$4,Temas_TIMSS!$L$5:$L$1264,$A53)</f>
        <v>0</v>
      </c>
      <c r="L53" s="23" t="n">
        <f aca="false">COUNTIFS(Temas_TIMSS!$V$5:$V$1264,L$4,Temas_TIMSS!$K$5:$K$1264,$A53)+COUNTIFS(Temas_TIMSS!$V$5:$V$1264,L$4,Temas_TIMSS!$L$5:$L$1264,$A53)</f>
        <v>4</v>
      </c>
      <c r="M53" s="23" t="n">
        <f aca="false">COUNTIFS(Temas_TIMSS!$V$5:$V$1264,M$4,Temas_TIMSS!$K$5:$K$1264,$A53)+COUNTIFS(Temas_TIMSS!$V$5:$V$1264,M$4,Temas_TIMSS!$L$5:$L$1264,$A53)</f>
        <v>0</v>
      </c>
      <c r="N53" s="23" t="n">
        <f aca="false">COUNTIFS(Temas_TIMSS!$V$5:$V$1264,N$4,Temas_TIMSS!$K$5:$K$1264,$A53)+COUNTIFS(Temas_TIMSS!$V$5:$V$1264,N$4,Temas_TIMSS!$L$5:$L$1264,$A53)</f>
        <v>0</v>
      </c>
      <c r="O53" s="23" t="n">
        <f aca="false">COUNTIFS(Temas_TIMSS!$V$5:$V$1264,O$4,Temas_TIMSS!$K$5:$K$1264,$A53)+COUNTIFS(Temas_TIMSS!$V$5:$V$1264,O$4,Temas_TIMSS!$L$5:$L$1264,$A53)</f>
        <v>0</v>
      </c>
      <c r="P53" s="23" t="n">
        <f aca="false">IF($B53="T4",SUM(F53:H53),IF($B53="T8",SUM(I53:L53),SUM(N53:O53)))</f>
        <v>19</v>
      </c>
      <c r="Q53" s="23" t="n">
        <f aca="false">COUNTIFS(Temas_TIMSS!$K$5:$K$1264,$A53)</f>
        <v>16</v>
      </c>
      <c r="R53" s="23" t="str">
        <f aca="false">IF(P53&gt;0,"Sí","No")</f>
        <v>Sí</v>
      </c>
      <c r="S53" s="23" t="str">
        <f aca="false">IF(P53=0,"No cubierto",IF(P53=1,"Débil (1 tema)",IF(P53&lt;=3,"Básica (2–3)","Sólida (4+)")))</f>
        <v>Sólida (4+)</v>
      </c>
      <c r="T53" s="23" t="str">
        <f aca="false">IFERROR(INDEX($F$4:$O$4,MATCH(TRUE(),INDEX(F53:O53&gt;0,0),0)),"—")</f>
        <v>5°</v>
      </c>
    </row>
    <row r="54" customFormat="false" ht="23.85" hidden="false" customHeight="false" outlineLevel="0" collapsed="false">
      <c r="A54" s="23" t="s">
        <v>222</v>
      </c>
      <c r="B54" s="23" t="s">
        <v>185</v>
      </c>
      <c r="C54" s="23" t="s">
        <v>90</v>
      </c>
      <c r="D54" s="23" t="s">
        <v>220</v>
      </c>
      <c r="E54" s="23" t="s">
        <v>223</v>
      </c>
      <c r="F54" s="23" t="n">
        <f aca="false">COUNTIFS(Temas_TIMSS!$V$5:$V$1264,F$4,Temas_TIMSS!$K$5:$K$1264,$A54)+COUNTIFS(Temas_TIMSS!$V$5:$V$1264,F$4,Temas_TIMSS!$L$5:$L$1264,$A54)</f>
        <v>0</v>
      </c>
      <c r="G54" s="23" t="n">
        <f aca="false">COUNTIFS(Temas_TIMSS!$V$5:$V$1264,G$4,Temas_TIMSS!$K$5:$K$1264,$A54)+COUNTIFS(Temas_TIMSS!$V$5:$V$1264,G$4,Temas_TIMSS!$L$5:$L$1264,$A54)</f>
        <v>0</v>
      </c>
      <c r="H54" s="23" t="n">
        <f aca="false">COUNTIFS(Temas_TIMSS!$V$5:$V$1264,H$4,Temas_TIMSS!$K$5:$K$1264,$A54)+COUNTIFS(Temas_TIMSS!$V$5:$V$1264,H$4,Temas_TIMSS!$L$5:$L$1264,$A54)</f>
        <v>0</v>
      </c>
      <c r="I54" s="23" t="n">
        <f aca="false">COUNTIFS(Temas_TIMSS!$V$5:$V$1264,I$4,Temas_TIMSS!$K$5:$K$1264,$A54)+COUNTIFS(Temas_TIMSS!$V$5:$V$1264,I$4,Temas_TIMSS!$L$5:$L$1264,$A54)</f>
        <v>2</v>
      </c>
      <c r="J54" s="23" t="n">
        <f aca="false">COUNTIFS(Temas_TIMSS!$V$5:$V$1264,J$4,Temas_TIMSS!$K$5:$K$1264,$A54)+COUNTIFS(Temas_TIMSS!$V$5:$V$1264,J$4,Temas_TIMSS!$L$5:$L$1264,$A54)</f>
        <v>0</v>
      </c>
      <c r="K54" s="23" t="n">
        <f aca="false">COUNTIFS(Temas_TIMSS!$V$5:$V$1264,K$4,Temas_TIMSS!$K$5:$K$1264,$A54)+COUNTIFS(Temas_TIMSS!$V$5:$V$1264,K$4,Temas_TIMSS!$L$5:$L$1264,$A54)</f>
        <v>4</v>
      </c>
      <c r="L54" s="23" t="n">
        <f aca="false">COUNTIFS(Temas_TIMSS!$V$5:$V$1264,L$4,Temas_TIMSS!$K$5:$K$1264,$A54)+COUNTIFS(Temas_TIMSS!$V$5:$V$1264,L$4,Temas_TIMSS!$L$5:$L$1264,$A54)</f>
        <v>3</v>
      </c>
      <c r="M54" s="23" t="n">
        <f aca="false">COUNTIFS(Temas_TIMSS!$V$5:$V$1264,M$4,Temas_TIMSS!$K$5:$K$1264,$A54)+COUNTIFS(Temas_TIMSS!$V$5:$V$1264,M$4,Temas_TIMSS!$L$5:$L$1264,$A54)</f>
        <v>0</v>
      </c>
      <c r="N54" s="23" t="n">
        <f aca="false">COUNTIFS(Temas_TIMSS!$V$5:$V$1264,N$4,Temas_TIMSS!$K$5:$K$1264,$A54)+COUNTIFS(Temas_TIMSS!$V$5:$V$1264,N$4,Temas_TIMSS!$L$5:$L$1264,$A54)</f>
        <v>0</v>
      </c>
      <c r="O54" s="23" t="n">
        <f aca="false">COUNTIFS(Temas_TIMSS!$V$5:$V$1264,O$4,Temas_TIMSS!$K$5:$K$1264,$A54)+COUNTIFS(Temas_TIMSS!$V$5:$V$1264,O$4,Temas_TIMSS!$L$5:$L$1264,$A54)</f>
        <v>0</v>
      </c>
      <c r="P54" s="23" t="n">
        <f aca="false">IF($B54="T4",SUM(F54:H54),IF($B54="T8",SUM(I54:L54),SUM(N54:O54)))</f>
        <v>9</v>
      </c>
      <c r="Q54" s="23" t="n">
        <f aca="false">COUNTIFS(Temas_TIMSS!$K$5:$K$1264,$A54)</f>
        <v>5</v>
      </c>
      <c r="R54" s="23" t="str">
        <f aca="false">IF(P54&gt;0,"Sí","No")</f>
        <v>Sí</v>
      </c>
      <c r="S54" s="23" t="str">
        <f aca="false">IF(P54=0,"No cubierto",IF(P54=1,"Débil (1 tema)",IF(P54&lt;=3,"Básica (2–3)","Sólida (4+)")))</f>
        <v>Sólida (4+)</v>
      </c>
      <c r="T54" s="23" t="str">
        <f aca="false">IFERROR(INDEX($F$4:$O$4,MATCH(TRUE(),INDEX(F54:O54&gt;0,0),0)),"—")</f>
        <v>5°</v>
      </c>
    </row>
    <row r="55" customFormat="false" ht="23.85" hidden="false" customHeight="false" outlineLevel="0" collapsed="false">
      <c r="A55" s="23" t="s">
        <v>224</v>
      </c>
      <c r="B55" s="23" t="s">
        <v>185</v>
      </c>
      <c r="C55" s="23" t="s">
        <v>90</v>
      </c>
      <c r="D55" s="23" t="s">
        <v>220</v>
      </c>
      <c r="E55" s="23" t="s">
        <v>225</v>
      </c>
      <c r="F55" s="23" t="n">
        <f aca="false">COUNTIFS(Temas_TIMSS!$V$5:$V$1264,F$4,Temas_TIMSS!$K$5:$K$1264,$A55)+COUNTIFS(Temas_TIMSS!$V$5:$V$1264,F$4,Temas_TIMSS!$L$5:$L$1264,$A55)</f>
        <v>0</v>
      </c>
      <c r="G55" s="23" t="n">
        <f aca="false">COUNTIFS(Temas_TIMSS!$V$5:$V$1264,G$4,Temas_TIMSS!$K$5:$K$1264,$A55)+COUNTIFS(Temas_TIMSS!$V$5:$V$1264,G$4,Temas_TIMSS!$L$5:$L$1264,$A55)</f>
        <v>0</v>
      </c>
      <c r="H55" s="23" t="n">
        <f aca="false">COUNTIFS(Temas_TIMSS!$V$5:$V$1264,H$4,Temas_TIMSS!$K$5:$K$1264,$A55)+COUNTIFS(Temas_TIMSS!$V$5:$V$1264,H$4,Temas_TIMSS!$L$5:$L$1264,$A55)</f>
        <v>0</v>
      </c>
      <c r="I55" s="23" t="n">
        <f aca="false">COUNTIFS(Temas_TIMSS!$V$5:$V$1264,I$4,Temas_TIMSS!$K$5:$K$1264,$A55)+COUNTIFS(Temas_TIMSS!$V$5:$V$1264,I$4,Temas_TIMSS!$L$5:$L$1264,$A55)</f>
        <v>6</v>
      </c>
      <c r="J55" s="23" t="n">
        <f aca="false">COUNTIFS(Temas_TIMSS!$V$5:$V$1264,J$4,Temas_TIMSS!$K$5:$K$1264,$A55)+COUNTIFS(Temas_TIMSS!$V$5:$V$1264,J$4,Temas_TIMSS!$L$5:$L$1264,$A55)</f>
        <v>0</v>
      </c>
      <c r="K55" s="23" t="n">
        <f aca="false">COUNTIFS(Temas_TIMSS!$V$5:$V$1264,K$4,Temas_TIMSS!$K$5:$K$1264,$A55)+COUNTIFS(Temas_TIMSS!$V$5:$V$1264,K$4,Temas_TIMSS!$L$5:$L$1264,$A55)</f>
        <v>0</v>
      </c>
      <c r="L55" s="23" t="n">
        <f aca="false">COUNTIFS(Temas_TIMSS!$V$5:$V$1264,L$4,Temas_TIMSS!$K$5:$K$1264,$A55)+COUNTIFS(Temas_TIMSS!$V$5:$V$1264,L$4,Temas_TIMSS!$L$5:$L$1264,$A55)</f>
        <v>0</v>
      </c>
      <c r="M55" s="23" t="n">
        <f aca="false">COUNTIFS(Temas_TIMSS!$V$5:$V$1264,M$4,Temas_TIMSS!$K$5:$K$1264,$A55)+COUNTIFS(Temas_TIMSS!$V$5:$V$1264,M$4,Temas_TIMSS!$L$5:$L$1264,$A55)</f>
        <v>0</v>
      </c>
      <c r="N55" s="23" t="n">
        <f aca="false">COUNTIFS(Temas_TIMSS!$V$5:$V$1264,N$4,Temas_TIMSS!$K$5:$K$1264,$A55)+COUNTIFS(Temas_TIMSS!$V$5:$V$1264,N$4,Temas_TIMSS!$L$5:$L$1264,$A55)</f>
        <v>0</v>
      </c>
      <c r="O55" s="23" t="n">
        <f aca="false">COUNTIFS(Temas_TIMSS!$V$5:$V$1264,O$4,Temas_TIMSS!$K$5:$K$1264,$A55)+COUNTIFS(Temas_TIMSS!$V$5:$V$1264,O$4,Temas_TIMSS!$L$5:$L$1264,$A55)</f>
        <v>0</v>
      </c>
      <c r="P55" s="23" t="n">
        <f aca="false">IF($B55="T4",SUM(F55:H55),IF($B55="T8",SUM(I55:L55),SUM(N55:O55)))</f>
        <v>6</v>
      </c>
      <c r="Q55" s="23" t="n">
        <f aca="false">COUNTIFS(Temas_TIMSS!$K$5:$K$1264,$A55)</f>
        <v>4</v>
      </c>
      <c r="R55" s="23" t="str">
        <f aca="false">IF(P55&gt;0,"Sí","No")</f>
        <v>Sí</v>
      </c>
      <c r="S55" s="23" t="str">
        <f aca="false">IF(P55=0,"No cubierto",IF(P55=1,"Débil (1 tema)",IF(P55&lt;=3,"Básica (2–3)","Sólida (4+)")))</f>
        <v>Sólida (4+)</v>
      </c>
      <c r="T55" s="23" t="str">
        <f aca="false">IFERROR(INDEX($F$4:$O$4,MATCH(TRUE(),INDEX(F55:O55&gt;0,0),0)),"—")</f>
        <v>5°</v>
      </c>
    </row>
    <row r="56" customFormat="false" ht="15" hidden="false" customHeight="false" outlineLevel="0" collapsed="false">
      <c r="A56" s="23" t="s">
        <v>226</v>
      </c>
      <c r="B56" s="23" t="s">
        <v>185</v>
      </c>
      <c r="C56" s="23" t="s">
        <v>90</v>
      </c>
      <c r="D56" s="23" t="s">
        <v>227</v>
      </c>
      <c r="E56" s="23" t="s">
        <v>228</v>
      </c>
      <c r="F56" s="23" t="n">
        <f aca="false">COUNTIFS(Temas_TIMSS!$V$5:$V$1264,F$4,Temas_TIMSS!$K$5:$K$1264,$A56)+COUNTIFS(Temas_TIMSS!$V$5:$V$1264,F$4,Temas_TIMSS!$L$5:$L$1264,$A56)</f>
        <v>0</v>
      </c>
      <c r="G56" s="23" t="n">
        <f aca="false">COUNTIFS(Temas_TIMSS!$V$5:$V$1264,G$4,Temas_TIMSS!$K$5:$K$1264,$A56)+COUNTIFS(Temas_TIMSS!$V$5:$V$1264,G$4,Temas_TIMSS!$L$5:$L$1264,$A56)</f>
        <v>0</v>
      </c>
      <c r="H56" s="23" t="n">
        <f aca="false">COUNTIFS(Temas_TIMSS!$V$5:$V$1264,H$4,Temas_TIMSS!$K$5:$K$1264,$A56)+COUNTIFS(Temas_TIMSS!$V$5:$V$1264,H$4,Temas_TIMSS!$L$5:$L$1264,$A56)</f>
        <v>0</v>
      </c>
      <c r="I56" s="23" t="n">
        <f aca="false">COUNTIFS(Temas_TIMSS!$V$5:$V$1264,I$4,Temas_TIMSS!$K$5:$K$1264,$A56)+COUNTIFS(Temas_TIMSS!$V$5:$V$1264,I$4,Temas_TIMSS!$L$5:$L$1264,$A56)</f>
        <v>1</v>
      </c>
      <c r="J56" s="23" t="n">
        <f aca="false">COUNTIFS(Temas_TIMSS!$V$5:$V$1264,J$4,Temas_TIMSS!$K$5:$K$1264,$A56)+COUNTIFS(Temas_TIMSS!$V$5:$V$1264,J$4,Temas_TIMSS!$L$5:$L$1264,$A56)</f>
        <v>0</v>
      </c>
      <c r="K56" s="23" t="n">
        <f aca="false">COUNTIFS(Temas_TIMSS!$V$5:$V$1264,K$4,Temas_TIMSS!$K$5:$K$1264,$A56)+COUNTIFS(Temas_TIMSS!$V$5:$V$1264,K$4,Temas_TIMSS!$L$5:$L$1264,$A56)</f>
        <v>1</v>
      </c>
      <c r="L56" s="23" t="n">
        <f aca="false">COUNTIFS(Temas_TIMSS!$V$5:$V$1264,L$4,Temas_TIMSS!$K$5:$K$1264,$A56)+COUNTIFS(Temas_TIMSS!$V$5:$V$1264,L$4,Temas_TIMSS!$L$5:$L$1264,$A56)</f>
        <v>0</v>
      </c>
      <c r="M56" s="23" t="n">
        <f aca="false">COUNTIFS(Temas_TIMSS!$V$5:$V$1264,M$4,Temas_TIMSS!$K$5:$K$1264,$A56)+COUNTIFS(Temas_TIMSS!$V$5:$V$1264,M$4,Temas_TIMSS!$L$5:$L$1264,$A56)</f>
        <v>1</v>
      </c>
      <c r="N56" s="23" t="n">
        <f aca="false">COUNTIFS(Temas_TIMSS!$V$5:$V$1264,N$4,Temas_TIMSS!$K$5:$K$1264,$A56)+COUNTIFS(Temas_TIMSS!$V$5:$V$1264,N$4,Temas_TIMSS!$L$5:$L$1264,$A56)</f>
        <v>0</v>
      </c>
      <c r="O56" s="23" t="n">
        <f aca="false">COUNTIFS(Temas_TIMSS!$V$5:$V$1264,O$4,Temas_TIMSS!$K$5:$K$1264,$A56)+COUNTIFS(Temas_TIMSS!$V$5:$V$1264,O$4,Temas_TIMSS!$L$5:$L$1264,$A56)</f>
        <v>0</v>
      </c>
      <c r="P56" s="23" t="n">
        <f aca="false">IF($B56="T4",SUM(F56:H56),IF($B56="T8",SUM(I56:L56),SUM(N56:O56)))</f>
        <v>2</v>
      </c>
      <c r="Q56" s="23" t="n">
        <f aca="false">COUNTIFS(Temas_TIMSS!$K$5:$K$1264,$A56)</f>
        <v>0</v>
      </c>
      <c r="R56" s="23" t="str">
        <f aca="false">IF(P56&gt;0,"Sí","No")</f>
        <v>Sí</v>
      </c>
      <c r="S56" s="23" t="str">
        <f aca="false">IF(P56=0,"No cubierto",IF(P56=1,"Débil (1 tema)",IF(P56&lt;=3,"Básica (2–3)","Sólida (4+)")))</f>
        <v>Básica (2–3)</v>
      </c>
      <c r="T56" s="23" t="str">
        <f aca="false">IFERROR(INDEX($F$4:$O$4,MATCH(TRUE(),INDEX(F56:O56&gt;0,0),0)),"—")</f>
        <v>5°</v>
      </c>
    </row>
    <row r="57" customFormat="false" ht="15" hidden="false" customHeight="false" outlineLevel="0" collapsed="false">
      <c r="A57" s="23" t="s">
        <v>229</v>
      </c>
      <c r="B57" s="23" t="s">
        <v>185</v>
      </c>
      <c r="C57" s="23" t="s">
        <v>90</v>
      </c>
      <c r="D57" s="23" t="s">
        <v>227</v>
      </c>
      <c r="E57" s="23" t="s">
        <v>230</v>
      </c>
      <c r="F57" s="23" t="n">
        <f aca="false">COUNTIFS(Temas_TIMSS!$V$5:$V$1264,F$4,Temas_TIMSS!$K$5:$K$1264,$A57)+COUNTIFS(Temas_TIMSS!$V$5:$V$1264,F$4,Temas_TIMSS!$L$5:$L$1264,$A57)</f>
        <v>0</v>
      </c>
      <c r="G57" s="23" t="n">
        <f aca="false">COUNTIFS(Temas_TIMSS!$V$5:$V$1264,G$4,Temas_TIMSS!$K$5:$K$1264,$A57)+COUNTIFS(Temas_TIMSS!$V$5:$V$1264,G$4,Temas_TIMSS!$L$5:$L$1264,$A57)</f>
        <v>0</v>
      </c>
      <c r="H57" s="23" t="n">
        <f aca="false">COUNTIFS(Temas_TIMSS!$V$5:$V$1264,H$4,Temas_TIMSS!$K$5:$K$1264,$A57)+COUNTIFS(Temas_TIMSS!$V$5:$V$1264,H$4,Temas_TIMSS!$L$5:$L$1264,$A57)</f>
        <v>0</v>
      </c>
      <c r="I57" s="23" t="n">
        <f aca="false">COUNTIFS(Temas_TIMSS!$V$5:$V$1264,I$4,Temas_TIMSS!$K$5:$K$1264,$A57)+COUNTIFS(Temas_TIMSS!$V$5:$V$1264,I$4,Temas_TIMSS!$L$5:$L$1264,$A57)</f>
        <v>0</v>
      </c>
      <c r="J57" s="23" t="n">
        <f aca="false">COUNTIFS(Temas_TIMSS!$V$5:$V$1264,J$4,Temas_TIMSS!$K$5:$K$1264,$A57)+COUNTIFS(Temas_TIMSS!$V$5:$V$1264,J$4,Temas_TIMSS!$L$5:$L$1264,$A57)</f>
        <v>0</v>
      </c>
      <c r="K57" s="23" t="n">
        <f aca="false">COUNTIFS(Temas_TIMSS!$V$5:$V$1264,K$4,Temas_TIMSS!$K$5:$K$1264,$A57)+COUNTIFS(Temas_TIMSS!$V$5:$V$1264,K$4,Temas_TIMSS!$L$5:$L$1264,$A57)</f>
        <v>0</v>
      </c>
      <c r="L57" s="23" t="n">
        <f aca="false">COUNTIFS(Temas_TIMSS!$V$5:$V$1264,L$4,Temas_TIMSS!$K$5:$K$1264,$A57)+COUNTIFS(Temas_TIMSS!$V$5:$V$1264,L$4,Temas_TIMSS!$L$5:$L$1264,$A57)</f>
        <v>2</v>
      </c>
      <c r="M57" s="23" t="n">
        <f aca="false">COUNTIFS(Temas_TIMSS!$V$5:$V$1264,M$4,Temas_TIMSS!$K$5:$K$1264,$A57)+COUNTIFS(Temas_TIMSS!$V$5:$V$1264,M$4,Temas_TIMSS!$L$5:$L$1264,$A57)</f>
        <v>0</v>
      </c>
      <c r="N57" s="23" t="n">
        <f aca="false">COUNTIFS(Temas_TIMSS!$V$5:$V$1264,N$4,Temas_TIMSS!$K$5:$K$1264,$A57)+COUNTIFS(Temas_TIMSS!$V$5:$V$1264,N$4,Temas_TIMSS!$L$5:$L$1264,$A57)</f>
        <v>0</v>
      </c>
      <c r="O57" s="23" t="n">
        <f aca="false">COUNTIFS(Temas_TIMSS!$V$5:$V$1264,O$4,Temas_TIMSS!$K$5:$K$1264,$A57)+COUNTIFS(Temas_TIMSS!$V$5:$V$1264,O$4,Temas_TIMSS!$L$5:$L$1264,$A57)</f>
        <v>0</v>
      </c>
      <c r="P57" s="23" t="n">
        <f aca="false">IF($B57="T4",SUM(F57:H57),IF($B57="T8",SUM(I57:L57),SUM(N57:O57)))</f>
        <v>2</v>
      </c>
      <c r="Q57" s="23" t="n">
        <f aca="false">COUNTIFS(Temas_TIMSS!$K$5:$K$1264,$A57)</f>
        <v>2</v>
      </c>
      <c r="R57" s="23" t="str">
        <f aca="false">IF(P57&gt;0,"Sí","No")</f>
        <v>Sí</v>
      </c>
      <c r="S57" s="23" t="str">
        <f aca="false">IF(P57=0,"No cubierto",IF(P57=1,"Débil (1 tema)",IF(P57&lt;=3,"Básica (2–3)","Sólida (4+)")))</f>
        <v>Básica (2–3)</v>
      </c>
      <c r="T57" s="23" t="str">
        <f aca="false">IFERROR(INDEX($F$4:$O$4,MATCH(TRUE(),INDEX(F57:O57&gt;0,0),0)),"—")</f>
        <v>8°</v>
      </c>
    </row>
    <row r="58" customFormat="false" ht="15" hidden="false" customHeight="false" outlineLevel="0" collapsed="false">
      <c r="A58" s="23" t="s">
        <v>231</v>
      </c>
      <c r="B58" s="23" t="s">
        <v>185</v>
      </c>
      <c r="C58" s="23" t="s">
        <v>90</v>
      </c>
      <c r="D58" s="23" t="s">
        <v>227</v>
      </c>
      <c r="E58" s="23" t="s">
        <v>232</v>
      </c>
      <c r="F58" s="23" t="n">
        <f aca="false">COUNTIFS(Temas_TIMSS!$V$5:$V$1264,F$4,Temas_TIMSS!$K$5:$K$1264,$A58)+COUNTIFS(Temas_TIMSS!$V$5:$V$1264,F$4,Temas_TIMSS!$L$5:$L$1264,$A58)</f>
        <v>0</v>
      </c>
      <c r="G58" s="23" t="n">
        <f aca="false">COUNTIFS(Temas_TIMSS!$V$5:$V$1264,G$4,Temas_TIMSS!$K$5:$K$1264,$A58)+COUNTIFS(Temas_TIMSS!$V$5:$V$1264,G$4,Temas_TIMSS!$L$5:$L$1264,$A58)</f>
        <v>0</v>
      </c>
      <c r="H58" s="23" t="n">
        <f aca="false">COUNTIFS(Temas_TIMSS!$V$5:$V$1264,H$4,Temas_TIMSS!$K$5:$K$1264,$A58)+COUNTIFS(Temas_TIMSS!$V$5:$V$1264,H$4,Temas_TIMSS!$L$5:$L$1264,$A58)</f>
        <v>0</v>
      </c>
      <c r="I58" s="23" t="n">
        <f aca="false">COUNTIFS(Temas_TIMSS!$V$5:$V$1264,I$4,Temas_TIMSS!$K$5:$K$1264,$A58)+COUNTIFS(Temas_TIMSS!$V$5:$V$1264,I$4,Temas_TIMSS!$L$5:$L$1264,$A58)</f>
        <v>0</v>
      </c>
      <c r="J58" s="23" t="n">
        <f aca="false">COUNTIFS(Temas_TIMSS!$V$5:$V$1264,J$4,Temas_TIMSS!$K$5:$K$1264,$A58)+COUNTIFS(Temas_TIMSS!$V$5:$V$1264,J$4,Temas_TIMSS!$L$5:$L$1264,$A58)</f>
        <v>1</v>
      </c>
      <c r="K58" s="23" t="n">
        <f aca="false">COUNTIFS(Temas_TIMSS!$V$5:$V$1264,K$4,Temas_TIMSS!$K$5:$K$1264,$A58)+COUNTIFS(Temas_TIMSS!$V$5:$V$1264,K$4,Temas_TIMSS!$L$5:$L$1264,$A58)</f>
        <v>0</v>
      </c>
      <c r="L58" s="23" t="n">
        <f aca="false">COUNTIFS(Temas_TIMSS!$V$5:$V$1264,L$4,Temas_TIMSS!$K$5:$K$1264,$A58)+COUNTIFS(Temas_TIMSS!$V$5:$V$1264,L$4,Temas_TIMSS!$L$5:$L$1264,$A58)</f>
        <v>16</v>
      </c>
      <c r="M58" s="23" t="n">
        <f aca="false">COUNTIFS(Temas_TIMSS!$V$5:$V$1264,M$4,Temas_TIMSS!$K$5:$K$1264,$A58)+COUNTIFS(Temas_TIMSS!$V$5:$V$1264,M$4,Temas_TIMSS!$L$5:$L$1264,$A58)</f>
        <v>0</v>
      </c>
      <c r="N58" s="23" t="n">
        <f aca="false">COUNTIFS(Temas_TIMSS!$V$5:$V$1264,N$4,Temas_TIMSS!$K$5:$K$1264,$A58)+COUNTIFS(Temas_TIMSS!$V$5:$V$1264,N$4,Temas_TIMSS!$L$5:$L$1264,$A58)</f>
        <v>0</v>
      </c>
      <c r="O58" s="23" t="n">
        <f aca="false">COUNTIFS(Temas_TIMSS!$V$5:$V$1264,O$4,Temas_TIMSS!$K$5:$K$1264,$A58)+COUNTIFS(Temas_TIMSS!$V$5:$V$1264,O$4,Temas_TIMSS!$L$5:$L$1264,$A58)</f>
        <v>0</v>
      </c>
      <c r="P58" s="23" t="n">
        <f aca="false">IF($B58="T4",SUM(F58:H58),IF($B58="T8",SUM(I58:L58),SUM(N58:O58)))</f>
        <v>17</v>
      </c>
      <c r="Q58" s="23" t="n">
        <f aca="false">COUNTIFS(Temas_TIMSS!$K$5:$K$1264,$A58)</f>
        <v>15</v>
      </c>
      <c r="R58" s="23" t="str">
        <f aca="false">IF(P58&gt;0,"Sí","No")</f>
        <v>Sí</v>
      </c>
      <c r="S58" s="23" t="str">
        <f aca="false">IF(P58=0,"No cubierto",IF(P58=1,"Débil (1 tema)",IF(P58&lt;=3,"Básica (2–3)","Sólida (4+)")))</f>
        <v>Sólida (4+)</v>
      </c>
      <c r="T58" s="23" t="str">
        <f aca="false">IFERROR(INDEX($F$4:$O$4,MATCH(TRUE(),INDEX(F58:O58&gt;0,0),0)),"—")</f>
        <v>6°</v>
      </c>
    </row>
    <row r="59" customFormat="false" ht="23.85" hidden="false" customHeight="false" outlineLevel="0" collapsed="false">
      <c r="A59" s="23" t="s">
        <v>233</v>
      </c>
      <c r="B59" s="23" t="s">
        <v>185</v>
      </c>
      <c r="C59" s="23" t="s">
        <v>90</v>
      </c>
      <c r="D59" s="23" t="s">
        <v>227</v>
      </c>
      <c r="E59" s="23" t="s">
        <v>234</v>
      </c>
      <c r="F59" s="23" t="n">
        <f aca="false">COUNTIFS(Temas_TIMSS!$V$5:$V$1264,F$4,Temas_TIMSS!$K$5:$K$1264,$A59)+COUNTIFS(Temas_TIMSS!$V$5:$V$1264,F$4,Temas_TIMSS!$L$5:$L$1264,$A59)</f>
        <v>0</v>
      </c>
      <c r="G59" s="23" t="n">
        <f aca="false">COUNTIFS(Temas_TIMSS!$V$5:$V$1264,G$4,Temas_TIMSS!$K$5:$K$1264,$A59)+COUNTIFS(Temas_TIMSS!$V$5:$V$1264,G$4,Temas_TIMSS!$L$5:$L$1264,$A59)</f>
        <v>0</v>
      </c>
      <c r="H59" s="23" t="n">
        <f aca="false">COUNTIFS(Temas_TIMSS!$V$5:$V$1264,H$4,Temas_TIMSS!$K$5:$K$1264,$A59)+COUNTIFS(Temas_TIMSS!$V$5:$V$1264,H$4,Temas_TIMSS!$L$5:$L$1264,$A59)</f>
        <v>0</v>
      </c>
      <c r="I59" s="23" t="n">
        <f aca="false">COUNTIFS(Temas_TIMSS!$V$5:$V$1264,I$4,Temas_TIMSS!$K$5:$K$1264,$A59)+COUNTIFS(Temas_TIMSS!$V$5:$V$1264,I$4,Temas_TIMSS!$L$5:$L$1264,$A59)</f>
        <v>0</v>
      </c>
      <c r="J59" s="23" t="n">
        <f aca="false">COUNTIFS(Temas_TIMSS!$V$5:$V$1264,J$4,Temas_TIMSS!$K$5:$K$1264,$A59)+COUNTIFS(Temas_TIMSS!$V$5:$V$1264,J$4,Temas_TIMSS!$L$5:$L$1264,$A59)</f>
        <v>0</v>
      </c>
      <c r="K59" s="23" t="n">
        <f aca="false">COUNTIFS(Temas_TIMSS!$V$5:$V$1264,K$4,Temas_TIMSS!$K$5:$K$1264,$A59)+COUNTIFS(Temas_TIMSS!$V$5:$V$1264,K$4,Temas_TIMSS!$L$5:$L$1264,$A59)</f>
        <v>2</v>
      </c>
      <c r="L59" s="23" t="n">
        <f aca="false">COUNTIFS(Temas_TIMSS!$V$5:$V$1264,L$4,Temas_TIMSS!$K$5:$K$1264,$A59)+COUNTIFS(Temas_TIMSS!$V$5:$V$1264,L$4,Temas_TIMSS!$L$5:$L$1264,$A59)</f>
        <v>0</v>
      </c>
      <c r="M59" s="23" t="n">
        <f aca="false">COUNTIFS(Temas_TIMSS!$V$5:$V$1264,M$4,Temas_TIMSS!$K$5:$K$1264,$A59)+COUNTIFS(Temas_TIMSS!$V$5:$V$1264,M$4,Temas_TIMSS!$L$5:$L$1264,$A59)</f>
        <v>13</v>
      </c>
      <c r="N59" s="23" t="n">
        <f aca="false">COUNTIFS(Temas_TIMSS!$V$5:$V$1264,N$4,Temas_TIMSS!$K$5:$K$1264,$A59)+COUNTIFS(Temas_TIMSS!$V$5:$V$1264,N$4,Temas_TIMSS!$L$5:$L$1264,$A59)</f>
        <v>0</v>
      </c>
      <c r="O59" s="23" t="n">
        <f aca="false">COUNTIFS(Temas_TIMSS!$V$5:$V$1264,O$4,Temas_TIMSS!$K$5:$K$1264,$A59)+COUNTIFS(Temas_TIMSS!$V$5:$V$1264,O$4,Temas_TIMSS!$L$5:$L$1264,$A59)</f>
        <v>0</v>
      </c>
      <c r="P59" s="23" t="n">
        <f aca="false">IF($B59="T4",SUM(F59:H59),IF($B59="T8",SUM(I59:L59),SUM(N59:O59)))</f>
        <v>2</v>
      </c>
      <c r="Q59" s="23" t="n">
        <f aca="false">COUNTIFS(Temas_TIMSS!$K$5:$K$1264,$A59)</f>
        <v>14</v>
      </c>
      <c r="R59" s="23" t="str">
        <f aca="false">IF(P59&gt;0,"Sí","No")</f>
        <v>Sí</v>
      </c>
      <c r="S59" s="23" t="str">
        <f aca="false">IF(P59=0,"No cubierto",IF(P59=1,"Débil (1 tema)",IF(P59&lt;=3,"Básica (2–3)","Sólida (4+)")))</f>
        <v>Básica (2–3)</v>
      </c>
      <c r="T59" s="23" t="str">
        <f aca="false">IFERROR(INDEX($F$4:$O$4,MATCH(TRUE(),INDEX(F59:O59&gt;0,0),0)),"—")</f>
        <v>7°</v>
      </c>
    </row>
    <row r="60" customFormat="false" ht="15" hidden="false" customHeight="false" outlineLevel="0" collapsed="false">
      <c r="A60" s="23" t="s">
        <v>235</v>
      </c>
      <c r="B60" s="23" t="s">
        <v>185</v>
      </c>
      <c r="C60" s="23" t="s">
        <v>90</v>
      </c>
      <c r="D60" s="23" t="s">
        <v>236</v>
      </c>
      <c r="E60" s="23" t="s">
        <v>237</v>
      </c>
      <c r="F60" s="23" t="n">
        <f aca="false">COUNTIFS(Temas_TIMSS!$V$5:$V$1264,F$4,Temas_TIMSS!$K$5:$K$1264,$A60)+COUNTIFS(Temas_TIMSS!$V$5:$V$1264,F$4,Temas_TIMSS!$L$5:$L$1264,$A60)</f>
        <v>0</v>
      </c>
      <c r="G60" s="23" t="n">
        <f aca="false">COUNTIFS(Temas_TIMSS!$V$5:$V$1264,G$4,Temas_TIMSS!$K$5:$K$1264,$A60)+COUNTIFS(Temas_TIMSS!$V$5:$V$1264,G$4,Temas_TIMSS!$L$5:$L$1264,$A60)</f>
        <v>0</v>
      </c>
      <c r="H60" s="23" t="n">
        <f aca="false">COUNTIFS(Temas_TIMSS!$V$5:$V$1264,H$4,Temas_TIMSS!$K$5:$K$1264,$A60)+COUNTIFS(Temas_TIMSS!$V$5:$V$1264,H$4,Temas_TIMSS!$L$5:$L$1264,$A60)</f>
        <v>0</v>
      </c>
      <c r="I60" s="23" t="n">
        <f aca="false">COUNTIFS(Temas_TIMSS!$V$5:$V$1264,I$4,Temas_TIMSS!$K$5:$K$1264,$A60)+COUNTIFS(Temas_TIMSS!$V$5:$V$1264,I$4,Temas_TIMSS!$L$5:$L$1264,$A60)</f>
        <v>1</v>
      </c>
      <c r="J60" s="23" t="n">
        <f aca="false">COUNTIFS(Temas_TIMSS!$V$5:$V$1264,J$4,Temas_TIMSS!$K$5:$K$1264,$A60)+COUNTIFS(Temas_TIMSS!$V$5:$V$1264,J$4,Temas_TIMSS!$L$5:$L$1264,$A60)</f>
        <v>2</v>
      </c>
      <c r="K60" s="23" t="n">
        <f aca="false">COUNTIFS(Temas_TIMSS!$V$5:$V$1264,K$4,Temas_TIMSS!$K$5:$K$1264,$A60)+COUNTIFS(Temas_TIMSS!$V$5:$V$1264,K$4,Temas_TIMSS!$L$5:$L$1264,$A60)</f>
        <v>4</v>
      </c>
      <c r="L60" s="23" t="n">
        <f aca="false">COUNTIFS(Temas_TIMSS!$V$5:$V$1264,L$4,Temas_TIMSS!$K$5:$K$1264,$A60)+COUNTIFS(Temas_TIMSS!$V$5:$V$1264,L$4,Temas_TIMSS!$L$5:$L$1264,$A60)</f>
        <v>0</v>
      </c>
      <c r="M60" s="23" t="n">
        <f aca="false">COUNTIFS(Temas_TIMSS!$V$5:$V$1264,M$4,Temas_TIMSS!$K$5:$K$1264,$A60)+COUNTIFS(Temas_TIMSS!$V$5:$V$1264,M$4,Temas_TIMSS!$L$5:$L$1264,$A60)</f>
        <v>1</v>
      </c>
      <c r="N60" s="23" t="n">
        <f aca="false">COUNTIFS(Temas_TIMSS!$V$5:$V$1264,N$4,Temas_TIMSS!$K$5:$K$1264,$A60)+COUNTIFS(Temas_TIMSS!$V$5:$V$1264,N$4,Temas_TIMSS!$L$5:$L$1264,$A60)</f>
        <v>0</v>
      </c>
      <c r="O60" s="23" t="n">
        <f aca="false">COUNTIFS(Temas_TIMSS!$V$5:$V$1264,O$4,Temas_TIMSS!$K$5:$K$1264,$A60)+COUNTIFS(Temas_TIMSS!$V$5:$V$1264,O$4,Temas_TIMSS!$L$5:$L$1264,$A60)</f>
        <v>0</v>
      </c>
      <c r="P60" s="23" t="n">
        <f aca="false">IF($B60="T4",SUM(F60:H60),IF($B60="T8",SUM(I60:L60),SUM(N60:O60)))</f>
        <v>7</v>
      </c>
      <c r="Q60" s="23" t="n">
        <f aca="false">COUNTIFS(Temas_TIMSS!$K$5:$K$1264,$A60)</f>
        <v>2</v>
      </c>
      <c r="R60" s="23" t="str">
        <f aca="false">IF(P60&gt;0,"Sí","No")</f>
        <v>Sí</v>
      </c>
      <c r="S60" s="23" t="str">
        <f aca="false">IF(P60=0,"No cubierto",IF(P60=1,"Débil (1 tema)",IF(P60&lt;=3,"Básica (2–3)","Sólida (4+)")))</f>
        <v>Sólida (4+)</v>
      </c>
      <c r="T60" s="23" t="str">
        <f aca="false">IFERROR(INDEX($F$4:$O$4,MATCH(TRUE(),INDEX(F60:O60&gt;0,0),0)),"—")</f>
        <v>5°</v>
      </c>
    </row>
    <row r="61" customFormat="false" ht="23.85" hidden="false" customHeight="false" outlineLevel="0" collapsed="false">
      <c r="A61" s="23" t="s">
        <v>238</v>
      </c>
      <c r="B61" s="23" t="s">
        <v>185</v>
      </c>
      <c r="C61" s="23" t="s">
        <v>90</v>
      </c>
      <c r="D61" s="23" t="s">
        <v>236</v>
      </c>
      <c r="E61" s="23" t="s">
        <v>239</v>
      </c>
      <c r="F61" s="23" t="n">
        <f aca="false">COUNTIFS(Temas_TIMSS!$V$5:$V$1264,F$4,Temas_TIMSS!$K$5:$K$1264,$A61)+COUNTIFS(Temas_TIMSS!$V$5:$V$1264,F$4,Temas_TIMSS!$L$5:$L$1264,$A61)</f>
        <v>0</v>
      </c>
      <c r="G61" s="23" t="n">
        <f aca="false">COUNTIFS(Temas_TIMSS!$V$5:$V$1264,G$4,Temas_TIMSS!$K$5:$K$1264,$A61)+COUNTIFS(Temas_TIMSS!$V$5:$V$1264,G$4,Temas_TIMSS!$L$5:$L$1264,$A61)</f>
        <v>0</v>
      </c>
      <c r="H61" s="23" t="n">
        <f aca="false">COUNTIFS(Temas_TIMSS!$V$5:$V$1264,H$4,Temas_TIMSS!$K$5:$K$1264,$A61)+COUNTIFS(Temas_TIMSS!$V$5:$V$1264,H$4,Temas_TIMSS!$L$5:$L$1264,$A61)</f>
        <v>0</v>
      </c>
      <c r="I61" s="23" t="n">
        <f aca="false">COUNTIFS(Temas_TIMSS!$V$5:$V$1264,I$4,Temas_TIMSS!$K$5:$K$1264,$A61)+COUNTIFS(Temas_TIMSS!$V$5:$V$1264,I$4,Temas_TIMSS!$L$5:$L$1264,$A61)</f>
        <v>0</v>
      </c>
      <c r="J61" s="23" t="n">
        <f aca="false">COUNTIFS(Temas_TIMSS!$V$5:$V$1264,J$4,Temas_TIMSS!$K$5:$K$1264,$A61)+COUNTIFS(Temas_TIMSS!$V$5:$V$1264,J$4,Temas_TIMSS!$L$5:$L$1264,$A61)</f>
        <v>1</v>
      </c>
      <c r="K61" s="23" t="n">
        <f aca="false">COUNTIFS(Temas_TIMSS!$V$5:$V$1264,K$4,Temas_TIMSS!$K$5:$K$1264,$A61)+COUNTIFS(Temas_TIMSS!$V$5:$V$1264,K$4,Temas_TIMSS!$L$5:$L$1264,$A61)</f>
        <v>4</v>
      </c>
      <c r="L61" s="23" t="n">
        <f aca="false">COUNTIFS(Temas_TIMSS!$V$5:$V$1264,L$4,Temas_TIMSS!$K$5:$K$1264,$A61)+COUNTIFS(Temas_TIMSS!$V$5:$V$1264,L$4,Temas_TIMSS!$L$5:$L$1264,$A61)</f>
        <v>2</v>
      </c>
      <c r="M61" s="23" t="n">
        <f aca="false">COUNTIFS(Temas_TIMSS!$V$5:$V$1264,M$4,Temas_TIMSS!$K$5:$K$1264,$A61)+COUNTIFS(Temas_TIMSS!$V$5:$V$1264,M$4,Temas_TIMSS!$L$5:$L$1264,$A61)</f>
        <v>8</v>
      </c>
      <c r="N61" s="23" t="n">
        <f aca="false">COUNTIFS(Temas_TIMSS!$V$5:$V$1264,N$4,Temas_TIMSS!$K$5:$K$1264,$A61)+COUNTIFS(Temas_TIMSS!$V$5:$V$1264,N$4,Temas_TIMSS!$L$5:$L$1264,$A61)</f>
        <v>0</v>
      </c>
      <c r="O61" s="23" t="n">
        <f aca="false">COUNTIFS(Temas_TIMSS!$V$5:$V$1264,O$4,Temas_TIMSS!$K$5:$K$1264,$A61)+COUNTIFS(Temas_TIMSS!$V$5:$V$1264,O$4,Temas_TIMSS!$L$5:$L$1264,$A61)</f>
        <v>0</v>
      </c>
      <c r="P61" s="23" t="n">
        <f aca="false">IF($B61="T4",SUM(F61:H61),IF($B61="T8",SUM(I61:L61),SUM(N61:O61)))</f>
        <v>7</v>
      </c>
      <c r="Q61" s="23" t="n">
        <f aca="false">COUNTIFS(Temas_TIMSS!$K$5:$K$1264,$A61)</f>
        <v>13</v>
      </c>
      <c r="R61" s="23" t="str">
        <f aca="false">IF(P61&gt;0,"Sí","No")</f>
        <v>Sí</v>
      </c>
      <c r="S61" s="23" t="str">
        <f aca="false">IF(P61=0,"No cubierto",IF(P61=1,"Débil (1 tema)",IF(P61&lt;=3,"Básica (2–3)","Sólida (4+)")))</f>
        <v>Sólida (4+)</v>
      </c>
      <c r="T61" s="23" t="str">
        <f aca="false">IFERROR(INDEX($F$4:$O$4,MATCH(TRUE(),INDEX(F61:O61&gt;0,0),0)),"—")</f>
        <v>6°</v>
      </c>
    </row>
    <row r="62" customFormat="false" ht="23.85" hidden="false" customHeight="false" outlineLevel="0" collapsed="false">
      <c r="A62" s="23" t="s">
        <v>240</v>
      </c>
      <c r="B62" s="23" t="s">
        <v>185</v>
      </c>
      <c r="C62" s="23" t="s">
        <v>90</v>
      </c>
      <c r="D62" s="23" t="s">
        <v>236</v>
      </c>
      <c r="E62" s="23" t="s">
        <v>241</v>
      </c>
      <c r="F62" s="23" t="n">
        <f aca="false">COUNTIFS(Temas_TIMSS!$V$5:$V$1264,F$4,Temas_TIMSS!$K$5:$K$1264,$A62)+COUNTIFS(Temas_TIMSS!$V$5:$V$1264,F$4,Temas_TIMSS!$L$5:$L$1264,$A62)</f>
        <v>0</v>
      </c>
      <c r="G62" s="23" t="n">
        <f aca="false">COUNTIFS(Temas_TIMSS!$V$5:$V$1264,G$4,Temas_TIMSS!$K$5:$K$1264,$A62)+COUNTIFS(Temas_TIMSS!$V$5:$V$1264,G$4,Temas_TIMSS!$L$5:$L$1264,$A62)</f>
        <v>0</v>
      </c>
      <c r="H62" s="23" t="n">
        <f aca="false">COUNTIFS(Temas_TIMSS!$V$5:$V$1264,H$4,Temas_TIMSS!$K$5:$K$1264,$A62)+COUNTIFS(Temas_TIMSS!$V$5:$V$1264,H$4,Temas_TIMSS!$L$5:$L$1264,$A62)</f>
        <v>0</v>
      </c>
      <c r="I62" s="23" t="n">
        <f aca="false">COUNTIFS(Temas_TIMSS!$V$5:$V$1264,I$4,Temas_TIMSS!$K$5:$K$1264,$A62)+COUNTIFS(Temas_TIMSS!$V$5:$V$1264,I$4,Temas_TIMSS!$L$5:$L$1264,$A62)</f>
        <v>3</v>
      </c>
      <c r="J62" s="23" t="n">
        <f aca="false">COUNTIFS(Temas_TIMSS!$V$5:$V$1264,J$4,Temas_TIMSS!$K$5:$K$1264,$A62)+COUNTIFS(Temas_TIMSS!$V$5:$V$1264,J$4,Temas_TIMSS!$L$5:$L$1264,$A62)</f>
        <v>6</v>
      </c>
      <c r="K62" s="23" t="n">
        <f aca="false">COUNTIFS(Temas_TIMSS!$V$5:$V$1264,K$4,Temas_TIMSS!$K$5:$K$1264,$A62)+COUNTIFS(Temas_TIMSS!$V$5:$V$1264,K$4,Temas_TIMSS!$L$5:$L$1264,$A62)</f>
        <v>0</v>
      </c>
      <c r="L62" s="23" t="n">
        <f aca="false">COUNTIFS(Temas_TIMSS!$V$5:$V$1264,L$4,Temas_TIMSS!$K$5:$K$1264,$A62)+COUNTIFS(Temas_TIMSS!$V$5:$V$1264,L$4,Temas_TIMSS!$L$5:$L$1264,$A62)</f>
        <v>0</v>
      </c>
      <c r="M62" s="23" t="n">
        <f aca="false">COUNTIFS(Temas_TIMSS!$V$5:$V$1264,M$4,Temas_TIMSS!$K$5:$K$1264,$A62)+COUNTIFS(Temas_TIMSS!$V$5:$V$1264,M$4,Temas_TIMSS!$L$5:$L$1264,$A62)</f>
        <v>0</v>
      </c>
      <c r="N62" s="23" t="n">
        <f aca="false">COUNTIFS(Temas_TIMSS!$V$5:$V$1264,N$4,Temas_TIMSS!$K$5:$K$1264,$A62)+COUNTIFS(Temas_TIMSS!$V$5:$V$1264,N$4,Temas_TIMSS!$L$5:$L$1264,$A62)</f>
        <v>0</v>
      </c>
      <c r="O62" s="23" t="n">
        <f aca="false">COUNTIFS(Temas_TIMSS!$V$5:$V$1264,O$4,Temas_TIMSS!$K$5:$K$1264,$A62)+COUNTIFS(Temas_TIMSS!$V$5:$V$1264,O$4,Temas_TIMSS!$L$5:$L$1264,$A62)</f>
        <v>0</v>
      </c>
      <c r="P62" s="23" t="n">
        <f aca="false">IF($B62="T4",SUM(F62:H62),IF($B62="T8",SUM(I62:L62),SUM(N62:O62)))</f>
        <v>9</v>
      </c>
      <c r="Q62" s="23" t="n">
        <f aca="false">COUNTIFS(Temas_TIMSS!$K$5:$K$1264,$A62)</f>
        <v>7</v>
      </c>
      <c r="R62" s="23" t="str">
        <f aca="false">IF(P62&gt;0,"Sí","No")</f>
        <v>Sí</v>
      </c>
      <c r="S62" s="23" t="str">
        <f aca="false">IF(P62=0,"No cubierto",IF(P62=1,"Débil (1 tema)",IF(P62&lt;=3,"Básica (2–3)","Sólida (4+)")))</f>
        <v>Sólida (4+)</v>
      </c>
      <c r="T62" s="23" t="str">
        <f aca="false">IFERROR(INDEX($F$4:$O$4,MATCH(TRUE(),INDEX(F62:O62&gt;0,0),0)),"—")</f>
        <v>5°</v>
      </c>
    </row>
    <row r="63" customFormat="false" ht="23.85" hidden="false" customHeight="false" outlineLevel="0" collapsed="false">
      <c r="A63" s="23" t="s">
        <v>242</v>
      </c>
      <c r="B63" s="23" t="s">
        <v>185</v>
      </c>
      <c r="C63" s="23" t="s">
        <v>91</v>
      </c>
      <c r="D63" s="23" t="s">
        <v>243</v>
      </c>
      <c r="E63" s="23" t="s">
        <v>244</v>
      </c>
      <c r="F63" s="23" t="n">
        <f aca="false">COUNTIFS(Temas_TIMSS!$V$5:$V$1264,F$4,Temas_TIMSS!$K$5:$K$1264,$A63)+COUNTIFS(Temas_TIMSS!$V$5:$V$1264,F$4,Temas_TIMSS!$L$5:$L$1264,$A63)</f>
        <v>0</v>
      </c>
      <c r="G63" s="23" t="n">
        <f aca="false">COUNTIFS(Temas_TIMSS!$V$5:$V$1264,G$4,Temas_TIMSS!$K$5:$K$1264,$A63)+COUNTIFS(Temas_TIMSS!$V$5:$V$1264,G$4,Temas_TIMSS!$L$5:$L$1264,$A63)</f>
        <v>0</v>
      </c>
      <c r="H63" s="23" t="n">
        <f aca="false">COUNTIFS(Temas_TIMSS!$V$5:$V$1264,H$4,Temas_TIMSS!$K$5:$K$1264,$A63)+COUNTIFS(Temas_TIMSS!$V$5:$V$1264,H$4,Temas_TIMSS!$L$5:$L$1264,$A63)</f>
        <v>0</v>
      </c>
      <c r="I63" s="23" t="n">
        <f aca="false">COUNTIFS(Temas_TIMSS!$V$5:$V$1264,I$4,Temas_TIMSS!$K$5:$K$1264,$A63)+COUNTIFS(Temas_TIMSS!$V$5:$V$1264,I$4,Temas_TIMSS!$L$5:$L$1264,$A63)</f>
        <v>0</v>
      </c>
      <c r="J63" s="23" t="n">
        <f aca="false">COUNTIFS(Temas_TIMSS!$V$5:$V$1264,J$4,Temas_TIMSS!$K$5:$K$1264,$A63)+COUNTIFS(Temas_TIMSS!$V$5:$V$1264,J$4,Temas_TIMSS!$L$5:$L$1264,$A63)</f>
        <v>8</v>
      </c>
      <c r="K63" s="23" t="n">
        <f aca="false">COUNTIFS(Temas_TIMSS!$V$5:$V$1264,K$4,Temas_TIMSS!$K$5:$K$1264,$A63)+COUNTIFS(Temas_TIMSS!$V$5:$V$1264,K$4,Temas_TIMSS!$L$5:$L$1264,$A63)</f>
        <v>0</v>
      </c>
      <c r="L63" s="23" t="n">
        <f aca="false">COUNTIFS(Temas_TIMSS!$V$5:$V$1264,L$4,Temas_TIMSS!$K$5:$K$1264,$A63)+COUNTIFS(Temas_TIMSS!$V$5:$V$1264,L$4,Temas_TIMSS!$L$5:$L$1264,$A63)</f>
        <v>1</v>
      </c>
      <c r="M63" s="23" t="n">
        <f aca="false">COUNTIFS(Temas_TIMSS!$V$5:$V$1264,M$4,Temas_TIMSS!$K$5:$K$1264,$A63)+COUNTIFS(Temas_TIMSS!$V$5:$V$1264,M$4,Temas_TIMSS!$L$5:$L$1264,$A63)</f>
        <v>2</v>
      </c>
      <c r="N63" s="23" t="n">
        <f aca="false">COUNTIFS(Temas_TIMSS!$V$5:$V$1264,N$4,Temas_TIMSS!$K$5:$K$1264,$A63)+COUNTIFS(Temas_TIMSS!$V$5:$V$1264,N$4,Temas_TIMSS!$L$5:$L$1264,$A63)</f>
        <v>0</v>
      </c>
      <c r="O63" s="23" t="n">
        <f aca="false">COUNTIFS(Temas_TIMSS!$V$5:$V$1264,O$4,Temas_TIMSS!$K$5:$K$1264,$A63)+COUNTIFS(Temas_TIMSS!$V$5:$V$1264,O$4,Temas_TIMSS!$L$5:$L$1264,$A63)</f>
        <v>0</v>
      </c>
      <c r="P63" s="23" t="n">
        <f aca="false">IF($B63="T4",SUM(F63:H63),IF($B63="T8",SUM(I63:L63),SUM(N63:O63)))</f>
        <v>9</v>
      </c>
      <c r="Q63" s="23" t="n">
        <f aca="false">COUNTIFS(Temas_TIMSS!$K$5:$K$1264,$A63)</f>
        <v>8</v>
      </c>
      <c r="R63" s="23" t="str">
        <f aca="false">IF(P63&gt;0,"Sí","No")</f>
        <v>Sí</v>
      </c>
      <c r="S63" s="23" t="str">
        <f aca="false">IF(P63=0,"No cubierto",IF(P63=1,"Débil (1 tema)",IF(P63&lt;=3,"Básica (2–3)","Sólida (4+)")))</f>
        <v>Sólida (4+)</v>
      </c>
      <c r="T63" s="23" t="str">
        <f aca="false">IFERROR(INDEX($F$4:$O$4,MATCH(TRUE(),INDEX(F63:O63&gt;0,0),0)),"—")</f>
        <v>6°</v>
      </c>
    </row>
    <row r="64" customFormat="false" ht="23.85" hidden="false" customHeight="false" outlineLevel="0" collapsed="false">
      <c r="A64" s="23" t="s">
        <v>245</v>
      </c>
      <c r="B64" s="23" t="s">
        <v>185</v>
      </c>
      <c r="C64" s="23" t="s">
        <v>91</v>
      </c>
      <c r="D64" s="23" t="s">
        <v>243</v>
      </c>
      <c r="E64" s="23" t="s">
        <v>246</v>
      </c>
      <c r="F64" s="23" t="n">
        <f aca="false">COUNTIFS(Temas_TIMSS!$V$5:$V$1264,F$4,Temas_TIMSS!$K$5:$K$1264,$A64)+COUNTIFS(Temas_TIMSS!$V$5:$V$1264,F$4,Temas_TIMSS!$L$5:$L$1264,$A64)</f>
        <v>0</v>
      </c>
      <c r="G64" s="23" t="n">
        <f aca="false">COUNTIFS(Temas_TIMSS!$V$5:$V$1264,G$4,Temas_TIMSS!$K$5:$K$1264,$A64)+COUNTIFS(Temas_TIMSS!$V$5:$V$1264,G$4,Temas_TIMSS!$L$5:$L$1264,$A64)</f>
        <v>0</v>
      </c>
      <c r="H64" s="23" t="n">
        <f aca="false">COUNTIFS(Temas_TIMSS!$V$5:$V$1264,H$4,Temas_TIMSS!$K$5:$K$1264,$A64)+COUNTIFS(Temas_TIMSS!$V$5:$V$1264,H$4,Temas_TIMSS!$L$5:$L$1264,$A64)</f>
        <v>0</v>
      </c>
      <c r="I64" s="23" t="n">
        <f aca="false">COUNTIFS(Temas_TIMSS!$V$5:$V$1264,I$4,Temas_TIMSS!$K$5:$K$1264,$A64)+COUNTIFS(Temas_TIMSS!$V$5:$V$1264,I$4,Temas_TIMSS!$L$5:$L$1264,$A64)</f>
        <v>0</v>
      </c>
      <c r="J64" s="23" t="n">
        <f aca="false">COUNTIFS(Temas_TIMSS!$V$5:$V$1264,J$4,Temas_TIMSS!$K$5:$K$1264,$A64)+COUNTIFS(Temas_TIMSS!$V$5:$V$1264,J$4,Temas_TIMSS!$L$5:$L$1264,$A64)</f>
        <v>2</v>
      </c>
      <c r="K64" s="23" t="n">
        <f aca="false">COUNTIFS(Temas_TIMSS!$V$5:$V$1264,K$4,Temas_TIMSS!$K$5:$K$1264,$A64)+COUNTIFS(Temas_TIMSS!$V$5:$V$1264,K$4,Temas_TIMSS!$L$5:$L$1264,$A64)</f>
        <v>0</v>
      </c>
      <c r="L64" s="23" t="n">
        <f aca="false">COUNTIFS(Temas_TIMSS!$V$5:$V$1264,L$4,Temas_TIMSS!$K$5:$K$1264,$A64)+COUNTIFS(Temas_TIMSS!$V$5:$V$1264,L$4,Temas_TIMSS!$L$5:$L$1264,$A64)</f>
        <v>2</v>
      </c>
      <c r="M64" s="23" t="n">
        <f aca="false">COUNTIFS(Temas_TIMSS!$V$5:$V$1264,M$4,Temas_TIMSS!$K$5:$K$1264,$A64)+COUNTIFS(Temas_TIMSS!$V$5:$V$1264,M$4,Temas_TIMSS!$L$5:$L$1264,$A64)</f>
        <v>3</v>
      </c>
      <c r="N64" s="23" t="n">
        <f aca="false">COUNTIFS(Temas_TIMSS!$V$5:$V$1264,N$4,Temas_TIMSS!$K$5:$K$1264,$A64)+COUNTIFS(Temas_TIMSS!$V$5:$V$1264,N$4,Temas_TIMSS!$L$5:$L$1264,$A64)</f>
        <v>0</v>
      </c>
      <c r="O64" s="23" t="n">
        <f aca="false">COUNTIFS(Temas_TIMSS!$V$5:$V$1264,O$4,Temas_TIMSS!$K$5:$K$1264,$A64)+COUNTIFS(Temas_TIMSS!$V$5:$V$1264,O$4,Temas_TIMSS!$L$5:$L$1264,$A64)</f>
        <v>0</v>
      </c>
      <c r="P64" s="23" t="n">
        <f aca="false">IF($B64="T4",SUM(F64:H64),IF($B64="T8",SUM(I64:L64),SUM(N64:O64)))</f>
        <v>4</v>
      </c>
      <c r="Q64" s="23" t="n">
        <f aca="false">COUNTIFS(Temas_TIMSS!$K$5:$K$1264,$A64)</f>
        <v>2</v>
      </c>
      <c r="R64" s="23" t="str">
        <f aca="false">IF(P64&gt;0,"Sí","No")</f>
        <v>Sí</v>
      </c>
      <c r="S64" s="23" t="str">
        <f aca="false">IF(P64=0,"No cubierto",IF(P64=1,"Débil (1 tema)",IF(P64&lt;=3,"Básica (2–3)","Sólida (4+)")))</f>
        <v>Sólida (4+)</v>
      </c>
      <c r="T64" s="23" t="str">
        <f aca="false">IFERROR(INDEX($F$4:$O$4,MATCH(TRUE(),INDEX(F64:O64&gt;0,0),0)),"—")</f>
        <v>6°</v>
      </c>
    </row>
    <row r="65" customFormat="false" ht="23.85" hidden="false" customHeight="false" outlineLevel="0" collapsed="false">
      <c r="A65" s="23" t="s">
        <v>247</v>
      </c>
      <c r="B65" s="23" t="s">
        <v>185</v>
      </c>
      <c r="C65" s="23" t="s">
        <v>91</v>
      </c>
      <c r="D65" s="23" t="s">
        <v>248</v>
      </c>
      <c r="E65" s="23" t="s">
        <v>249</v>
      </c>
      <c r="F65" s="23" t="n">
        <f aca="false">COUNTIFS(Temas_TIMSS!$V$5:$V$1264,F$4,Temas_TIMSS!$K$5:$K$1264,$A65)+COUNTIFS(Temas_TIMSS!$V$5:$V$1264,F$4,Temas_TIMSS!$L$5:$L$1264,$A65)</f>
        <v>0</v>
      </c>
      <c r="G65" s="23" t="n">
        <f aca="false">COUNTIFS(Temas_TIMSS!$V$5:$V$1264,G$4,Temas_TIMSS!$K$5:$K$1264,$A65)+COUNTIFS(Temas_TIMSS!$V$5:$V$1264,G$4,Temas_TIMSS!$L$5:$L$1264,$A65)</f>
        <v>0</v>
      </c>
      <c r="H65" s="23" t="n">
        <f aca="false">COUNTIFS(Temas_TIMSS!$V$5:$V$1264,H$4,Temas_TIMSS!$K$5:$K$1264,$A65)+COUNTIFS(Temas_TIMSS!$V$5:$V$1264,H$4,Temas_TIMSS!$L$5:$L$1264,$A65)</f>
        <v>0</v>
      </c>
      <c r="I65" s="23" t="n">
        <f aca="false">COUNTIFS(Temas_TIMSS!$V$5:$V$1264,I$4,Temas_TIMSS!$K$5:$K$1264,$A65)+COUNTIFS(Temas_TIMSS!$V$5:$V$1264,I$4,Temas_TIMSS!$L$5:$L$1264,$A65)</f>
        <v>4</v>
      </c>
      <c r="J65" s="23" t="n">
        <f aca="false">COUNTIFS(Temas_TIMSS!$V$5:$V$1264,J$4,Temas_TIMSS!$K$5:$K$1264,$A65)+COUNTIFS(Temas_TIMSS!$V$5:$V$1264,J$4,Temas_TIMSS!$L$5:$L$1264,$A65)</f>
        <v>0</v>
      </c>
      <c r="K65" s="23" t="n">
        <f aca="false">COUNTIFS(Temas_TIMSS!$V$5:$V$1264,K$4,Temas_TIMSS!$K$5:$K$1264,$A65)+COUNTIFS(Temas_TIMSS!$V$5:$V$1264,K$4,Temas_TIMSS!$L$5:$L$1264,$A65)</f>
        <v>5</v>
      </c>
      <c r="L65" s="23" t="n">
        <f aca="false">COUNTIFS(Temas_TIMSS!$V$5:$V$1264,L$4,Temas_TIMSS!$K$5:$K$1264,$A65)+COUNTIFS(Temas_TIMSS!$V$5:$V$1264,L$4,Temas_TIMSS!$L$5:$L$1264,$A65)</f>
        <v>13</v>
      </c>
      <c r="M65" s="23" t="n">
        <f aca="false">COUNTIFS(Temas_TIMSS!$V$5:$V$1264,M$4,Temas_TIMSS!$K$5:$K$1264,$A65)+COUNTIFS(Temas_TIMSS!$V$5:$V$1264,M$4,Temas_TIMSS!$L$5:$L$1264,$A65)</f>
        <v>10</v>
      </c>
      <c r="N65" s="23" t="n">
        <f aca="false">COUNTIFS(Temas_TIMSS!$V$5:$V$1264,N$4,Temas_TIMSS!$K$5:$K$1264,$A65)+COUNTIFS(Temas_TIMSS!$V$5:$V$1264,N$4,Temas_TIMSS!$L$5:$L$1264,$A65)</f>
        <v>0</v>
      </c>
      <c r="O65" s="23" t="n">
        <f aca="false">COUNTIFS(Temas_TIMSS!$V$5:$V$1264,O$4,Temas_TIMSS!$K$5:$K$1264,$A65)+COUNTIFS(Temas_TIMSS!$V$5:$V$1264,O$4,Temas_TIMSS!$L$5:$L$1264,$A65)</f>
        <v>0</v>
      </c>
      <c r="P65" s="23" t="n">
        <f aca="false">IF($B65="T4",SUM(F65:H65),IF($B65="T8",SUM(I65:L65),SUM(N65:O65)))</f>
        <v>22</v>
      </c>
      <c r="Q65" s="23" t="n">
        <f aca="false">COUNTIFS(Temas_TIMSS!$K$5:$K$1264,$A65)</f>
        <v>25</v>
      </c>
      <c r="R65" s="23" t="str">
        <f aca="false">IF(P65&gt;0,"Sí","No")</f>
        <v>Sí</v>
      </c>
      <c r="S65" s="23" t="str">
        <f aca="false">IF(P65=0,"No cubierto",IF(P65=1,"Débil (1 tema)",IF(P65&lt;=3,"Básica (2–3)","Sólida (4+)")))</f>
        <v>Sólida (4+)</v>
      </c>
      <c r="T65" s="23" t="str">
        <f aca="false">IFERROR(INDEX($F$4:$O$4,MATCH(TRUE(),INDEX(F65:O65&gt;0,0),0)),"—")</f>
        <v>5°</v>
      </c>
    </row>
    <row r="66" customFormat="false" ht="23.85" hidden="false" customHeight="false" outlineLevel="0" collapsed="false">
      <c r="A66" s="23" t="s">
        <v>250</v>
      </c>
      <c r="B66" s="23" t="s">
        <v>185</v>
      </c>
      <c r="C66" s="23" t="s">
        <v>91</v>
      </c>
      <c r="D66" s="23" t="s">
        <v>248</v>
      </c>
      <c r="E66" s="23" t="s">
        <v>251</v>
      </c>
      <c r="F66" s="23" t="n">
        <f aca="false">COUNTIFS(Temas_TIMSS!$V$5:$V$1264,F$4,Temas_TIMSS!$K$5:$K$1264,$A66)+COUNTIFS(Temas_TIMSS!$V$5:$V$1264,F$4,Temas_TIMSS!$L$5:$L$1264,$A66)</f>
        <v>0</v>
      </c>
      <c r="G66" s="23" t="n">
        <f aca="false">COUNTIFS(Temas_TIMSS!$V$5:$V$1264,G$4,Temas_TIMSS!$K$5:$K$1264,$A66)+COUNTIFS(Temas_TIMSS!$V$5:$V$1264,G$4,Temas_TIMSS!$L$5:$L$1264,$A66)</f>
        <v>0</v>
      </c>
      <c r="H66" s="23" t="n">
        <f aca="false">COUNTIFS(Temas_TIMSS!$V$5:$V$1264,H$4,Temas_TIMSS!$K$5:$K$1264,$A66)+COUNTIFS(Temas_TIMSS!$V$5:$V$1264,H$4,Temas_TIMSS!$L$5:$L$1264,$A66)</f>
        <v>0</v>
      </c>
      <c r="I66" s="23" t="n">
        <f aca="false">COUNTIFS(Temas_TIMSS!$V$5:$V$1264,I$4,Temas_TIMSS!$K$5:$K$1264,$A66)+COUNTIFS(Temas_TIMSS!$V$5:$V$1264,I$4,Temas_TIMSS!$L$5:$L$1264,$A66)</f>
        <v>0</v>
      </c>
      <c r="J66" s="23" t="n">
        <f aca="false">COUNTIFS(Temas_TIMSS!$V$5:$V$1264,J$4,Temas_TIMSS!$K$5:$K$1264,$A66)+COUNTIFS(Temas_TIMSS!$V$5:$V$1264,J$4,Temas_TIMSS!$L$5:$L$1264,$A66)</f>
        <v>6</v>
      </c>
      <c r="K66" s="23" t="n">
        <f aca="false">COUNTIFS(Temas_TIMSS!$V$5:$V$1264,K$4,Temas_TIMSS!$K$5:$K$1264,$A66)+COUNTIFS(Temas_TIMSS!$V$5:$V$1264,K$4,Temas_TIMSS!$L$5:$L$1264,$A66)</f>
        <v>0</v>
      </c>
      <c r="L66" s="23" t="n">
        <f aca="false">COUNTIFS(Temas_TIMSS!$V$5:$V$1264,L$4,Temas_TIMSS!$K$5:$K$1264,$A66)+COUNTIFS(Temas_TIMSS!$V$5:$V$1264,L$4,Temas_TIMSS!$L$5:$L$1264,$A66)</f>
        <v>0</v>
      </c>
      <c r="M66" s="23" t="n">
        <f aca="false">COUNTIFS(Temas_TIMSS!$V$5:$V$1264,M$4,Temas_TIMSS!$K$5:$K$1264,$A66)+COUNTIFS(Temas_TIMSS!$V$5:$V$1264,M$4,Temas_TIMSS!$L$5:$L$1264,$A66)</f>
        <v>6</v>
      </c>
      <c r="N66" s="23" t="n">
        <f aca="false">COUNTIFS(Temas_TIMSS!$V$5:$V$1264,N$4,Temas_TIMSS!$K$5:$K$1264,$A66)+COUNTIFS(Temas_TIMSS!$V$5:$V$1264,N$4,Temas_TIMSS!$L$5:$L$1264,$A66)</f>
        <v>0</v>
      </c>
      <c r="O66" s="23" t="n">
        <f aca="false">COUNTIFS(Temas_TIMSS!$V$5:$V$1264,O$4,Temas_TIMSS!$K$5:$K$1264,$A66)+COUNTIFS(Temas_TIMSS!$V$5:$V$1264,O$4,Temas_TIMSS!$L$5:$L$1264,$A66)</f>
        <v>0</v>
      </c>
      <c r="P66" s="23" t="n">
        <f aca="false">IF($B66="T4",SUM(F66:H66),IF($B66="T8",SUM(I66:L66),SUM(N66:O66)))</f>
        <v>6</v>
      </c>
      <c r="Q66" s="23" t="n">
        <f aca="false">COUNTIFS(Temas_TIMSS!$K$5:$K$1264,$A66)</f>
        <v>8</v>
      </c>
      <c r="R66" s="23" t="str">
        <f aca="false">IF(P66&gt;0,"Sí","No")</f>
        <v>Sí</v>
      </c>
      <c r="S66" s="23" t="str">
        <f aca="false">IF(P66=0,"No cubierto",IF(P66=1,"Débil (1 tema)",IF(P66&lt;=3,"Básica (2–3)","Sólida (4+)")))</f>
        <v>Sólida (4+)</v>
      </c>
      <c r="T66" s="23" t="str">
        <f aca="false">IFERROR(INDEX($F$4:$O$4,MATCH(TRUE(),INDEX(F66:O66&gt;0,0),0)),"—")</f>
        <v>6°</v>
      </c>
    </row>
    <row r="67" customFormat="false" ht="15" hidden="false" customHeight="false" outlineLevel="0" collapsed="false">
      <c r="A67" s="23" t="s">
        <v>252</v>
      </c>
      <c r="B67" s="23" t="s">
        <v>185</v>
      </c>
      <c r="C67" s="23" t="s">
        <v>91</v>
      </c>
      <c r="D67" s="23" t="s">
        <v>253</v>
      </c>
      <c r="E67" s="23" t="s">
        <v>254</v>
      </c>
      <c r="F67" s="23" t="n">
        <f aca="false">COUNTIFS(Temas_TIMSS!$V$5:$V$1264,F$4,Temas_TIMSS!$K$5:$K$1264,$A67)+COUNTIFS(Temas_TIMSS!$V$5:$V$1264,F$4,Temas_TIMSS!$L$5:$L$1264,$A67)</f>
        <v>0</v>
      </c>
      <c r="G67" s="23" t="n">
        <f aca="false">COUNTIFS(Temas_TIMSS!$V$5:$V$1264,G$4,Temas_TIMSS!$K$5:$K$1264,$A67)+COUNTIFS(Temas_TIMSS!$V$5:$V$1264,G$4,Temas_TIMSS!$L$5:$L$1264,$A67)</f>
        <v>0</v>
      </c>
      <c r="H67" s="23" t="n">
        <f aca="false">COUNTIFS(Temas_TIMSS!$V$5:$V$1264,H$4,Temas_TIMSS!$K$5:$K$1264,$A67)+COUNTIFS(Temas_TIMSS!$V$5:$V$1264,H$4,Temas_TIMSS!$L$5:$L$1264,$A67)</f>
        <v>0</v>
      </c>
      <c r="I67" s="23" t="n">
        <f aca="false">COUNTIFS(Temas_TIMSS!$V$5:$V$1264,I$4,Temas_TIMSS!$K$5:$K$1264,$A67)+COUNTIFS(Temas_TIMSS!$V$5:$V$1264,I$4,Temas_TIMSS!$L$5:$L$1264,$A67)</f>
        <v>0</v>
      </c>
      <c r="J67" s="23" t="n">
        <f aca="false">COUNTIFS(Temas_TIMSS!$V$5:$V$1264,J$4,Temas_TIMSS!$K$5:$K$1264,$A67)+COUNTIFS(Temas_TIMSS!$V$5:$V$1264,J$4,Temas_TIMSS!$L$5:$L$1264,$A67)</f>
        <v>0</v>
      </c>
      <c r="K67" s="23" t="n">
        <f aca="false">COUNTIFS(Temas_TIMSS!$V$5:$V$1264,K$4,Temas_TIMSS!$K$5:$K$1264,$A67)+COUNTIFS(Temas_TIMSS!$V$5:$V$1264,K$4,Temas_TIMSS!$L$5:$L$1264,$A67)</f>
        <v>0</v>
      </c>
      <c r="L67" s="23" t="n">
        <f aca="false">COUNTIFS(Temas_TIMSS!$V$5:$V$1264,L$4,Temas_TIMSS!$K$5:$K$1264,$A67)+COUNTIFS(Temas_TIMSS!$V$5:$V$1264,L$4,Temas_TIMSS!$L$5:$L$1264,$A67)</f>
        <v>0</v>
      </c>
      <c r="M67" s="23" t="n">
        <f aca="false">COUNTIFS(Temas_TIMSS!$V$5:$V$1264,M$4,Temas_TIMSS!$K$5:$K$1264,$A67)+COUNTIFS(Temas_TIMSS!$V$5:$V$1264,M$4,Temas_TIMSS!$L$5:$L$1264,$A67)</f>
        <v>0</v>
      </c>
      <c r="N67" s="23" t="n">
        <f aca="false">COUNTIFS(Temas_TIMSS!$V$5:$V$1264,N$4,Temas_TIMSS!$K$5:$K$1264,$A67)+COUNTIFS(Temas_TIMSS!$V$5:$V$1264,N$4,Temas_TIMSS!$L$5:$L$1264,$A67)</f>
        <v>0</v>
      </c>
      <c r="O67" s="23" t="n">
        <f aca="false">COUNTIFS(Temas_TIMSS!$V$5:$V$1264,O$4,Temas_TIMSS!$K$5:$K$1264,$A67)+COUNTIFS(Temas_TIMSS!$V$5:$V$1264,O$4,Temas_TIMSS!$L$5:$L$1264,$A67)</f>
        <v>0</v>
      </c>
      <c r="P67" s="23" t="n">
        <f aca="false">IF($B67="T4",SUM(F67:H67),IF($B67="T8",SUM(I67:L67),SUM(N67:O67)))</f>
        <v>0</v>
      </c>
      <c r="Q67" s="23" t="n">
        <f aca="false">COUNTIFS(Temas_TIMSS!$K$5:$K$1264,$A67)</f>
        <v>0</v>
      </c>
      <c r="R67" s="23" t="str">
        <f aca="false">IF(P67&gt;0,"Sí","No")</f>
        <v>No</v>
      </c>
      <c r="S67" s="23" t="str">
        <f aca="false">IF(P67=0,"No cubierto",IF(P67=1,"Débil (1 tema)",IF(P67&lt;=3,"Básica (2–3)","Sólida (4+)")))</f>
        <v>No cubierto</v>
      </c>
      <c r="T67" s="23" t="str">
        <f aca="false">IFERROR(INDEX($F$4:$O$4,MATCH(TRUE(),INDEX(F67:O67&gt;0,0),0)),"—")</f>
        <v>—</v>
      </c>
    </row>
    <row r="68" customFormat="false" ht="15" hidden="false" customHeight="false" outlineLevel="0" collapsed="false">
      <c r="A68" s="23" t="s">
        <v>255</v>
      </c>
      <c r="B68" s="23" t="s">
        <v>185</v>
      </c>
      <c r="C68" s="23" t="s">
        <v>91</v>
      </c>
      <c r="D68" s="23" t="s">
        <v>253</v>
      </c>
      <c r="E68" s="23" t="s">
        <v>256</v>
      </c>
      <c r="F68" s="23" t="n">
        <f aca="false">COUNTIFS(Temas_TIMSS!$V$5:$V$1264,F$4,Temas_TIMSS!$K$5:$K$1264,$A68)+COUNTIFS(Temas_TIMSS!$V$5:$V$1264,F$4,Temas_TIMSS!$L$5:$L$1264,$A68)</f>
        <v>0</v>
      </c>
      <c r="G68" s="23" t="n">
        <f aca="false">COUNTIFS(Temas_TIMSS!$V$5:$V$1264,G$4,Temas_TIMSS!$K$5:$K$1264,$A68)+COUNTIFS(Temas_TIMSS!$V$5:$V$1264,G$4,Temas_TIMSS!$L$5:$L$1264,$A68)</f>
        <v>0</v>
      </c>
      <c r="H68" s="23" t="n">
        <f aca="false">COUNTIFS(Temas_TIMSS!$V$5:$V$1264,H$4,Temas_TIMSS!$K$5:$K$1264,$A68)+COUNTIFS(Temas_TIMSS!$V$5:$V$1264,H$4,Temas_TIMSS!$L$5:$L$1264,$A68)</f>
        <v>0</v>
      </c>
      <c r="I68" s="23" t="n">
        <f aca="false">COUNTIFS(Temas_TIMSS!$V$5:$V$1264,I$4,Temas_TIMSS!$K$5:$K$1264,$A68)+COUNTIFS(Temas_TIMSS!$V$5:$V$1264,I$4,Temas_TIMSS!$L$5:$L$1264,$A68)</f>
        <v>0</v>
      </c>
      <c r="J68" s="23" t="n">
        <f aca="false">COUNTIFS(Temas_TIMSS!$V$5:$V$1264,J$4,Temas_TIMSS!$K$5:$K$1264,$A68)+COUNTIFS(Temas_TIMSS!$V$5:$V$1264,J$4,Temas_TIMSS!$L$5:$L$1264,$A68)</f>
        <v>0</v>
      </c>
      <c r="K68" s="23" t="n">
        <f aca="false">COUNTIFS(Temas_TIMSS!$V$5:$V$1264,K$4,Temas_TIMSS!$K$5:$K$1264,$A68)+COUNTIFS(Temas_TIMSS!$V$5:$V$1264,K$4,Temas_TIMSS!$L$5:$L$1264,$A68)</f>
        <v>0</v>
      </c>
      <c r="L68" s="23" t="n">
        <f aca="false">COUNTIFS(Temas_TIMSS!$V$5:$V$1264,L$4,Temas_TIMSS!$K$5:$K$1264,$A68)+COUNTIFS(Temas_TIMSS!$V$5:$V$1264,L$4,Temas_TIMSS!$L$5:$L$1264,$A68)</f>
        <v>6</v>
      </c>
      <c r="M68" s="23" t="n">
        <f aca="false">COUNTIFS(Temas_TIMSS!$V$5:$V$1264,M$4,Temas_TIMSS!$K$5:$K$1264,$A68)+COUNTIFS(Temas_TIMSS!$V$5:$V$1264,M$4,Temas_TIMSS!$L$5:$L$1264,$A68)</f>
        <v>0</v>
      </c>
      <c r="N68" s="23" t="n">
        <f aca="false">COUNTIFS(Temas_TIMSS!$V$5:$V$1264,N$4,Temas_TIMSS!$K$5:$K$1264,$A68)+COUNTIFS(Temas_TIMSS!$V$5:$V$1264,N$4,Temas_TIMSS!$L$5:$L$1264,$A68)</f>
        <v>0</v>
      </c>
      <c r="O68" s="23" t="n">
        <f aca="false">COUNTIFS(Temas_TIMSS!$V$5:$V$1264,O$4,Temas_TIMSS!$K$5:$K$1264,$A68)+COUNTIFS(Temas_TIMSS!$V$5:$V$1264,O$4,Temas_TIMSS!$L$5:$L$1264,$A68)</f>
        <v>0</v>
      </c>
      <c r="P68" s="23" t="n">
        <f aca="false">IF($B68="T4",SUM(F68:H68),IF($B68="T8",SUM(I68:L68),SUM(N68:O68)))</f>
        <v>6</v>
      </c>
      <c r="Q68" s="23" t="n">
        <f aca="false">COUNTIFS(Temas_TIMSS!$K$5:$K$1264,$A68)</f>
        <v>6</v>
      </c>
      <c r="R68" s="23" t="str">
        <f aca="false">IF(P68&gt;0,"Sí","No")</f>
        <v>Sí</v>
      </c>
      <c r="S68" s="23" t="str">
        <f aca="false">IF(P68=0,"No cubierto",IF(P68=1,"Débil (1 tema)",IF(P68&lt;=3,"Básica (2–3)","Sólida (4+)")))</f>
        <v>Sólida (4+)</v>
      </c>
      <c r="T68" s="23" t="str">
        <f aca="false">IFERROR(INDEX($F$4:$O$4,MATCH(TRUE(),INDEX(F68:O68&gt;0,0),0)),"—")</f>
        <v>8°</v>
      </c>
    </row>
    <row r="69" customFormat="false" ht="15" hidden="false" customHeight="false" outlineLevel="0" collapsed="false">
      <c r="A69" s="23" t="s">
        <v>257</v>
      </c>
      <c r="B69" s="23" t="s">
        <v>185</v>
      </c>
      <c r="C69" s="23" t="s">
        <v>91</v>
      </c>
      <c r="D69" s="23" t="s">
        <v>93</v>
      </c>
      <c r="E69" s="23" t="s">
        <v>258</v>
      </c>
      <c r="F69" s="23" t="n">
        <f aca="false">COUNTIFS(Temas_TIMSS!$V$5:$V$1264,F$4,Temas_TIMSS!$K$5:$K$1264,$A69)+COUNTIFS(Temas_TIMSS!$V$5:$V$1264,F$4,Temas_TIMSS!$L$5:$L$1264,$A69)</f>
        <v>0</v>
      </c>
      <c r="G69" s="23" t="n">
        <f aca="false">COUNTIFS(Temas_TIMSS!$V$5:$V$1264,G$4,Temas_TIMSS!$K$5:$K$1264,$A69)+COUNTIFS(Temas_TIMSS!$V$5:$V$1264,G$4,Temas_TIMSS!$L$5:$L$1264,$A69)</f>
        <v>0</v>
      </c>
      <c r="H69" s="23" t="n">
        <f aca="false">COUNTIFS(Temas_TIMSS!$V$5:$V$1264,H$4,Temas_TIMSS!$K$5:$K$1264,$A69)+COUNTIFS(Temas_TIMSS!$V$5:$V$1264,H$4,Temas_TIMSS!$L$5:$L$1264,$A69)</f>
        <v>0</v>
      </c>
      <c r="I69" s="23" t="n">
        <f aca="false">COUNTIFS(Temas_TIMSS!$V$5:$V$1264,I$4,Temas_TIMSS!$K$5:$K$1264,$A69)+COUNTIFS(Temas_TIMSS!$V$5:$V$1264,I$4,Temas_TIMSS!$L$5:$L$1264,$A69)</f>
        <v>0</v>
      </c>
      <c r="J69" s="23" t="n">
        <f aca="false">COUNTIFS(Temas_TIMSS!$V$5:$V$1264,J$4,Temas_TIMSS!$K$5:$K$1264,$A69)+COUNTIFS(Temas_TIMSS!$V$5:$V$1264,J$4,Temas_TIMSS!$L$5:$L$1264,$A69)</f>
        <v>7</v>
      </c>
      <c r="K69" s="23" t="n">
        <f aca="false">COUNTIFS(Temas_TIMSS!$V$5:$V$1264,K$4,Temas_TIMSS!$K$5:$K$1264,$A69)+COUNTIFS(Temas_TIMSS!$V$5:$V$1264,K$4,Temas_TIMSS!$L$5:$L$1264,$A69)</f>
        <v>0</v>
      </c>
      <c r="L69" s="23" t="n">
        <f aca="false">COUNTIFS(Temas_TIMSS!$V$5:$V$1264,L$4,Temas_TIMSS!$K$5:$K$1264,$A69)+COUNTIFS(Temas_TIMSS!$V$5:$V$1264,L$4,Temas_TIMSS!$L$5:$L$1264,$A69)</f>
        <v>0</v>
      </c>
      <c r="M69" s="23" t="n">
        <f aca="false">COUNTIFS(Temas_TIMSS!$V$5:$V$1264,M$4,Temas_TIMSS!$K$5:$K$1264,$A69)+COUNTIFS(Temas_TIMSS!$V$5:$V$1264,M$4,Temas_TIMSS!$L$5:$L$1264,$A69)</f>
        <v>8</v>
      </c>
      <c r="N69" s="23" t="n">
        <f aca="false">COUNTIFS(Temas_TIMSS!$V$5:$V$1264,N$4,Temas_TIMSS!$K$5:$K$1264,$A69)+COUNTIFS(Temas_TIMSS!$V$5:$V$1264,N$4,Temas_TIMSS!$L$5:$L$1264,$A69)</f>
        <v>0</v>
      </c>
      <c r="O69" s="23" t="n">
        <f aca="false">COUNTIFS(Temas_TIMSS!$V$5:$V$1264,O$4,Temas_TIMSS!$K$5:$K$1264,$A69)+COUNTIFS(Temas_TIMSS!$V$5:$V$1264,O$4,Temas_TIMSS!$L$5:$L$1264,$A69)</f>
        <v>0</v>
      </c>
      <c r="P69" s="23" t="n">
        <f aca="false">IF($B69="T4",SUM(F69:H69),IF($B69="T8",SUM(I69:L69),SUM(N69:O69)))</f>
        <v>7</v>
      </c>
      <c r="Q69" s="23" t="n">
        <f aca="false">COUNTIFS(Temas_TIMSS!$K$5:$K$1264,$A69)</f>
        <v>13</v>
      </c>
      <c r="R69" s="23" t="str">
        <f aca="false">IF(P69&gt;0,"Sí","No")</f>
        <v>Sí</v>
      </c>
      <c r="S69" s="23" t="str">
        <f aca="false">IF(P69=0,"No cubierto",IF(P69=1,"Débil (1 tema)",IF(P69&lt;=3,"Básica (2–3)","Sólida (4+)")))</f>
        <v>Sólida (4+)</v>
      </c>
      <c r="T69" s="23" t="str">
        <f aca="false">IFERROR(INDEX($F$4:$O$4,MATCH(TRUE(),INDEX(F69:O69&gt;0,0),0)),"—")</f>
        <v>6°</v>
      </c>
    </row>
    <row r="70" customFormat="false" ht="15" hidden="false" customHeight="false" outlineLevel="0" collapsed="false">
      <c r="A70" s="23" t="s">
        <v>259</v>
      </c>
      <c r="B70" s="23" t="s">
        <v>185</v>
      </c>
      <c r="C70" s="23" t="s">
        <v>91</v>
      </c>
      <c r="D70" s="23" t="s">
        <v>93</v>
      </c>
      <c r="E70" s="23" t="s">
        <v>260</v>
      </c>
      <c r="F70" s="23" t="n">
        <f aca="false">COUNTIFS(Temas_TIMSS!$V$5:$V$1264,F$4,Temas_TIMSS!$K$5:$K$1264,$A70)+COUNTIFS(Temas_TIMSS!$V$5:$V$1264,F$4,Temas_TIMSS!$L$5:$L$1264,$A70)</f>
        <v>0</v>
      </c>
      <c r="G70" s="23" t="n">
        <f aca="false">COUNTIFS(Temas_TIMSS!$V$5:$V$1264,G$4,Temas_TIMSS!$K$5:$K$1264,$A70)+COUNTIFS(Temas_TIMSS!$V$5:$V$1264,G$4,Temas_TIMSS!$L$5:$L$1264,$A70)</f>
        <v>0</v>
      </c>
      <c r="H70" s="23" t="n">
        <f aca="false">COUNTIFS(Temas_TIMSS!$V$5:$V$1264,H$4,Temas_TIMSS!$K$5:$K$1264,$A70)+COUNTIFS(Temas_TIMSS!$V$5:$V$1264,H$4,Temas_TIMSS!$L$5:$L$1264,$A70)</f>
        <v>0</v>
      </c>
      <c r="I70" s="23" t="n">
        <f aca="false">COUNTIFS(Temas_TIMSS!$V$5:$V$1264,I$4,Temas_TIMSS!$K$5:$K$1264,$A70)+COUNTIFS(Temas_TIMSS!$V$5:$V$1264,I$4,Temas_TIMSS!$L$5:$L$1264,$A70)</f>
        <v>1</v>
      </c>
      <c r="J70" s="23" t="n">
        <f aca="false">COUNTIFS(Temas_TIMSS!$V$5:$V$1264,J$4,Temas_TIMSS!$K$5:$K$1264,$A70)+COUNTIFS(Temas_TIMSS!$V$5:$V$1264,J$4,Temas_TIMSS!$L$5:$L$1264,$A70)</f>
        <v>2</v>
      </c>
      <c r="K70" s="23" t="n">
        <f aca="false">COUNTIFS(Temas_TIMSS!$V$5:$V$1264,K$4,Temas_TIMSS!$K$5:$K$1264,$A70)+COUNTIFS(Temas_TIMSS!$V$5:$V$1264,K$4,Temas_TIMSS!$L$5:$L$1264,$A70)</f>
        <v>0</v>
      </c>
      <c r="L70" s="23" t="n">
        <f aca="false">COUNTIFS(Temas_TIMSS!$V$5:$V$1264,L$4,Temas_TIMSS!$K$5:$K$1264,$A70)+COUNTIFS(Temas_TIMSS!$V$5:$V$1264,L$4,Temas_TIMSS!$L$5:$L$1264,$A70)</f>
        <v>0</v>
      </c>
      <c r="M70" s="23" t="n">
        <f aca="false">COUNTIFS(Temas_TIMSS!$V$5:$V$1264,M$4,Temas_TIMSS!$K$5:$K$1264,$A70)+COUNTIFS(Temas_TIMSS!$V$5:$V$1264,M$4,Temas_TIMSS!$L$5:$L$1264,$A70)</f>
        <v>6</v>
      </c>
      <c r="N70" s="23" t="n">
        <f aca="false">COUNTIFS(Temas_TIMSS!$V$5:$V$1264,N$4,Temas_TIMSS!$K$5:$K$1264,$A70)+COUNTIFS(Temas_TIMSS!$V$5:$V$1264,N$4,Temas_TIMSS!$L$5:$L$1264,$A70)</f>
        <v>0</v>
      </c>
      <c r="O70" s="23" t="n">
        <f aca="false">COUNTIFS(Temas_TIMSS!$V$5:$V$1264,O$4,Temas_TIMSS!$K$5:$K$1264,$A70)+COUNTIFS(Temas_TIMSS!$V$5:$V$1264,O$4,Temas_TIMSS!$L$5:$L$1264,$A70)</f>
        <v>0</v>
      </c>
      <c r="P70" s="23" t="n">
        <f aca="false">IF($B70="T4",SUM(F70:H70),IF($B70="T8",SUM(I70:L70),SUM(N70:O70)))</f>
        <v>3</v>
      </c>
      <c r="Q70" s="23" t="n">
        <f aca="false">COUNTIFS(Temas_TIMSS!$K$5:$K$1264,$A70)</f>
        <v>9</v>
      </c>
      <c r="R70" s="23" t="str">
        <f aca="false">IF(P70&gt;0,"Sí","No")</f>
        <v>Sí</v>
      </c>
      <c r="S70" s="23" t="str">
        <f aca="false">IF(P70=0,"No cubierto",IF(P70=1,"Débil (1 tema)",IF(P70&lt;=3,"Básica (2–3)","Sólida (4+)")))</f>
        <v>Básica (2–3)</v>
      </c>
      <c r="T70" s="23" t="str">
        <f aca="false">IFERROR(INDEX($F$4:$O$4,MATCH(TRUE(),INDEX(F70:O70&gt;0,0),0)),"—")</f>
        <v>5°</v>
      </c>
    </row>
    <row r="71" customFormat="false" ht="15" hidden="false" customHeight="false" outlineLevel="0" collapsed="false">
      <c r="A71" s="23" t="s">
        <v>261</v>
      </c>
      <c r="B71" s="23" t="s">
        <v>185</v>
      </c>
      <c r="C71" s="23" t="s">
        <v>91</v>
      </c>
      <c r="D71" s="23" t="s">
        <v>262</v>
      </c>
      <c r="E71" s="23" t="s">
        <v>263</v>
      </c>
      <c r="F71" s="23" t="n">
        <f aca="false">COUNTIFS(Temas_TIMSS!$V$5:$V$1264,F$4,Temas_TIMSS!$K$5:$K$1264,$A71)+COUNTIFS(Temas_TIMSS!$V$5:$V$1264,F$4,Temas_TIMSS!$L$5:$L$1264,$A71)</f>
        <v>0</v>
      </c>
      <c r="G71" s="23" t="n">
        <f aca="false">COUNTIFS(Temas_TIMSS!$V$5:$V$1264,G$4,Temas_TIMSS!$K$5:$K$1264,$A71)+COUNTIFS(Temas_TIMSS!$V$5:$V$1264,G$4,Temas_TIMSS!$L$5:$L$1264,$A71)</f>
        <v>0</v>
      </c>
      <c r="H71" s="23" t="n">
        <f aca="false">COUNTIFS(Temas_TIMSS!$V$5:$V$1264,H$4,Temas_TIMSS!$K$5:$K$1264,$A71)+COUNTIFS(Temas_TIMSS!$V$5:$V$1264,H$4,Temas_TIMSS!$L$5:$L$1264,$A71)</f>
        <v>0</v>
      </c>
      <c r="I71" s="23" t="n">
        <f aca="false">COUNTIFS(Temas_TIMSS!$V$5:$V$1264,I$4,Temas_TIMSS!$K$5:$K$1264,$A71)+COUNTIFS(Temas_TIMSS!$V$5:$V$1264,I$4,Temas_TIMSS!$L$5:$L$1264,$A71)</f>
        <v>7</v>
      </c>
      <c r="J71" s="23" t="n">
        <f aca="false">COUNTIFS(Temas_TIMSS!$V$5:$V$1264,J$4,Temas_TIMSS!$K$5:$K$1264,$A71)+COUNTIFS(Temas_TIMSS!$V$5:$V$1264,J$4,Temas_TIMSS!$L$5:$L$1264,$A71)</f>
        <v>0</v>
      </c>
      <c r="K71" s="23" t="n">
        <f aca="false">COUNTIFS(Temas_TIMSS!$V$5:$V$1264,K$4,Temas_TIMSS!$K$5:$K$1264,$A71)+COUNTIFS(Temas_TIMSS!$V$5:$V$1264,K$4,Temas_TIMSS!$L$5:$L$1264,$A71)</f>
        <v>0</v>
      </c>
      <c r="L71" s="23" t="n">
        <f aca="false">COUNTIFS(Temas_TIMSS!$V$5:$V$1264,L$4,Temas_TIMSS!$K$5:$K$1264,$A71)+COUNTIFS(Temas_TIMSS!$V$5:$V$1264,L$4,Temas_TIMSS!$L$5:$L$1264,$A71)</f>
        <v>6</v>
      </c>
      <c r="M71" s="23" t="n">
        <f aca="false">COUNTIFS(Temas_TIMSS!$V$5:$V$1264,M$4,Temas_TIMSS!$K$5:$K$1264,$A71)+COUNTIFS(Temas_TIMSS!$V$5:$V$1264,M$4,Temas_TIMSS!$L$5:$L$1264,$A71)</f>
        <v>0</v>
      </c>
      <c r="N71" s="23" t="n">
        <f aca="false">COUNTIFS(Temas_TIMSS!$V$5:$V$1264,N$4,Temas_TIMSS!$K$5:$K$1264,$A71)+COUNTIFS(Temas_TIMSS!$V$5:$V$1264,N$4,Temas_TIMSS!$L$5:$L$1264,$A71)</f>
        <v>0</v>
      </c>
      <c r="O71" s="23" t="n">
        <f aca="false">COUNTIFS(Temas_TIMSS!$V$5:$V$1264,O$4,Temas_TIMSS!$K$5:$K$1264,$A71)+COUNTIFS(Temas_TIMSS!$V$5:$V$1264,O$4,Temas_TIMSS!$L$5:$L$1264,$A71)</f>
        <v>0</v>
      </c>
      <c r="P71" s="23" t="n">
        <f aca="false">IF($B71="T4",SUM(F71:H71),IF($B71="T8",SUM(I71:L71),SUM(N71:O71)))</f>
        <v>13</v>
      </c>
      <c r="Q71" s="23" t="n">
        <f aca="false">COUNTIFS(Temas_TIMSS!$K$5:$K$1264,$A71)</f>
        <v>12</v>
      </c>
      <c r="R71" s="23" t="str">
        <f aca="false">IF(P71&gt;0,"Sí","No")</f>
        <v>Sí</v>
      </c>
      <c r="S71" s="23" t="str">
        <f aca="false">IF(P71=0,"No cubierto",IF(P71=1,"Débil (1 tema)",IF(P71&lt;=3,"Básica (2–3)","Sólida (4+)")))</f>
        <v>Sólida (4+)</v>
      </c>
      <c r="T71" s="23" t="str">
        <f aca="false">IFERROR(INDEX($F$4:$O$4,MATCH(TRUE(),INDEX(F71:O71&gt;0,0),0)),"—")</f>
        <v>5°</v>
      </c>
    </row>
    <row r="72" customFormat="false" ht="23.85" hidden="false" customHeight="false" outlineLevel="0" collapsed="false">
      <c r="A72" s="23" t="s">
        <v>264</v>
      </c>
      <c r="B72" s="23" t="s">
        <v>185</v>
      </c>
      <c r="C72" s="23" t="s">
        <v>91</v>
      </c>
      <c r="D72" s="23" t="s">
        <v>262</v>
      </c>
      <c r="E72" s="23" t="s">
        <v>265</v>
      </c>
      <c r="F72" s="23" t="n">
        <f aca="false">COUNTIFS(Temas_TIMSS!$V$5:$V$1264,F$4,Temas_TIMSS!$K$5:$K$1264,$A72)+COUNTIFS(Temas_TIMSS!$V$5:$V$1264,F$4,Temas_TIMSS!$L$5:$L$1264,$A72)</f>
        <v>0</v>
      </c>
      <c r="G72" s="23" t="n">
        <f aca="false">COUNTIFS(Temas_TIMSS!$V$5:$V$1264,G$4,Temas_TIMSS!$K$5:$K$1264,$A72)+COUNTIFS(Temas_TIMSS!$V$5:$V$1264,G$4,Temas_TIMSS!$L$5:$L$1264,$A72)</f>
        <v>0</v>
      </c>
      <c r="H72" s="23" t="n">
        <f aca="false">COUNTIFS(Temas_TIMSS!$V$5:$V$1264,H$4,Temas_TIMSS!$K$5:$K$1264,$A72)+COUNTIFS(Temas_TIMSS!$V$5:$V$1264,H$4,Temas_TIMSS!$L$5:$L$1264,$A72)</f>
        <v>0</v>
      </c>
      <c r="I72" s="23" t="n">
        <f aca="false">COUNTIFS(Temas_TIMSS!$V$5:$V$1264,I$4,Temas_TIMSS!$K$5:$K$1264,$A72)+COUNTIFS(Temas_TIMSS!$V$5:$V$1264,I$4,Temas_TIMSS!$L$5:$L$1264,$A72)</f>
        <v>4</v>
      </c>
      <c r="J72" s="23" t="n">
        <f aca="false">COUNTIFS(Temas_TIMSS!$V$5:$V$1264,J$4,Temas_TIMSS!$K$5:$K$1264,$A72)+COUNTIFS(Temas_TIMSS!$V$5:$V$1264,J$4,Temas_TIMSS!$L$5:$L$1264,$A72)</f>
        <v>0</v>
      </c>
      <c r="K72" s="23" t="n">
        <f aca="false">COUNTIFS(Temas_TIMSS!$V$5:$V$1264,K$4,Temas_TIMSS!$K$5:$K$1264,$A72)+COUNTIFS(Temas_TIMSS!$V$5:$V$1264,K$4,Temas_TIMSS!$L$5:$L$1264,$A72)</f>
        <v>0</v>
      </c>
      <c r="L72" s="23" t="n">
        <f aca="false">COUNTIFS(Temas_TIMSS!$V$5:$V$1264,L$4,Temas_TIMSS!$K$5:$K$1264,$A72)+COUNTIFS(Temas_TIMSS!$V$5:$V$1264,L$4,Temas_TIMSS!$L$5:$L$1264,$A72)</f>
        <v>7</v>
      </c>
      <c r="M72" s="23" t="n">
        <f aca="false">COUNTIFS(Temas_TIMSS!$V$5:$V$1264,M$4,Temas_TIMSS!$K$5:$K$1264,$A72)+COUNTIFS(Temas_TIMSS!$V$5:$V$1264,M$4,Temas_TIMSS!$L$5:$L$1264,$A72)</f>
        <v>5</v>
      </c>
      <c r="N72" s="23" t="n">
        <f aca="false">COUNTIFS(Temas_TIMSS!$V$5:$V$1264,N$4,Temas_TIMSS!$K$5:$K$1264,$A72)+COUNTIFS(Temas_TIMSS!$V$5:$V$1264,N$4,Temas_TIMSS!$L$5:$L$1264,$A72)</f>
        <v>0</v>
      </c>
      <c r="O72" s="23" t="n">
        <f aca="false">COUNTIFS(Temas_TIMSS!$V$5:$V$1264,O$4,Temas_TIMSS!$K$5:$K$1264,$A72)+COUNTIFS(Temas_TIMSS!$V$5:$V$1264,O$4,Temas_TIMSS!$L$5:$L$1264,$A72)</f>
        <v>0</v>
      </c>
      <c r="P72" s="23" t="n">
        <f aca="false">IF($B72="T4",SUM(F72:H72),IF($B72="T8",SUM(I72:L72),SUM(N72:O72)))</f>
        <v>11</v>
      </c>
      <c r="Q72" s="23" t="n">
        <f aca="false">COUNTIFS(Temas_TIMSS!$K$5:$K$1264,$A72)</f>
        <v>9</v>
      </c>
      <c r="R72" s="23" t="str">
        <f aca="false">IF(P72&gt;0,"Sí","No")</f>
        <v>Sí</v>
      </c>
      <c r="S72" s="23" t="str">
        <f aca="false">IF(P72=0,"No cubierto",IF(P72=1,"Débil (1 tema)",IF(P72&lt;=3,"Básica (2–3)","Sólida (4+)")))</f>
        <v>Sólida (4+)</v>
      </c>
      <c r="T72" s="23" t="str">
        <f aca="false">IFERROR(INDEX($F$4:$O$4,MATCH(TRUE(),INDEX(F72:O72&gt;0,0),0)),"—")</f>
        <v>5°</v>
      </c>
    </row>
    <row r="73" customFormat="false" ht="23.85" hidden="false" customHeight="false" outlineLevel="0" collapsed="false">
      <c r="A73" s="23" t="s">
        <v>266</v>
      </c>
      <c r="B73" s="23" t="s">
        <v>185</v>
      </c>
      <c r="C73" s="23" t="s">
        <v>91</v>
      </c>
      <c r="D73" s="23" t="s">
        <v>262</v>
      </c>
      <c r="E73" s="23" t="s">
        <v>267</v>
      </c>
      <c r="F73" s="23" t="n">
        <f aca="false">COUNTIFS(Temas_TIMSS!$V$5:$V$1264,F$4,Temas_TIMSS!$K$5:$K$1264,$A73)+COUNTIFS(Temas_TIMSS!$V$5:$V$1264,F$4,Temas_TIMSS!$L$5:$L$1264,$A73)</f>
        <v>0</v>
      </c>
      <c r="G73" s="23" t="n">
        <f aca="false">COUNTIFS(Temas_TIMSS!$V$5:$V$1264,G$4,Temas_TIMSS!$K$5:$K$1264,$A73)+COUNTIFS(Temas_TIMSS!$V$5:$V$1264,G$4,Temas_TIMSS!$L$5:$L$1264,$A73)</f>
        <v>0</v>
      </c>
      <c r="H73" s="23" t="n">
        <f aca="false">COUNTIFS(Temas_TIMSS!$V$5:$V$1264,H$4,Temas_TIMSS!$K$5:$K$1264,$A73)+COUNTIFS(Temas_TIMSS!$V$5:$V$1264,H$4,Temas_TIMSS!$L$5:$L$1264,$A73)</f>
        <v>0</v>
      </c>
      <c r="I73" s="23" t="n">
        <f aca="false">COUNTIFS(Temas_TIMSS!$V$5:$V$1264,I$4,Temas_TIMSS!$K$5:$K$1264,$A73)+COUNTIFS(Temas_TIMSS!$V$5:$V$1264,I$4,Temas_TIMSS!$L$5:$L$1264,$A73)</f>
        <v>3</v>
      </c>
      <c r="J73" s="23" t="n">
        <f aca="false">COUNTIFS(Temas_TIMSS!$V$5:$V$1264,J$4,Temas_TIMSS!$K$5:$K$1264,$A73)+COUNTIFS(Temas_TIMSS!$V$5:$V$1264,J$4,Temas_TIMSS!$L$5:$L$1264,$A73)</f>
        <v>6</v>
      </c>
      <c r="K73" s="23" t="n">
        <f aca="false">COUNTIFS(Temas_TIMSS!$V$5:$V$1264,K$4,Temas_TIMSS!$K$5:$K$1264,$A73)+COUNTIFS(Temas_TIMSS!$V$5:$V$1264,K$4,Temas_TIMSS!$L$5:$L$1264,$A73)</f>
        <v>0</v>
      </c>
      <c r="L73" s="23" t="n">
        <f aca="false">COUNTIFS(Temas_TIMSS!$V$5:$V$1264,L$4,Temas_TIMSS!$K$5:$K$1264,$A73)+COUNTIFS(Temas_TIMSS!$V$5:$V$1264,L$4,Temas_TIMSS!$L$5:$L$1264,$A73)</f>
        <v>8</v>
      </c>
      <c r="M73" s="23" t="n">
        <f aca="false">COUNTIFS(Temas_TIMSS!$V$5:$V$1264,M$4,Temas_TIMSS!$K$5:$K$1264,$A73)+COUNTIFS(Temas_TIMSS!$V$5:$V$1264,M$4,Temas_TIMSS!$L$5:$L$1264,$A73)</f>
        <v>10</v>
      </c>
      <c r="N73" s="23" t="n">
        <f aca="false">COUNTIFS(Temas_TIMSS!$V$5:$V$1264,N$4,Temas_TIMSS!$K$5:$K$1264,$A73)+COUNTIFS(Temas_TIMSS!$V$5:$V$1264,N$4,Temas_TIMSS!$L$5:$L$1264,$A73)</f>
        <v>0</v>
      </c>
      <c r="O73" s="23" t="n">
        <f aca="false">COUNTIFS(Temas_TIMSS!$V$5:$V$1264,O$4,Temas_TIMSS!$K$5:$K$1264,$A73)+COUNTIFS(Temas_TIMSS!$V$5:$V$1264,O$4,Temas_TIMSS!$L$5:$L$1264,$A73)</f>
        <v>0</v>
      </c>
      <c r="P73" s="23" t="n">
        <f aca="false">IF($B73="T4",SUM(F73:H73),IF($B73="T8",SUM(I73:L73),SUM(N73:O73)))</f>
        <v>17</v>
      </c>
      <c r="Q73" s="23" t="n">
        <f aca="false">COUNTIFS(Temas_TIMSS!$K$5:$K$1264,$A73)</f>
        <v>25</v>
      </c>
      <c r="R73" s="23" t="str">
        <f aca="false">IF(P73&gt;0,"Sí","No")</f>
        <v>Sí</v>
      </c>
      <c r="S73" s="23" t="str">
        <f aca="false">IF(P73=0,"No cubierto",IF(P73=1,"Débil (1 tema)",IF(P73&lt;=3,"Básica (2–3)","Sólida (4+)")))</f>
        <v>Sólida (4+)</v>
      </c>
      <c r="T73" s="23" t="str">
        <f aca="false">IFERROR(INDEX($F$4:$O$4,MATCH(TRUE(),INDEX(F73:O73&gt;0,0),0)),"—")</f>
        <v>5°</v>
      </c>
    </row>
    <row r="74" customFormat="false" ht="23.85" hidden="false" customHeight="false" outlineLevel="0" collapsed="false">
      <c r="A74" s="23" t="s">
        <v>268</v>
      </c>
      <c r="B74" s="23" t="s">
        <v>185</v>
      </c>
      <c r="C74" s="23" t="s">
        <v>87</v>
      </c>
      <c r="D74" s="23" t="s">
        <v>269</v>
      </c>
      <c r="E74" s="23" t="s">
        <v>270</v>
      </c>
      <c r="F74" s="23" t="n">
        <f aca="false">COUNTIFS(Temas_TIMSS!$V$5:$V$1264,F$4,Temas_TIMSS!$K$5:$K$1264,$A74)+COUNTIFS(Temas_TIMSS!$V$5:$V$1264,F$4,Temas_TIMSS!$L$5:$L$1264,$A74)</f>
        <v>0</v>
      </c>
      <c r="G74" s="23" t="n">
        <f aca="false">COUNTIFS(Temas_TIMSS!$V$5:$V$1264,G$4,Temas_TIMSS!$K$5:$K$1264,$A74)+COUNTIFS(Temas_TIMSS!$V$5:$V$1264,G$4,Temas_TIMSS!$L$5:$L$1264,$A74)</f>
        <v>0</v>
      </c>
      <c r="H74" s="23" t="n">
        <f aca="false">COUNTIFS(Temas_TIMSS!$V$5:$V$1264,H$4,Temas_TIMSS!$K$5:$K$1264,$A74)+COUNTIFS(Temas_TIMSS!$V$5:$V$1264,H$4,Temas_TIMSS!$L$5:$L$1264,$A74)</f>
        <v>0</v>
      </c>
      <c r="I74" s="23" t="n">
        <f aca="false">COUNTIFS(Temas_TIMSS!$V$5:$V$1264,I$4,Temas_TIMSS!$K$5:$K$1264,$A74)+COUNTIFS(Temas_TIMSS!$V$5:$V$1264,I$4,Temas_TIMSS!$L$5:$L$1264,$A74)</f>
        <v>4</v>
      </c>
      <c r="J74" s="23" t="n">
        <f aca="false">COUNTIFS(Temas_TIMSS!$V$5:$V$1264,J$4,Temas_TIMSS!$K$5:$K$1264,$A74)+COUNTIFS(Temas_TIMSS!$V$5:$V$1264,J$4,Temas_TIMSS!$L$5:$L$1264,$A74)</f>
        <v>0</v>
      </c>
      <c r="K74" s="23" t="n">
        <f aca="false">COUNTIFS(Temas_TIMSS!$V$5:$V$1264,K$4,Temas_TIMSS!$K$5:$K$1264,$A74)+COUNTIFS(Temas_TIMSS!$V$5:$V$1264,K$4,Temas_TIMSS!$L$5:$L$1264,$A74)</f>
        <v>0</v>
      </c>
      <c r="L74" s="23" t="n">
        <f aca="false">COUNTIFS(Temas_TIMSS!$V$5:$V$1264,L$4,Temas_TIMSS!$K$5:$K$1264,$A74)+COUNTIFS(Temas_TIMSS!$V$5:$V$1264,L$4,Temas_TIMSS!$L$5:$L$1264,$A74)</f>
        <v>0</v>
      </c>
      <c r="M74" s="23" t="n">
        <f aca="false">COUNTIFS(Temas_TIMSS!$V$5:$V$1264,M$4,Temas_TIMSS!$K$5:$K$1264,$A74)+COUNTIFS(Temas_TIMSS!$V$5:$V$1264,M$4,Temas_TIMSS!$L$5:$L$1264,$A74)</f>
        <v>6</v>
      </c>
      <c r="N74" s="23" t="n">
        <f aca="false">COUNTIFS(Temas_TIMSS!$V$5:$V$1264,N$4,Temas_TIMSS!$K$5:$K$1264,$A74)+COUNTIFS(Temas_TIMSS!$V$5:$V$1264,N$4,Temas_TIMSS!$L$5:$L$1264,$A74)</f>
        <v>0</v>
      </c>
      <c r="O74" s="23" t="n">
        <f aca="false">COUNTIFS(Temas_TIMSS!$V$5:$V$1264,O$4,Temas_TIMSS!$K$5:$K$1264,$A74)+COUNTIFS(Temas_TIMSS!$V$5:$V$1264,O$4,Temas_TIMSS!$L$5:$L$1264,$A74)</f>
        <v>0</v>
      </c>
      <c r="P74" s="23" t="n">
        <f aca="false">IF($B74="T4",SUM(F74:H74),IF($B74="T8",SUM(I74:L74),SUM(N74:O74)))</f>
        <v>4</v>
      </c>
      <c r="Q74" s="23" t="n">
        <f aca="false">COUNTIFS(Temas_TIMSS!$K$5:$K$1264,$A74)</f>
        <v>3</v>
      </c>
      <c r="R74" s="23" t="str">
        <f aca="false">IF(P74&gt;0,"Sí","No")</f>
        <v>Sí</v>
      </c>
      <c r="S74" s="23" t="str">
        <f aca="false">IF(P74=0,"No cubierto",IF(P74=1,"Débil (1 tema)",IF(P74&lt;=3,"Básica (2–3)","Sólida (4+)")))</f>
        <v>Sólida (4+)</v>
      </c>
      <c r="T74" s="23" t="str">
        <f aca="false">IFERROR(INDEX($F$4:$O$4,MATCH(TRUE(),INDEX(F74:O74&gt;0,0),0)),"—")</f>
        <v>5°</v>
      </c>
    </row>
    <row r="75" customFormat="false" ht="23.85" hidden="false" customHeight="false" outlineLevel="0" collapsed="false">
      <c r="A75" s="23" t="s">
        <v>271</v>
      </c>
      <c r="B75" s="23" t="s">
        <v>185</v>
      </c>
      <c r="C75" s="23" t="s">
        <v>87</v>
      </c>
      <c r="D75" s="23" t="s">
        <v>269</v>
      </c>
      <c r="E75" s="23" t="s">
        <v>272</v>
      </c>
      <c r="F75" s="23" t="n">
        <f aca="false">COUNTIFS(Temas_TIMSS!$V$5:$V$1264,F$4,Temas_TIMSS!$K$5:$K$1264,$A75)+COUNTIFS(Temas_TIMSS!$V$5:$V$1264,F$4,Temas_TIMSS!$L$5:$L$1264,$A75)</f>
        <v>0</v>
      </c>
      <c r="G75" s="23" t="n">
        <f aca="false">COUNTIFS(Temas_TIMSS!$V$5:$V$1264,G$4,Temas_TIMSS!$K$5:$K$1264,$A75)+COUNTIFS(Temas_TIMSS!$V$5:$V$1264,G$4,Temas_TIMSS!$L$5:$L$1264,$A75)</f>
        <v>0</v>
      </c>
      <c r="H75" s="23" t="n">
        <f aca="false">COUNTIFS(Temas_TIMSS!$V$5:$V$1264,H$4,Temas_TIMSS!$K$5:$K$1264,$A75)+COUNTIFS(Temas_TIMSS!$V$5:$V$1264,H$4,Temas_TIMSS!$L$5:$L$1264,$A75)</f>
        <v>0</v>
      </c>
      <c r="I75" s="23" t="n">
        <f aca="false">COUNTIFS(Temas_TIMSS!$V$5:$V$1264,I$4,Temas_TIMSS!$K$5:$K$1264,$A75)+COUNTIFS(Temas_TIMSS!$V$5:$V$1264,I$4,Temas_TIMSS!$L$5:$L$1264,$A75)</f>
        <v>0</v>
      </c>
      <c r="J75" s="23" t="n">
        <f aca="false">COUNTIFS(Temas_TIMSS!$V$5:$V$1264,J$4,Temas_TIMSS!$K$5:$K$1264,$A75)+COUNTIFS(Temas_TIMSS!$V$5:$V$1264,J$4,Temas_TIMSS!$L$5:$L$1264,$A75)</f>
        <v>0</v>
      </c>
      <c r="K75" s="23" t="n">
        <f aca="false">COUNTIFS(Temas_TIMSS!$V$5:$V$1264,K$4,Temas_TIMSS!$K$5:$K$1264,$A75)+COUNTIFS(Temas_TIMSS!$V$5:$V$1264,K$4,Temas_TIMSS!$L$5:$L$1264,$A75)</f>
        <v>2</v>
      </c>
      <c r="L75" s="23" t="n">
        <f aca="false">COUNTIFS(Temas_TIMSS!$V$5:$V$1264,L$4,Temas_TIMSS!$K$5:$K$1264,$A75)+COUNTIFS(Temas_TIMSS!$V$5:$V$1264,L$4,Temas_TIMSS!$L$5:$L$1264,$A75)</f>
        <v>0</v>
      </c>
      <c r="M75" s="23" t="n">
        <f aca="false">COUNTIFS(Temas_TIMSS!$V$5:$V$1264,M$4,Temas_TIMSS!$K$5:$K$1264,$A75)+COUNTIFS(Temas_TIMSS!$V$5:$V$1264,M$4,Temas_TIMSS!$L$5:$L$1264,$A75)</f>
        <v>0</v>
      </c>
      <c r="N75" s="23" t="n">
        <f aca="false">COUNTIFS(Temas_TIMSS!$V$5:$V$1264,N$4,Temas_TIMSS!$K$5:$K$1264,$A75)+COUNTIFS(Temas_TIMSS!$V$5:$V$1264,N$4,Temas_TIMSS!$L$5:$L$1264,$A75)</f>
        <v>0</v>
      </c>
      <c r="O75" s="23" t="n">
        <f aca="false">COUNTIFS(Temas_TIMSS!$V$5:$V$1264,O$4,Temas_TIMSS!$K$5:$K$1264,$A75)+COUNTIFS(Temas_TIMSS!$V$5:$V$1264,O$4,Temas_TIMSS!$L$5:$L$1264,$A75)</f>
        <v>0</v>
      </c>
      <c r="P75" s="23" t="n">
        <f aca="false">IF($B75="T4",SUM(F75:H75),IF($B75="T8",SUM(I75:L75),SUM(N75:O75)))</f>
        <v>2</v>
      </c>
      <c r="Q75" s="23" t="n">
        <f aca="false">COUNTIFS(Temas_TIMSS!$K$5:$K$1264,$A75)</f>
        <v>1</v>
      </c>
      <c r="R75" s="23" t="str">
        <f aca="false">IF(P75&gt;0,"Sí","No")</f>
        <v>Sí</v>
      </c>
      <c r="S75" s="23" t="str">
        <f aca="false">IF(P75=0,"No cubierto",IF(P75=1,"Débil (1 tema)",IF(P75&lt;=3,"Básica (2–3)","Sólida (4+)")))</f>
        <v>Básica (2–3)</v>
      </c>
      <c r="T75" s="23" t="str">
        <f aca="false">IFERROR(INDEX($F$4:$O$4,MATCH(TRUE(),INDEX(F75:O75&gt;0,0),0)),"—")</f>
        <v>7°</v>
      </c>
    </row>
    <row r="76" customFormat="false" ht="23.85" hidden="false" customHeight="false" outlineLevel="0" collapsed="false">
      <c r="A76" s="23" t="s">
        <v>273</v>
      </c>
      <c r="B76" s="23" t="s">
        <v>185</v>
      </c>
      <c r="C76" s="23" t="s">
        <v>87</v>
      </c>
      <c r="D76" s="23" t="s">
        <v>274</v>
      </c>
      <c r="E76" s="23" t="s">
        <v>275</v>
      </c>
      <c r="F76" s="23" t="n">
        <f aca="false">COUNTIFS(Temas_TIMSS!$V$5:$V$1264,F$4,Temas_TIMSS!$K$5:$K$1264,$A76)+COUNTIFS(Temas_TIMSS!$V$5:$V$1264,F$4,Temas_TIMSS!$L$5:$L$1264,$A76)</f>
        <v>0</v>
      </c>
      <c r="G76" s="23" t="n">
        <f aca="false">COUNTIFS(Temas_TIMSS!$V$5:$V$1264,G$4,Temas_TIMSS!$K$5:$K$1264,$A76)+COUNTIFS(Temas_TIMSS!$V$5:$V$1264,G$4,Temas_TIMSS!$L$5:$L$1264,$A76)</f>
        <v>0</v>
      </c>
      <c r="H76" s="23" t="n">
        <f aca="false">COUNTIFS(Temas_TIMSS!$V$5:$V$1264,H$4,Temas_TIMSS!$K$5:$K$1264,$A76)+COUNTIFS(Temas_TIMSS!$V$5:$V$1264,H$4,Temas_TIMSS!$L$5:$L$1264,$A76)</f>
        <v>0</v>
      </c>
      <c r="I76" s="23" t="n">
        <f aca="false">COUNTIFS(Temas_TIMSS!$V$5:$V$1264,I$4,Temas_TIMSS!$K$5:$K$1264,$A76)+COUNTIFS(Temas_TIMSS!$V$5:$V$1264,I$4,Temas_TIMSS!$L$5:$L$1264,$A76)</f>
        <v>14</v>
      </c>
      <c r="J76" s="23" t="n">
        <f aca="false">COUNTIFS(Temas_TIMSS!$V$5:$V$1264,J$4,Temas_TIMSS!$K$5:$K$1264,$A76)+COUNTIFS(Temas_TIMSS!$V$5:$V$1264,J$4,Temas_TIMSS!$L$5:$L$1264,$A76)</f>
        <v>0</v>
      </c>
      <c r="K76" s="23" t="n">
        <f aca="false">COUNTIFS(Temas_TIMSS!$V$5:$V$1264,K$4,Temas_TIMSS!$K$5:$K$1264,$A76)+COUNTIFS(Temas_TIMSS!$V$5:$V$1264,K$4,Temas_TIMSS!$L$5:$L$1264,$A76)</f>
        <v>0</v>
      </c>
      <c r="L76" s="23" t="n">
        <f aca="false">COUNTIFS(Temas_TIMSS!$V$5:$V$1264,L$4,Temas_TIMSS!$K$5:$K$1264,$A76)+COUNTIFS(Temas_TIMSS!$V$5:$V$1264,L$4,Temas_TIMSS!$L$5:$L$1264,$A76)</f>
        <v>2</v>
      </c>
      <c r="M76" s="23" t="n">
        <f aca="false">COUNTIFS(Temas_TIMSS!$V$5:$V$1264,M$4,Temas_TIMSS!$K$5:$K$1264,$A76)+COUNTIFS(Temas_TIMSS!$V$5:$V$1264,M$4,Temas_TIMSS!$L$5:$L$1264,$A76)</f>
        <v>13</v>
      </c>
      <c r="N76" s="23" t="n">
        <f aca="false">COUNTIFS(Temas_TIMSS!$V$5:$V$1264,N$4,Temas_TIMSS!$K$5:$K$1264,$A76)+COUNTIFS(Temas_TIMSS!$V$5:$V$1264,N$4,Temas_TIMSS!$L$5:$L$1264,$A76)</f>
        <v>0</v>
      </c>
      <c r="O76" s="23" t="n">
        <f aca="false">COUNTIFS(Temas_TIMSS!$V$5:$V$1264,O$4,Temas_TIMSS!$K$5:$K$1264,$A76)+COUNTIFS(Temas_TIMSS!$V$5:$V$1264,O$4,Temas_TIMSS!$L$5:$L$1264,$A76)</f>
        <v>0</v>
      </c>
      <c r="P76" s="23" t="n">
        <f aca="false">IF($B76="T4",SUM(F76:H76),IF($B76="T8",SUM(I76:L76),SUM(N76:O76)))</f>
        <v>16</v>
      </c>
      <c r="Q76" s="23" t="n">
        <f aca="false">COUNTIFS(Temas_TIMSS!$K$5:$K$1264,$A76)</f>
        <v>27</v>
      </c>
      <c r="R76" s="23" t="str">
        <f aca="false">IF(P76&gt;0,"Sí","No")</f>
        <v>Sí</v>
      </c>
      <c r="S76" s="23" t="str">
        <f aca="false">IF(P76=0,"No cubierto",IF(P76=1,"Débil (1 tema)",IF(P76&lt;=3,"Básica (2–3)","Sólida (4+)")))</f>
        <v>Sólida (4+)</v>
      </c>
      <c r="T76" s="23" t="str">
        <f aca="false">IFERROR(INDEX($F$4:$O$4,MATCH(TRUE(),INDEX(F76:O76&gt;0,0),0)),"—")</f>
        <v>5°</v>
      </c>
    </row>
    <row r="77" customFormat="false" ht="23.85" hidden="false" customHeight="false" outlineLevel="0" collapsed="false">
      <c r="A77" s="23" t="s">
        <v>276</v>
      </c>
      <c r="B77" s="23" t="s">
        <v>185</v>
      </c>
      <c r="C77" s="23" t="s">
        <v>87</v>
      </c>
      <c r="D77" s="23" t="s">
        <v>274</v>
      </c>
      <c r="E77" s="23" t="s">
        <v>277</v>
      </c>
      <c r="F77" s="23" t="n">
        <f aca="false">COUNTIFS(Temas_TIMSS!$V$5:$V$1264,F$4,Temas_TIMSS!$K$5:$K$1264,$A77)+COUNTIFS(Temas_TIMSS!$V$5:$V$1264,F$4,Temas_TIMSS!$L$5:$L$1264,$A77)</f>
        <v>0</v>
      </c>
      <c r="G77" s="23" t="n">
        <f aca="false">COUNTIFS(Temas_TIMSS!$V$5:$V$1264,G$4,Temas_TIMSS!$K$5:$K$1264,$A77)+COUNTIFS(Temas_TIMSS!$V$5:$V$1264,G$4,Temas_TIMSS!$L$5:$L$1264,$A77)</f>
        <v>0</v>
      </c>
      <c r="H77" s="23" t="n">
        <f aca="false">COUNTIFS(Temas_TIMSS!$V$5:$V$1264,H$4,Temas_TIMSS!$K$5:$K$1264,$A77)+COUNTIFS(Temas_TIMSS!$V$5:$V$1264,H$4,Temas_TIMSS!$L$5:$L$1264,$A77)</f>
        <v>0</v>
      </c>
      <c r="I77" s="23" t="n">
        <f aca="false">COUNTIFS(Temas_TIMSS!$V$5:$V$1264,I$4,Temas_TIMSS!$K$5:$K$1264,$A77)+COUNTIFS(Temas_TIMSS!$V$5:$V$1264,I$4,Temas_TIMSS!$L$5:$L$1264,$A77)</f>
        <v>0</v>
      </c>
      <c r="J77" s="23" t="n">
        <f aca="false">COUNTIFS(Temas_TIMSS!$V$5:$V$1264,J$4,Temas_TIMSS!$K$5:$K$1264,$A77)+COUNTIFS(Temas_TIMSS!$V$5:$V$1264,J$4,Temas_TIMSS!$L$5:$L$1264,$A77)</f>
        <v>0</v>
      </c>
      <c r="K77" s="23" t="n">
        <f aca="false">COUNTIFS(Temas_TIMSS!$V$5:$V$1264,K$4,Temas_TIMSS!$K$5:$K$1264,$A77)+COUNTIFS(Temas_TIMSS!$V$5:$V$1264,K$4,Temas_TIMSS!$L$5:$L$1264,$A77)</f>
        <v>4</v>
      </c>
      <c r="L77" s="23" t="n">
        <f aca="false">COUNTIFS(Temas_TIMSS!$V$5:$V$1264,L$4,Temas_TIMSS!$K$5:$K$1264,$A77)+COUNTIFS(Temas_TIMSS!$V$5:$V$1264,L$4,Temas_TIMSS!$L$5:$L$1264,$A77)</f>
        <v>0</v>
      </c>
      <c r="M77" s="23" t="n">
        <f aca="false">COUNTIFS(Temas_TIMSS!$V$5:$V$1264,M$4,Temas_TIMSS!$K$5:$K$1264,$A77)+COUNTIFS(Temas_TIMSS!$V$5:$V$1264,M$4,Temas_TIMSS!$L$5:$L$1264,$A77)</f>
        <v>0</v>
      </c>
      <c r="N77" s="23" t="n">
        <f aca="false">COUNTIFS(Temas_TIMSS!$V$5:$V$1264,N$4,Temas_TIMSS!$K$5:$K$1264,$A77)+COUNTIFS(Temas_TIMSS!$V$5:$V$1264,N$4,Temas_TIMSS!$L$5:$L$1264,$A77)</f>
        <v>0</v>
      </c>
      <c r="O77" s="23" t="n">
        <f aca="false">COUNTIFS(Temas_TIMSS!$V$5:$V$1264,O$4,Temas_TIMSS!$K$5:$K$1264,$A77)+COUNTIFS(Temas_TIMSS!$V$5:$V$1264,O$4,Temas_TIMSS!$L$5:$L$1264,$A77)</f>
        <v>0</v>
      </c>
      <c r="P77" s="23" t="n">
        <f aca="false">IF($B77="T4",SUM(F77:H77),IF($B77="T8",SUM(I77:L77),SUM(N77:O77)))</f>
        <v>4</v>
      </c>
      <c r="Q77" s="23" t="n">
        <f aca="false">COUNTIFS(Temas_TIMSS!$K$5:$K$1264,$A77)</f>
        <v>3</v>
      </c>
      <c r="R77" s="23" t="str">
        <f aca="false">IF(P77&gt;0,"Sí","No")</f>
        <v>Sí</v>
      </c>
      <c r="S77" s="23" t="str">
        <f aca="false">IF(P77=0,"No cubierto",IF(P77=1,"Débil (1 tema)",IF(P77&lt;=3,"Básica (2–3)","Sólida (4+)")))</f>
        <v>Sólida (4+)</v>
      </c>
      <c r="T77" s="23" t="str">
        <f aca="false">IFERROR(INDEX($F$4:$O$4,MATCH(TRUE(),INDEX(F77:O77&gt;0,0),0)),"—")</f>
        <v>7°</v>
      </c>
    </row>
    <row r="78" customFormat="false" ht="23.85" hidden="false" customHeight="false" outlineLevel="0" collapsed="false">
      <c r="A78" s="23" t="s">
        <v>278</v>
      </c>
      <c r="B78" s="23" t="s">
        <v>185</v>
      </c>
      <c r="C78" s="23" t="s">
        <v>87</v>
      </c>
      <c r="D78" s="23" t="s">
        <v>274</v>
      </c>
      <c r="E78" s="23" t="s">
        <v>279</v>
      </c>
      <c r="F78" s="23" t="n">
        <f aca="false">COUNTIFS(Temas_TIMSS!$V$5:$V$1264,F$4,Temas_TIMSS!$K$5:$K$1264,$A78)+COUNTIFS(Temas_TIMSS!$V$5:$V$1264,F$4,Temas_TIMSS!$L$5:$L$1264,$A78)</f>
        <v>0</v>
      </c>
      <c r="G78" s="23" t="n">
        <f aca="false">COUNTIFS(Temas_TIMSS!$V$5:$V$1264,G$4,Temas_TIMSS!$K$5:$K$1264,$A78)+COUNTIFS(Temas_TIMSS!$V$5:$V$1264,G$4,Temas_TIMSS!$L$5:$L$1264,$A78)</f>
        <v>0</v>
      </c>
      <c r="H78" s="23" t="n">
        <f aca="false">COUNTIFS(Temas_TIMSS!$V$5:$V$1264,H$4,Temas_TIMSS!$K$5:$K$1264,$A78)+COUNTIFS(Temas_TIMSS!$V$5:$V$1264,H$4,Temas_TIMSS!$L$5:$L$1264,$A78)</f>
        <v>0</v>
      </c>
      <c r="I78" s="23" t="n">
        <f aca="false">COUNTIFS(Temas_TIMSS!$V$5:$V$1264,I$4,Temas_TIMSS!$K$5:$K$1264,$A78)+COUNTIFS(Temas_TIMSS!$V$5:$V$1264,I$4,Temas_TIMSS!$L$5:$L$1264,$A78)</f>
        <v>0</v>
      </c>
      <c r="J78" s="23" t="n">
        <f aca="false">COUNTIFS(Temas_TIMSS!$V$5:$V$1264,J$4,Temas_TIMSS!$K$5:$K$1264,$A78)+COUNTIFS(Temas_TIMSS!$V$5:$V$1264,J$4,Temas_TIMSS!$L$5:$L$1264,$A78)</f>
        <v>0</v>
      </c>
      <c r="K78" s="23" t="n">
        <f aca="false">COUNTIFS(Temas_TIMSS!$V$5:$V$1264,K$4,Temas_TIMSS!$K$5:$K$1264,$A78)+COUNTIFS(Temas_TIMSS!$V$5:$V$1264,K$4,Temas_TIMSS!$L$5:$L$1264,$A78)</f>
        <v>10</v>
      </c>
      <c r="L78" s="23" t="n">
        <f aca="false">COUNTIFS(Temas_TIMSS!$V$5:$V$1264,L$4,Temas_TIMSS!$K$5:$K$1264,$A78)+COUNTIFS(Temas_TIMSS!$V$5:$V$1264,L$4,Temas_TIMSS!$L$5:$L$1264,$A78)</f>
        <v>0</v>
      </c>
      <c r="M78" s="23" t="n">
        <f aca="false">COUNTIFS(Temas_TIMSS!$V$5:$V$1264,M$4,Temas_TIMSS!$K$5:$K$1264,$A78)+COUNTIFS(Temas_TIMSS!$V$5:$V$1264,M$4,Temas_TIMSS!$L$5:$L$1264,$A78)</f>
        <v>4</v>
      </c>
      <c r="N78" s="23" t="n">
        <f aca="false">COUNTIFS(Temas_TIMSS!$V$5:$V$1264,N$4,Temas_TIMSS!$K$5:$K$1264,$A78)+COUNTIFS(Temas_TIMSS!$V$5:$V$1264,N$4,Temas_TIMSS!$L$5:$L$1264,$A78)</f>
        <v>0</v>
      </c>
      <c r="O78" s="23" t="n">
        <f aca="false">COUNTIFS(Temas_TIMSS!$V$5:$V$1264,O$4,Temas_TIMSS!$K$5:$K$1264,$A78)+COUNTIFS(Temas_TIMSS!$V$5:$V$1264,O$4,Temas_TIMSS!$L$5:$L$1264,$A78)</f>
        <v>0</v>
      </c>
      <c r="P78" s="23" t="n">
        <f aca="false">IF($B78="T4",SUM(F78:H78),IF($B78="T8",SUM(I78:L78),SUM(N78:O78)))</f>
        <v>10</v>
      </c>
      <c r="Q78" s="23" t="n">
        <f aca="false">COUNTIFS(Temas_TIMSS!$K$5:$K$1264,$A78)</f>
        <v>11</v>
      </c>
      <c r="R78" s="23" t="str">
        <f aca="false">IF(P78&gt;0,"Sí","No")</f>
        <v>Sí</v>
      </c>
      <c r="S78" s="23" t="str">
        <f aca="false">IF(P78=0,"No cubierto",IF(P78=1,"Débil (1 tema)",IF(P78&lt;=3,"Básica (2–3)","Sólida (4+)")))</f>
        <v>Sólida (4+)</v>
      </c>
      <c r="T78" s="23" t="str">
        <f aca="false">IFERROR(INDEX($F$4:$O$4,MATCH(TRUE(),INDEX(F78:O78&gt;0,0),0)),"—")</f>
        <v>7°</v>
      </c>
    </row>
    <row r="79" customFormat="false" ht="23.85" hidden="false" customHeight="false" outlineLevel="0" collapsed="false">
      <c r="A79" s="23" t="s">
        <v>280</v>
      </c>
      <c r="B79" s="23" t="s">
        <v>185</v>
      </c>
      <c r="C79" s="23" t="s">
        <v>87</v>
      </c>
      <c r="D79" s="23" t="s">
        <v>281</v>
      </c>
      <c r="E79" s="23" t="s">
        <v>282</v>
      </c>
      <c r="F79" s="23" t="n">
        <f aca="false">COUNTIFS(Temas_TIMSS!$V$5:$V$1264,F$4,Temas_TIMSS!$K$5:$K$1264,$A79)+COUNTIFS(Temas_TIMSS!$V$5:$V$1264,F$4,Temas_TIMSS!$L$5:$L$1264,$A79)</f>
        <v>0</v>
      </c>
      <c r="G79" s="23" t="n">
        <f aca="false">COUNTIFS(Temas_TIMSS!$V$5:$V$1264,G$4,Temas_TIMSS!$K$5:$K$1264,$A79)+COUNTIFS(Temas_TIMSS!$V$5:$V$1264,G$4,Temas_TIMSS!$L$5:$L$1264,$A79)</f>
        <v>0</v>
      </c>
      <c r="H79" s="23" t="n">
        <f aca="false">COUNTIFS(Temas_TIMSS!$V$5:$V$1264,H$4,Temas_TIMSS!$K$5:$K$1264,$A79)+COUNTIFS(Temas_TIMSS!$V$5:$V$1264,H$4,Temas_TIMSS!$L$5:$L$1264,$A79)</f>
        <v>0</v>
      </c>
      <c r="I79" s="23" t="n">
        <f aca="false">COUNTIFS(Temas_TIMSS!$V$5:$V$1264,I$4,Temas_TIMSS!$K$5:$K$1264,$A79)+COUNTIFS(Temas_TIMSS!$V$5:$V$1264,I$4,Temas_TIMSS!$L$5:$L$1264,$A79)</f>
        <v>0</v>
      </c>
      <c r="J79" s="23" t="n">
        <f aca="false">COUNTIFS(Temas_TIMSS!$V$5:$V$1264,J$4,Temas_TIMSS!$K$5:$K$1264,$A79)+COUNTIFS(Temas_TIMSS!$V$5:$V$1264,J$4,Temas_TIMSS!$L$5:$L$1264,$A79)</f>
        <v>0</v>
      </c>
      <c r="K79" s="23" t="n">
        <f aca="false">COUNTIFS(Temas_TIMSS!$V$5:$V$1264,K$4,Temas_TIMSS!$K$5:$K$1264,$A79)+COUNTIFS(Temas_TIMSS!$V$5:$V$1264,K$4,Temas_TIMSS!$L$5:$L$1264,$A79)</f>
        <v>13</v>
      </c>
      <c r="L79" s="23" t="n">
        <f aca="false">COUNTIFS(Temas_TIMSS!$V$5:$V$1264,L$4,Temas_TIMSS!$K$5:$K$1264,$A79)+COUNTIFS(Temas_TIMSS!$V$5:$V$1264,L$4,Temas_TIMSS!$L$5:$L$1264,$A79)</f>
        <v>3</v>
      </c>
      <c r="M79" s="23" t="n">
        <f aca="false">COUNTIFS(Temas_TIMSS!$V$5:$V$1264,M$4,Temas_TIMSS!$K$5:$K$1264,$A79)+COUNTIFS(Temas_TIMSS!$V$5:$V$1264,M$4,Temas_TIMSS!$L$5:$L$1264,$A79)</f>
        <v>2</v>
      </c>
      <c r="N79" s="23" t="n">
        <f aca="false">COUNTIFS(Temas_TIMSS!$V$5:$V$1264,N$4,Temas_TIMSS!$K$5:$K$1264,$A79)+COUNTIFS(Temas_TIMSS!$V$5:$V$1264,N$4,Temas_TIMSS!$L$5:$L$1264,$A79)</f>
        <v>0</v>
      </c>
      <c r="O79" s="23" t="n">
        <f aca="false">COUNTIFS(Temas_TIMSS!$V$5:$V$1264,O$4,Temas_TIMSS!$K$5:$K$1264,$A79)+COUNTIFS(Temas_TIMSS!$V$5:$V$1264,O$4,Temas_TIMSS!$L$5:$L$1264,$A79)</f>
        <v>0</v>
      </c>
      <c r="P79" s="23" t="n">
        <f aca="false">IF($B79="T4",SUM(F79:H79),IF($B79="T8",SUM(I79:L79),SUM(N79:O79)))</f>
        <v>16</v>
      </c>
      <c r="Q79" s="23" t="n">
        <f aca="false">COUNTIFS(Temas_TIMSS!$K$5:$K$1264,$A79)</f>
        <v>11</v>
      </c>
      <c r="R79" s="23" t="str">
        <f aca="false">IF(P79&gt;0,"Sí","No")</f>
        <v>Sí</v>
      </c>
      <c r="S79" s="23" t="str">
        <f aca="false">IF(P79=0,"No cubierto",IF(P79=1,"Débil (1 tema)",IF(P79&lt;=3,"Básica (2–3)","Sólida (4+)")))</f>
        <v>Sólida (4+)</v>
      </c>
      <c r="T79" s="23" t="str">
        <f aca="false">IFERROR(INDEX($F$4:$O$4,MATCH(TRUE(),INDEX(F79:O79&gt;0,0),0)),"—")</f>
        <v>7°</v>
      </c>
    </row>
    <row r="80" customFormat="false" ht="23.85" hidden="false" customHeight="false" outlineLevel="0" collapsed="false">
      <c r="A80" s="23" t="s">
        <v>283</v>
      </c>
      <c r="B80" s="23" t="s">
        <v>185</v>
      </c>
      <c r="C80" s="23" t="s">
        <v>87</v>
      </c>
      <c r="D80" s="23" t="s">
        <v>281</v>
      </c>
      <c r="E80" s="23" t="s">
        <v>284</v>
      </c>
      <c r="F80" s="23" t="n">
        <f aca="false">COUNTIFS(Temas_TIMSS!$V$5:$V$1264,F$4,Temas_TIMSS!$K$5:$K$1264,$A80)+COUNTIFS(Temas_TIMSS!$V$5:$V$1264,F$4,Temas_TIMSS!$L$5:$L$1264,$A80)</f>
        <v>0</v>
      </c>
      <c r="G80" s="23" t="n">
        <f aca="false">COUNTIFS(Temas_TIMSS!$V$5:$V$1264,G$4,Temas_TIMSS!$K$5:$K$1264,$A80)+COUNTIFS(Temas_TIMSS!$V$5:$V$1264,G$4,Temas_TIMSS!$L$5:$L$1264,$A80)</f>
        <v>0</v>
      </c>
      <c r="H80" s="23" t="n">
        <f aca="false">COUNTIFS(Temas_TIMSS!$V$5:$V$1264,H$4,Temas_TIMSS!$K$5:$K$1264,$A80)+COUNTIFS(Temas_TIMSS!$V$5:$V$1264,H$4,Temas_TIMSS!$L$5:$L$1264,$A80)</f>
        <v>0</v>
      </c>
      <c r="I80" s="23" t="n">
        <f aca="false">COUNTIFS(Temas_TIMSS!$V$5:$V$1264,I$4,Temas_TIMSS!$K$5:$K$1264,$A80)+COUNTIFS(Temas_TIMSS!$V$5:$V$1264,I$4,Temas_TIMSS!$L$5:$L$1264,$A80)</f>
        <v>5</v>
      </c>
      <c r="J80" s="23" t="n">
        <f aca="false">COUNTIFS(Temas_TIMSS!$V$5:$V$1264,J$4,Temas_TIMSS!$K$5:$K$1264,$A80)+COUNTIFS(Temas_TIMSS!$V$5:$V$1264,J$4,Temas_TIMSS!$L$5:$L$1264,$A80)</f>
        <v>1</v>
      </c>
      <c r="K80" s="23" t="n">
        <f aca="false">COUNTIFS(Temas_TIMSS!$V$5:$V$1264,K$4,Temas_TIMSS!$K$5:$K$1264,$A80)+COUNTIFS(Temas_TIMSS!$V$5:$V$1264,K$4,Temas_TIMSS!$L$5:$L$1264,$A80)</f>
        <v>11</v>
      </c>
      <c r="L80" s="23" t="n">
        <f aca="false">COUNTIFS(Temas_TIMSS!$V$5:$V$1264,L$4,Temas_TIMSS!$K$5:$K$1264,$A80)+COUNTIFS(Temas_TIMSS!$V$5:$V$1264,L$4,Temas_TIMSS!$L$5:$L$1264,$A80)</f>
        <v>0</v>
      </c>
      <c r="M80" s="23" t="n">
        <f aca="false">COUNTIFS(Temas_TIMSS!$V$5:$V$1264,M$4,Temas_TIMSS!$K$5:$K$1264,$A80)+COUNTIFS(Temas_TIMSS!$V$5:$V$1264,M$4,Temas_TIMSS!$L$5:$L$1264,$A80)</f>
        <v>0</v>
      </c>
      <c r="N80" s="23" t="n">
        <f aca="false">COUNTIFS(Temas_TIMSS!$V$5:$V$1264,N$4,Temas_TIMSS!$K$5:$K$1264,$A80)+COUNTIFS(Temas_TIMSS!$V$5:$V$1264,N$4,Temas_TIMSS!$L$5:$L$1264,$A80)</f>
        <v>0</v>
      </c>
      <c r="O80" s="23" t="n">
        <f aca="false">COUNTIFS(Temas_TIMSS!$V$5:$V$1264,O$4,Temas_TIMSS!$K$5:$K$1264,$A80)+COUNTIFS(Temas_TIMSS!$V$5:$V$1264,O$4,Temas_TIMSS!$L$5:$L$1264,$A80)</f>
        <v>0</v>
      </c>
      <c r="P80" s="23" t="n">
        <f aca="false">IF($B80="T4",SUM(F80:H80),IF($B80="T8",SUM(I80:L80),SUM(N80:O80)))</f>
        <v>17</v>
      </c>
      <c r="Q80" s="23" t="n">
        <f aca="false">COUNTIFS(Temas_TIMSS!$K$5:$K$1264,$A80)</f>
        <v>12</v>
      </c>
      <c r="R80" s="23" t="str">
        <f aca="false">IF(P80&gt;0,"Sí","No")</f>
        <v>Sí</v>
      </c>
      <c r="S80" s="23" t="str">
        <f aca="false">IF(P80=0,"No cubierto",IF(P80=1,"Débil (1 tema)",IF(P80&lt;=3,"Básica (2–3)","Sólida (4+)")))</f>
        <v>Sólida (4+)</v>
      </c>
      <c r="T80" s="23" t="str">
        <f aca="false">IFERROR(INDEX($F$4:$O$4,MATCH(TRUE(),INDEX(F80:O80&gt;0,0),0)),"—")</f>
        <v>5°</v>
      </c>
    </row>
    <row r="81" customFormat="false" ht="23.85" hidden="false" customHeight="false" outlineLevel="0" collapsed="false">
      <c r="A81" s="23" t="s">
        <v>285</v>
      </c>
      <c r="B81" s="23" t="s">
        <v>185</v>
      </c>
      <c r="C81" s="23" t="s">
        <v>87</v>
      </c>
      <c r="D81" s="23" t="s">
        <v>286</v>
      </c>
      <c r="E81" s="23" t="s">
        <v>287</v>
      </c>
      <c r="F81" s="23" t="n">
        <f aca="false">COUNTIFS(Temas_TIMSS!$V$5:$V$1264,F$4,Temas_TIMSS!$K$5:$K$1264,$A81)+COUNTIFS(Temas_TIMSS!$V$5:$V$1264,F$4,Temas_TIMSS!$L$5:$L$1264,$A81)</f>
        <v>0</v>
      </c>
      <c r="G81" s="23" t="n">
        <f aca="false">COUNTIFS(Temas_TIMSS!$V$5:$V$1264,G$4,Temas_TIMSS!$K$5:$K$1264,$A81)+COUNTIFS(Temas_TIMSS!$V$5:$V$1264,G$4,Temas_TIMSS!$L$5:$L$1264,$A81)</f>
        <v>0</v>
      </c>
      <c r="H81" s="23" t="n">
        <f aca="false">COUNTIFS(Temas_TIMSS!$V$5:$V$1264,H$4,Temas_TIMSS!$K$5:$K$1264,$A81)+COUNTIFS(Temas_TIMSS!$V$5:$V$1264,H$4,Temas_TIMSS!$L$5:$L$1264,$A81)</f>
        <v>0</v>
      </c>
      <c r="I81" s="23" t="n">
        <f aca="false">COUNTIFS(Temas_TIMSS!$V$5:$V$1264,I$4,Temas_TIMSS!$K$5:$K$1264,$A81)+COUNTIFS(Temas_TIMSS!$V$5:$V$1264,I$4,Temas_TIMSS!$L$5:$L$1264,$A81)</f>
        <v>0</v>
      </c>
      <c r="J81" s="23" t="n">
        <f aca="false">COUNTIFS(Temas_TIMSS!$V$5:$V$1264,J$4,Temas_TIMSS!$K$5:$K$1264,$A81)+COUNTIFS(Temas_TIMSS!$V$5:$V$1264,J$4,Temas_TIMSS!$L$5:$L$1264,$A81)</f>
        <v>0</v>
      </c>
      <c r="K81" s="23" t="n">
        <f aca="false">COUNTIFS(Temas_TIMSS!$V$5:$V$1264,K$4,Temas_TIMSS!$K$5:$K$1264,$A81)+COUNTIFS(Temas_TIMSS!$V$5:$V$1264,K$4,Temas_TIMSS!$L$5:$L$1264,$A81)</f>
        <v>0</v>
      </c>
      <c r="L81" s="23" t="n">
        <f aca="false">COUNTIFS(Temas_TIMSS!$V$5:$V$1264,L$4,Temas_TIMSS!$K$5:$K$1264,$A81)+COUNTIFS(Temas_TIMSS!$V$5:$V$1264,L$4,Temas_TIMSS!$L$5:$L$1264,$A81)</f>
        <v>0</v>
      </c>
      <c r="M81" s="23" t="n">
        <f aca="false">COUNTIFS(Temas_TIMSS!$V$5:$V$1264,M$4,Temas_TIMSS!$K$5:$K$1264,$A81)+COUNTIFS(Temas_TIMSS!$V$5:$V$1264,M$4,Temas_TIMSS!$L$5:$L$1264,$A81)</f>
        <v>1</v>
      </c>
      <c r="N81" s="23" t="n">
        <f aca="false">COUNTIFS(Temas_TIMSS!$V$5:$V$1264,N$4,Temas_TIMSS!$K$5:$K$1264,$A81)+COUNTIFS(Temas_TIMSS!$V$5:$V$1264,N$4,Temas_TIMSS!$L$5:$L$1264,$A81)</f>
        <v>0</v>
      </c>
      <c r="O81" s="23" t="n">
        <f aca="false">COUNTIFS(Temas_TIMSS!$V$5:$V$1264,O$4,Temas_TIMSS!$K$5:$K$1264,$A81)+COUNTIFS(Temas_TIMSS!$V$5:$V$1264,O$4,Temas_TIMSS!$L$5:$L$1264,$A81)</f>
        <v>0</v>
      </c>
      <c r="P81" s="23" t="n">
        <f aca="false">IF($B81="T4",SUM(F81:H81),IF($B81="T8",SUM(I81:L81),SUM(N81:O81)))</f>
        <v>0</v>
      </c>
      <c r="Q81" s="23" t="n">
        <f aca="false">COUNTIFS(Temas_TIMSS!$K$5:$K$1264,$A81)</f>
        <v>1</v>
      </c>
      <c r="R81" s="23" t="str">
        <f aca="false">IF(P81&gt;0,"Sí","No")</f>
        <v>No</v>
      </c>
      <c r="S81" s="23" t="str">
        <f aca="false">IF(P81=0,"No cubierto",IF(P81=1,"Débil (1 tema)",IF(P81&lt;=3,"Básica (2–3)","Sólida (4+)")))</f>
        <v>No cubierto</v>
      </c>
      <c r="T81" s="23" t="str">
        <f aca="false">IFERROR(INDEX($F$4:$O$4,MATCH(TRUE(),INDEX(F81:O81&gt;0,0),0)),"—")</f>
        <v>9°</v>
      </c>
    </row>
    <row r="82" customFormat="false" ht="23.85" hidden="false" customHeight="false" outlineLevel="0" collapsed="false">
      <c r="A82" s="23" t="s">
        <v>288</v>
      </c>
      <c r="B82" s="23" t="s">
        <v>185</v>
      </c>
      <c r="C82" s="23" t="s">
        <v>87</v>
      </c>
      <c r="D82" s="23" t="s">
        <v>286</v>
      </c>
      <c r="E82" s="23" t="s">
        <v>289</v>
      </c>
      <c r="F82" s="23" t="n">
        <f aca="false">COUNTIFS(Temas_TIMSS!$V$5:$V$1264,F$4,Temas_TIMSS!$K$5:$K$1264,$A82)+COUNTIFS(Temas_TIMSS!$V$5:$V$1264,F$4,Temas_TIMSS!$L$5:$L$1264,$A82)</f>
        <v>0</v>
      </c>
      <c r="G82" s="23" t="n">
        <f aca="false">COUNTIFS(Temas_TIMSS!$V$5:$V$1264,G$4,Temas_TIMSS!$K$5:$K$1264,$A82)+COUNTIFS(Temas_TIMSS!$V$5:$V$1264,G$4,Temas_TIMSS!$L$5:$L$1264,$A82)</f>
        <v>0</v>
      </c>
      <c r="H82" s="23" t="n">
        <f aca="false">COUNTIFS(Temas_TIMSS!$V$5:$V$1264,H$4,Temas_TIMSS!$K$5:$K$1264,$A82)+COUNTIFS(Temas_TIMSS!$V$5:$V$1264,H$4,Temas_TIMSS!$L$5:$L$1264,$A82)</f>
        <v>0</v>
      </c>
      <c r="I82" s="23" t="n">
        <f aca="false">COUNTIFS(Temas_TIMSS!$V$5:$V$1264,I$4,Temas_TIMSS!$K$5:$K$1264,$A82)+COUNTIFS(Temas_TIMSS!$V$5:$V$1264,I$4,Temas_TIMSS!$L$5:$L$1264,$A82)</f>
        <v>4</v>
      </c>
      <c r="J82" s="23" t="n">
        <f aca="false">COUNTIFS(Temas_TIMSS!$V$5:$V$1264,J$4,Temas_TIMSS!$K$5:$K$1264,$A82)+COUNTIFS(Temas_TIMSS!$V$5:$V$1264,J$4,Temas_TIMSS!$L$5:$L$1264,$A82)</f>
        <v>0</v>
      </c>
      <c r="K82" s="23" t="n">
        <f aca="false">COUNTIFS(Temas_TIMSS!$V$5:$V$1264,K$4,Temas_TIMSS!$K$5:$K$1264,$A82)+COUNTIFS(Temas_TIMSS!$V$5:$V$1264,K$4,Temas_TIMSS!$L$5:$L$1264,$A82)</f>
        <v>0</v>
      </c>
      <c r="L82" s="23" t="n">
        <f aca="false">COUNTIFS(Temas_TIMSS!$V$5:$V$1264,L$4,Temas_TIMSS!$K$5:$K$1264,$A82)+COUNTIFS(Temas_TIMSS!$V$5:$V$1264,L$4,Temas_TIMSS!$L$5:$L$1264,$A82)</f>
        <v>0</v>
      </c>
      <c r="M82" s="23" t="n">
        <f aca="false">COUNTIFS(Temas_TIMSS!$V$5:$V$1264,M$4,Temas_TIMSS!$K$5:$K$1264,$A82)+COUNTIFS(Temas_TIMSS!$V$5:$V$1264,M$4,Temas_TIMSS!$L$5:$L$1264,$A82)</f>
        <v>1</v>
      </c>
      <c r="N82" s="23" t="n">
        <f aca="false">COUNTIFS(Temas_TIMSS!$V$5:$V$1264,N$4,Temas_TIMSS!$K$5:$K$1264,$A82)+COUNTIFS(Temas_TIMSS!$V$5:$V$1264,N$4,Temas_TIMSS!$L$5:$L$1264,$A82)</f>
        <v>0</v>
      </c>
      <c r="O82" s="23" t="n">
        <f aca="false">COUNTIFS(Temas_TIMSS!$V$5:$V$1264,O$4,Temas_TIMSS!$K$5:$K$1264,$A82)+COUNTIFS(Temas_TIMSS!$V$5:$V$1264,O$4,Temas_TIMSS!$L$5:$L$1264,$A82)</f>
        <v>0</v>
      </c>
      <c r="P82" s="23" t="n">
        <f aca="false">IF($B82="T4",SUM(F82:H82),IF($B82="T8",SUM(I82:L82),SUM(N82:O82)))</f>
        <v>4</v>
      </c>
      <c r="Q82" s="23" t="n">
        <f aca="false">COUNTIFS(Temas_TIMSS!$K$5:$K$1264,$A82)</f>
        <v>5</v>
      </c>
      <c r="R82" s="23" t="str">
        <f aca="false">IF(P82&gt;0,"Sí","No")</f>
        <v>Sí</v>
      </c>
      <c r="S82" s="23" t="str">
        <f aca="false">IF(P82=0,"No cubierto",IF(P82=1,"Débil (1 tema)",IF(P82&lt;=3,"Básica (2–3)","Sólida (4+)")))</f>
        <v>Sólida (4+)</v>
      </c>
      <c r="T82" s="23" t="str">
        <f aca="false">IFERROR(INDEX($F$4:$O$4,MATCH(TRUE(),INDEX(F82:O82&gt;0,0),0)),"—")</f>
        <v>5°</v>
      </c>
    </row>
    <row r="83" customFormat="false" ht="15" hidden="false" customHeight="false" outlineLevel="0" collapsed="false">
      <c r="A83" s="23" t="s">
        <v>290</v>
      </c>
      <c r="B83" s="23" t="s">
        <v>291</v>
      </c>
      <c r="C83" s="23" t="s">
        <v>92</v>
      </c>
      <c r="D83" s="23" t="s">
        <v>161</v>
      </c>
      <c r="E83" s="23" t="s">
        <v>292</v>
      </c>
      <c r="F83" s="23" t="n">
        <f aca="false">COUNTIFS(Temas_TIMSS!$V$5:$V$1264,F$4,Temas_TIMSS!$K$5:$K$1264,$A83)+COUNTIFS(Temas_TIMSS!$V$5:$V$1264,F$4,Temas_TIMSS!$L$5:$L$1264,$A83)</f>
        <v>0</v>
      </c>
      <c r="G83" s="23" t="n">
        <f aca="false">COUNTIFS(Temas_TIMSS!$V$5:$V$1264,G$4,Temas_TIMSS!$K$5:$K$1264,$A83)+COUNTIFS(Temas_TIMSS!$V$5:$V$1264,G$4,Temas_TIMSS!$L$5:$L$1264,$A83)</f>
        <v>0</v>
      </c>
      <c r="H83" s="23" t="n">
        <f aca="false">COUNTIFS(Temas_TIMSS!$V$5:$V$1264,H$4,Temas_TIMSS!$K$5:$K$1264,$A83)+COUNTIFS(Temas_TIMSS!$V$5:$V$1264,H$4,Temas_TIMSS!$L$5:$L$1264,$A83)</f>
        <v>0</v>
      </c>
      <c r="I83" s="23" t="n">
        <f aca="false">COUNTIFS(Temas_TIMSS!$V$5:$V$1264,I$4,Temas_TIMSS!$K$5:$K$1264,$A83)+COUNTIFS(Temas_TIMSS!$V$5:$V$1264,I$4,Temas_TIMSS!$L$5:$L$1264,$A83)</f>
        <v>0</v>
      </c>
      <c r="J83" s="23" t="n">
        <f aca="false">COUNTIFS(Temas_TIMSS!$V$5:$V$1264,J$4,Temas_TIMSS!$K$5:$K$1264,$A83)+COUNTIFS(Temas_TIMSS!$V$5:$V$1264,J$4,Temas_TIMSS!$L$5:$L$1264,$A83)</f>
        <v>0</v>
      </c>
      <c r="K83" s="23" t="n">
        <f aca="false">COUNTIFS(Temas_TIMSS!$V$5:$V$1264,K$4,Temas_TIMSS!$K$5:$K$1264,$A83)+COUNTIFS(Temas_TIMSS!$V$5:$V$1264,K$4,Temas_TIMSS!$L$5:$L$1264,$A83)</f>
        <v>0</v>
      </c>
      <c r="L83" s="23" t="n">
        <f aca="false">COUNTIFS(Temas_TIMSS!$V$5:$V$1264,L$4,Temas_TIMSS!$K$5:$K$1264,$A83)+COUNTIFS(Temas_TIMSS!$V$5:$V$1264,L$4,Temas_TIMSS!$L$5:$L$1264,$A83)</f>
        <v>0</v>
      </c>
      <c r="M83" s="23" t="n">
        <f aca="false">COUNTIFS(Temas_TIMSS!$V$5:$V$1264,M$4,Temas_TIMSS!$K$5:$K$1264,$A83)+COUNTIFS(Temas_TIMSS!$V$5:$V$1264,M$4,Temas_TIMSS!$L$5:$L$1264,$A83)</f>
        <v>0</v>
      </c>
      <c r="N83" s="23" t="n">
        <f aca="false">COUNTIFS(Temas_TIMSS!$V$5:$V$1264,N$4,Temas_TIMSS!$K$5:$K$1264,$A83)+COUNTIFS(Temas_TIMSS!$V$5:$V$1264,N$4,Temas_TIMSS!$L$5:$L$1264,$A83)</f>
        <v>18</v>
      </c>
      <c r="O83" s="23" t="n">
        <f aca="false">COUNTIFS(Temas_TIMSS!$V$5:$V$1264,O$4,Temas_TIMSS!$K$5:$K$1264,$A83)+COUNTIFS(Temas_TIMSS!$V$5:$V$1264,O$4,Temas_TIMSS!$L$5:$L$1264,$A83)</f>
        <v>0</v>
      </c>
      <c r="P83" s="23" t="n">
        <f aca="false">IF($B83="T4",SUM(F83:H83),IF($B83="T8",SUM(I83:L83),SUM(N83:O83)))</f>
        <v>18</v>
      </c>
      <c r="Q83" s="23" t="n">
        <f aca="false">COUNTIFS(Temas_TIMSS!$K$5:$K$1264,$A83)</f>
        <v>16</v>
      </c>
      <c r="R83" s="23" t="str">
        <f aca="false">IF(P83&gt;0,"Sí","No")</f>
        <v>Sí</v>
      </c>
      <c r="S83" s="23" t="str">
        <f aca="false">IF(P83=0,"No cubierto",IF(P83=1,"Débil (1 tema)",IF(P83&lt;=3,"Básica (2–3)","Sólida (4+)")))</f>
        <v>Sólida (4+)</v>
      </c>
      <c r="T83" s="23" t="str">
        <f aca="false">IFERROR(INDEX($F$4:$O$4,MATCH(TRUE(),INDEX(F83:O83&gt;0,0),0)),"—")</f>
        <v>Física 10°</v>
      </c>
    </row>
    <row r="84" customFormat="false" ht="15" hidden="false" customHeight="false" outlineLevel="0" collapsed="false">
      <c r="A84" s="23" t="s">
        <v>293</v>
      </c>
      <c r="B84" s="23" t="s">
        <v>291</v>
      </c>
      <c r="C84" s="23" t="s">
        <v>92</v>
      </c>
      <c r="D84" s="23" t="s">
        <v>161</v>
      </c>
      <c r="E84" s="23" t="s">
        <v>294</v>
      </c>
      <c r="F84" s="23" t="n">
        <f aca="false">COUNTIFS(Temas_TIMSS!$V$5:$V$1264,F$4,Temas_TIMSS!$K$5:$K$1264,$A84)+COUNTIFS(Temas_TIMSS!$V$5:$V$1264,F$4,Temas_TIMSS!$L$5:$L$1264,$A84)</f>
        <v>0</v>
      </c>
      <c r="G84" s="23" t="n">
        <f aca="false">COUNTIFS(Temas_TIMSS!$V$5:$V$1264,G$4,Temas_TIMSS!$K$5:$K$1264,$A84)+COUNTIFS(Temas_TIMSS!$V$5:$V$1264,G$4,Temas_TIMSS!$L$5:$L$1264,$A84)</f>
        <v>0</v>
      </c>
      <c r="H84" s="23" t="n">
        <f aca="false">COUNTIFS(Temas_TIMSS!$V$5:$V$1264,H$4,Temas_TIMSS!$K$5:$K$1264,$A84)+COUNTIFS(Temas_TIMSS!$V$5:$V$1264,H$4,Temas_TIMSS!$L$5:$L$1264,$A84)</f>
        <v>0</v>
      </c>
      <c r="I84" s="23" t="n">
        <f aca="false">COUNTIFS(Temas_TIMSS!$V$5:$V$1264,I$4,Temas_TIMSS!$K$5:$K$1264,$A84)+COUNTIFS(Temas_TIMSS!$V$5:$V$1264,I$4,Temas_TIMSS!$L$5:$L$1264,$A84)</f>
        <v>0</v>
      </c>
      <c r="J84" s="23" t="n">
        <f aca="false">COUNTIFS(Temas_TIMSS!$V$5:$V$1264,J$4,Temas_TIMSS!$K$5:$K$1264,$A84)+COUNTIFS(Temas_TIMSS!$V$5:$V$1264,J$4,Temas_TIMSS!$L$5:$L$1264,$A84)</f>
        <v>0</v>
      </c>
      <c r="K84" s="23" t="n">
        <f aca="false">COUNTIFS(Temas_TIMSS!$V$5:$V$1264,K$4,Temas_TIMSS!$K$5:$K$1264,$A84)+COUNTIFS(Temas_TIMSS!$V$5:$V$1264,K$4,Temas_TIMSS!$L$5:$L$1264,$A84)</f>
        <v>0</v>
      </c>
      <c r="L84" s="23" t="n">
        <f aca="false">COUNTIFS(Temas_TIMSS!$V$5:$V$1264,L$4,Temas_TIMSS!$K$5:$K$1264,$A84)+COUNTIFS(Temas_TIMSS!$V$5:$V$1264,L$4,Temas_TIMSS!$L$5:$L$1264,$A84)</f>
        <v>0</v>
      </c>
      <c r="M84" s="23" t="n">
        <f aca="false">COUNTIFS(Temas_TIMSS!$V$5:$V$1264,M$4,Temas_TIMSS!$K$5:$K$1264,$A84)+COUNTIFS(Temas_TIMSS!$V$5:$V$1264,M$4,Temas_TIMSS!$L$5:$L$1264,$A84)</f>
        <v>0</v>
      </c>
      <c r="N84" s="23" t="n">
        <f aca="false">COUNTIFS(Temas_TIMSS!$V$5:$V$1264,N$4,Temas_TIMSS!$K$5:$K$1264,$A84)+COUNTIFS(Temas_TIMSS!$V$5:$V$1264,N$4,Temas_TIMSS!$L$5:$L$1264,$A84)</f>
        <v>10</v>
      </c>
      <c r="O84" s="23" t="n">
        <f aca="false">COUNTIFS(Temas_TIMSS!$V$5:$V$1264,O$4,Temas_TIMSS!$K$5:$K$1264,$A84)+COUNTIFS(Temas_TIMSS!$V$5:$V$1264,O$4,Temas_TIMSS!$L$5:$L$1264,$A84)</f>
        <v>1</v>
      </c>
      <c r="P84" s="23" t="n">
        <f aca="false">IF($B84="T4",SUM(F84:H84),IF($B84="T8",SUM(I84:L84),SUM(N84:O84)))</f>
        <v>11</v>
      </c>
      <c r="Q84" s="23" t="n">
        <f aca="false">COUNTIFS(Temas_TIMSS!$K$5:$K$1264,$A84)</f>
        <v>8</v>
      </c>
      <c r="R84" s="23" t="str">
        <f aca="false">IF(P84&gt;0,"Sí","No")</f>
        <v>Sí</v>
      </c>
      <c r="S84" s="23" t="str">
        <f aca="false">IF(P84=0,"No cubierto",IF(P84=1,"Débil (1 tema)",IF(P84&lt;=3,"Básica (2–3)","Sólida (4+)")))</f>
        <v>Sólida (4+)</v>
      </c>
      <c r="T84" s="23" t="str">
        <f aca="false">IFERROR(INDEX($F$4:$O$4,MATCH(TRUE(),INDEX(F84:O84&gt;0,0),0)),"—")</f>
        <v>Física 10°</v>
      </c>
    </row>
    <row r="85" customFormat="false" ht="15" hidden="false" customHeight="false" outlineLevel="0" collapsed="false">
      <c r="A85" s="23" t="s">
        <v>295</v>
      </c>
      <c r="B85" s="23" t="s">
        <v>291</v>
      </c>
      <c r="C85" s="23" t="s">
        <v>92</v>
      </c>
      <c r="D85" s="23" t="s">
        <v>161</v>
      </c>
      <c r="E85" s="23" t="s">
        <v>296</v>
      </c>
      <c r="F85" s="23" t="n">
        <f aca="false">COUNTIFS(Temas_TIMSS!$V$5:$V$1264,F$4,Temas_TIMSS!$K$5:$K$1264,$A85)+COUNTIFS(Temas_TIMSS!$V$5:$V$1264,F$4,Temas_TIMSS!$L$5:$L$1264,$A85)</f>
        <v>0</v>
      </c>
      <c r="G85" s="23" t="n">
        <f aca="false">COUNTIFS(Temas_TIMSS!$V$5:$V$1264,G$4,Temas_TIMSS!$K$5:$K$1264,$A85)+COUNTIFS(Temas_TIMSS!$V$5:$V$1264,G$4,Temas_TIMSS!$L$5:$L$1264,$A85)</f>
        <v>0</v>
      </c>
      <c r="H85" s="23" t="n">
        <f aca="false">COUNTIFS(Temas_TIMSS!$V$5:$V$1264,H$4,Temas_TIMSS!$K$5:$K$1264,$A85)+COUNTIFS(Temas_TIMSS!$V$5:$V$1264,H$4,Temas_TIMSS!$L$5:$L$1264,$A85)</f>
        <v>0</v>
      </c>
      <c r="I85" s="23" t="n">
        <f aca="false">COUNTIFS(Temas_TIMSS!$V$5:$V$1264,I$4,Temas_TIMSS!$K$5:$K$1264,$A85)+COUNTIFS(Temas_TIMSS!$V$5:$V$1264,I$4,Temas_TIMSS!$L$5:$L$1264,$A85)</f>
        <v>0</v>
      </c>
      <c r="J85" s="23" t="n">
        <f aca="false">COUNTIFS(Temas_TIMSS!$V$5:$V$1264,J$4,Temas_TIMSS!$K$5:$K$1264,$A85)+COUNTIFS(Temas_TIMSS!$V$5:$V$1264,J$4,Temas_TIMSS!$L$5:$L$1264,$A85)</f>
        <v>0</v>
      </c>
      <c r="K85" s="23" t="n">
        <f aca="false">COUNTIFS(Temas_TIMSS!$V$5:$V$1264,K$4,Temas_TIMSS!$K$5:$K$1264,$A85)+COUNTIFS(Temas_TIMSS!$V$5:$V$1264,K$4,Temas_TIMSS!$L$5:$L$1264,$A85)</f>
        <v>0</v>
      </c>
      <c r="L85" s="23" t="n">
        <f aca="false">COUNTIFS(Temas_TIMSS!$V$5:$V$1264,L$4,Temas_TIMSS!$K$5:$K$1264,$A85)+COUNTIFS(Temas_TIMSS!$V$5:$V$1264,L$4,Temas_TIMSS!$L$5:$L$1264,$A85)</f>
        <v>0</v>
      </c>
      <c r="M85" s="23" t="n">
        <f aca="false">COUNTIFS(Temas_TIMSS!$V$5:$V$1264,M$4,Temas_TIMSS!$K$5:$K$1264,$A85)+COUNTIFS(Temas_TIMSS!$V$5:$V$1264,M$4,Temas_TIMSS!$L$5:$L$1264,$A85)</f>
        <v>0</v>
      </c>
      <c r="N85" s="23" t="n">
        <f aca="false">COUNTIFS(Temas_TIMSS!$V$5:$V$1264,N$4,Temas_TIMSS!$K$5:$K$1264,$A85)+COUNTIFS(Temas_TIMSS!$V$5:$V$1264,N$4,Temas_TIMSS!$L$5:$L$1264,$A85)</f>
        <v>8</v>
      </c>
      <c r="O85" s="23" t="n">
        <f aca="false">COUNTIFS(Temas_TIMSS!$V$5:$V$1264,O$4,Temas_TIMSS!$K$5:$K$1264,$A85)+COUNTIFS(Temas_TIMSS!$V$5:$V$1264,O$4,Temas_TIMSS!$L$5:$L$1264,$A85)</f>
        <v>1</v>
      </c>
      <c r="P85" s="23" t="n">
        <f aca="false">IF($B85="T4",SUM(F85:H85),IF($B85="T8",SUM(I85:L85),SUM(N85:O85)))</f>
        <v>9</v>
      </c>
      <c r="Q85" s="23" t="n">
        <f aca="false">COUNTIFS(Temas_TIMSS!$K$5:$K$1264,$A85)</f>
        <v>7</v>
      </c>
      <c r="R85" s="23" t="str">
        <f aca="false">IF(P85&gt;0,"Sí","No")</f>
        <v>Sí</v>
      </c>
      <c r="S85" s="23" t="str">
        <f aca="false">IF(P85=0,"No cubierto",IF(P85=1,"Débil (1 tema)",IF(P85&lt;=3,"Básica (2–3)","Sólida (4+)")))</f>
        <v>Sólida (4+)</v>
      </c>
      <c r="T85" s="23" t="str">
        <f aca="false">IFERROR(INDEX($F$4:$O$4,MATCH(TRUE(),INDEX(F85:O85&gt;0,0),0)),"—")</f>
        <v>Física 10°</v>
      </c>
    </row>
    <row r="86" customFormat="false" ht="15" hidden="false" customHeight="false" outlineLevel="0" collapsed="false">
      <c r="A86" s="23" t="s">
        <v>297</v>
      </c>
      <c r="B86" s="23" t="s">
        <v>291</v>
      </c>
      <c r="C86" s="23" t="s">
        <v>92</v>
      </c>
      <c r="D86" s="23" t="s">
        <v>161</v>
      </c>
      <c r="E86" s="23" t="s">
        <v>298</v>
      </c>
      <c r="F86" s="23" t="n">
        <f aca="false">COUNTIFS(Temas_TIMSS!$V$5:$V$1264,F$4,Temas_TIMSS!$K$5:$K$1264,$A86)+COUNTIFS(Temas_TIMSS!$V$5:$V$1264,F$4,Temas_TIMSS!$L$5:$L$1264,$A86)</f>
        <v>0</v>
      </c>
      <c r="G86" s="23" t="n">
        <f aca="false">COUNTIFS(Temas_TIMSS!$V$5:$V$1264,G$4,Temas_TIMSS!$K$5:$K$1264,$A86)+COUNTIFS(Temas_TIMSS!$V$5:$V$1264,G$4,Temas_TIMSS!$L$5:$L$1264,$A86)</f>
        <v>0</v>
      </c>
      <c r="H86" s="23" t="n">
        <f aca="false">COUNTIFS(Temas_TIMSS!$V$5:$V$1264,H$4,Temas_TIMSS!$K$5:$K$1264,$A86)+COUNTIFS(Temas_TIMSS!$V$5:$V$1264,H$4,Temas_TIMSS!$L$5:$L$1264,$A86)</f>
        <v>0</v>
      </c>
      <c r="I86" s="23" t="n">
        <f aca="false">COUNTIFS(Temas_TIMSS!$V$5:$V$1264,I$4,Temas_TIMSS!$K$5:$K$1264,$A86)+COUNTIFS(Temas_TIMSS!$V$5:$V$1264,I$4,Temas_TIMSS!$L$5:$L$1264,$A86)</f>
        <v>0</v>
      </c>
      <c r="J86" s="23" t="n">
        <f aca="false">COUNTIFS(Temas_TIMSS!$V$5:$V$1264,J$4,Temas_TIMSS!$K$5:$K$1264,$A86)+COUNTIFS(Temas_TIMSS!$V$5:$V$1264,J$4,Temas_TIMSS!$L$5:$L$1264,$A86)</f>
        <v>0</v>
      </c>
      <c r="K86" s="23" t="n">
        <f aca="false">COUNTIFS(Temas_TIMSS!$V$5:$V$1264,K$4,Temas_TIMSS!$K$5:$K$1264,$A86)+COUNTIFS(Temas_TIMSS!$V$5:$V$1264,K$4,Temas_TIMSS!$L$5:$L$1264,$A86)</f>
        <v>0</v>
      </c>
      <c r="L86" s="23" t="n">
        <f aca="false">COUNTIFS(Temas_TIMSS!$V$5:$V$1264,L$4,Temas_TIMSS!$K$5:$K$1264,$A86)+COUNTIFS(Temas_TIMSS!$V$5:$V$1264,L$4,Temas_TIMSS!$L$5:$L$1264,$A86)</f>
        <v>0</v>
      </c>
      <c r="M86" s="23" t="n">
        <f aca="false">COUNTIFS(Temas_TIMSS!$V$5:$V$1264,M$4,Temas_TIMSS!$K$5:$K$1264,$A86)+COUNTIFS(Temas_TIMSS!$V$5:$V$1264,M$4,Temas_TIMSS!$L$5:$L$1264,$A86)</f>
        <v>0</v>
      </c>
      <c r="N86" s="23" t="n">
        <f aca="false">COUNTIFS(Temas_TIMSS!$V$5:$V$1264,N$4,Temas_TIMSS!$K$5:$K$1264,$A86)+COUNTIFS(Temas_TIMSS!$V$5:$V$1264,N$4,Temas_TIMSS!$L$5:$L$1264,$A86)</f>
        <v>3</v>
      </c>
      <c r="O86" s="23" t="n">
        <f aca="false">COUNTIFS(Temas_TIMSS!$V$5:$V$1264,O$4,Temas_TIMSS!$K$5:$K$1264,$A86)+COUNTIFS(Temas_TIMSS!$V$5:$V$1264,O$4,Temas_TIMSS!$L$5:$L$1264,$A86)</f>
        <v>2</v>
      </c>
      <c r="P86" s="23" t="n">
        <f aca="false">IF($B86="T4",SUM(F86:H86),IF($B86="T8",SUM(I86:L86),SUM(N86:O86)))</f>
        <v>5</v>
      </c>
      <c r="Q86" s="23" t="n">
        <f aca="false">COUNTIFS(Temas_TIMSS!$K$5:$K$1264,$A86)</f>
        <v>4</v>
      </c>
      <c r="R86" s="23" t="str">
        <f aca="false">IF(P86&gt;0,"Sí","No")</f>
        <v>Sí</v>
      </c>
      <c r="S86" s="23" t="str">
        <f aca="false">IF(P86=0,"No cubierto",IF(P86=1,"Débil (1 tema)",IF(P86&lt;=3,"Básica (2–3)","Sólida (4+)")))</f>
        <v>Sólida (4+)</v>
      </c>
      <c r="T86" s="23" t="str">
        <f aca="false">IFERROR(INDEX($F$4:$O$4,MATCH(TRUE(),INDEX(F86:O86&gt;0,0),0)),"—")</f>
        <v>Física 10°</v>
      </c>
    </row>
    <row r="87" customFormat="false" ht="15" hidden="false" customHeight="false" outlineLevel="0" collapsed="false">
      <c r="A87" s="23" t="s">
        <v>299</v>
      </c>
      <c r="B87" s="23" t="s">
        <v>291</v>
      </c>
      <c r="C87" s="23" t="s">
        <v>92</v>
      </c>
      <c r="D87" s="23" t="s">
        <v>300</v>
      </c>
      <c r="E87" s="23" t="s">
        <v>301</v>
      </c>
      <c r="F87" s="23" t="n">
        <f aca="false">COUNTIFS(Temas_TIMSS!$V$5:$V$1264,F$4,Temas_TIMSS!$K$5:$K$1264,$A87)+COUNTIFS(Temas_TIMSS!$V$5:$V$1264,F$4,Temas_TIMSS!$L$5:$L$1264,$A87)</f>
        <v>0</v>
      </c>
      <c r="G87" s="23" t="n">
        <f aca="false">COUNTIFS(Temas_TIMSS!$V$5:$V$1264,G$4,Temas_TIMSS!$K$5:$K$1264,$A87)+COUNTIFS(Temas_TIMSS!$V$5:$V$1264,G$4,Temas_TIMSS!$L$5:$L$1264,$A87)</f>
        <v>0</v>
      </c>
      <c r="H87" s="23" t="n">
        <f aca="false">COUNTIFS(Temas_TIMSS!$V$5:$V$1264,H$4,Temas_TIMSS!$K$5:$K$1264,$A87)+COUNTIFS(Temas_TIMSS!$V$5:$V$1264,H$4,Temas_TIMSS!$L$5:$L$1264,$A87)</f>
        <v>0</v>
      </c>
      <c r="I87" s="23" t="n">
        <f aca="false">COUNTIFS(Temas_TIMSS!$V$5:$V$1264,I$4,Temas_TIMSS!$K$5:$K$1264,$A87)+COUNTIFS(Temas_TIMSS!$V$5:$V$1264,I$4,Temas_TIMSS!$L$5:$L$1264,$A87)</f>
        <v>0</v>
      </c>
      <c r="J87" s="23" t="n">
        <f aca="false">COUNTIFS(Temas_TIMSS!$V$5:$V$1264,J$4,Temas_TIMSS!$K$5:$K$1264,$A87)+COUNTIFS(Temas_TIMSS!$V$5:$V$1264,J$4,Temas_TIMSS!$L$5:$L$1264,$A87)</f>
        <v>0</v>
      </c>
      <c r="K87" s="23" t="n">
        <f aca="false">COUNTIFS(Temas_TIMSS!$V$5:$V$1264,K$4,Temas_TIMSS!$K$5:$K$1264,$A87)+COUNTIFS(Temas_TIMSS!$V$5:$V$1264,K$4,Temas_TIMSS!$L$5:$L$1264,$A87)</f>
        <v>0</v>
      </c>
      <c r="L87" s="23" t="n">
        <f aca="false">COUNTIFS(Temas_TIMSS!$V$5:$V$1264,L$4,Temas_TIMSS!$K$5:$K$1264,$A87)+COUNTIFS(Temas_TIMSS!$V$5:$V$1264,L$4,Temas_TIMSS!$L$5:$L$1264,$A87)</f>
        <v>0</v>
      </c>
      <c r="M87" s="23" t="n">
        <f aca="false">COUNTIFS(Temas_TIMSS!$V$5:$V$1264,M$4,Temas_TIMSS!$K$5:$K$1264,$A87)+COUNTIFS(Temas_TIMSS!$V$5:$V$1264,M$4,Temas_TIMSS!$L$5:$L$1264,$A87)</f>
        <v>0</v>
      </c>
      <c r="N87" s="23" t="n">
        <f aca="false">COUNTIFS(Temas_TIMSS!$V$5:$V$1264,N$4,Temas_TIMSS!$K$5:$K$1264,$A87)+COUNTIFS(Temas_TIMSS!$V$5:$V$1264,N$4,Temas_TIMSS!$L$5:$L$1264,$A87)</f>
        <v>11</v>
      </c>
      <c r="O87" s="23" t="n">
        <f aca="false">COUNTIFS(Temas_TIMSS!$V$5:$V$1264,O$4,Temas_TIMSS!$K$5:$K$1264,$A87)+COUNTIFS(Temas_TIMSS!$V$5:$V$1264,O$4,Temas_TIMSS!$L$5:$L$1264,$A87)</f>
        <v>2</v>
      </c>
      <c r="P87" s="23" t="n">
        <f aca="false">IF($B87="T4",SUM(F87:H87),IF($B87="T8",SUM(I87:L87),SUM(N87:O87)))</f>
        <v>13</v>
      </c>
      <c r="Q87" s="23" t="n">
        <f aca="false">COUNTIFS(Temas_TIMSS!$K$5:$K$1264,$A87)</f>
        <v>11</v>
      </c>
      <c r="R87" s="23" t="str">
        <f aca="false">IF(P87&gt;0,"Sí","No")</f>
        <v>Sí</v>
      </c>
      <c r="S87" s="23" t="str">
        <f aca="false">IF(P87=0,"No cubierto",IF(P87=1,"Débil (1 tema)",IF(P87&lt;=3,"Básica (2–3)","Sólida (4+)")))</f>
        <v>Sólida (4+)</v>
      </c>
      <c r="T87" s="23" t="str">
        <f aca="false">IFERROR(INDEX($F$4:$O$4,MATCH(TRUE(),INDEX(F87:O87&gt;0,0),0)),"—")</f>
        <v>Física 10°</v>
      </c>
    </row>
    <row r="88" customFormat="false" ht="15" hidden="false" customHeight="false" outlineLevel="0" collapsed="false">
      <c r="A88" s="23" t="s">
        <v>302</v>
      </c>
      <c r="B88" s="23" t="s">
        <v>291</v>
      </c>
      <c r="C88" s="23" t="s">
        <v>92</v>
      </c>
      <c r="D88" s="23" t="s">
        <v>300</v>
      </c>
      <c r="E88" s="23" t="s">
        <v>303</v>
      </c>
      <c r="F88" s="23" t="n">
        <f aca="false">COUNTIFS(Temas_TIMSS!$V$5:$V$1264,F$4,Temas_TIMSS!$K$5:$K$1264,$A88)+COUNTIFS(Temas_TIMSS!$V$5:$V$1264,F$4,Temas_TIMSS!$L$5:$L$1264,$A88)</f>
        <v>0</v>
      </c>
      <c r="G88" s="23" t="n">
        <f aca="false">COUNTIFS(Temas_TIMSS!$V$5:$V$1264,G$4,Temas_TIMSS!$K$5:$K$1264,$A88)+COUNTIFS(Temas_TIMSS!$V$5:$V$1264,G$4,Temas_TIMSS!$L$5:$L$1264,$A88)</f>
        <v>0</v>
      </c>
      <c r="H88" s="23" t="n">
        <f aca="false">COUNTIFS(Temas_TIMSS!$V$5:$V$1264,H$4,Temas_TIMSS!$K$5:$K$1264,$A88)+COUNTIFS(Temas_TIMSS!$V$5:$V$1264,H$4,Temas_TIMSS!$L$5:$L$1264,$A88)</f>
        <v>0</v>
      </c>
      <c r="I88" s="23" t="n">
        <f aca="false">COUNTIFS(Temas_TIMSS!$V$5:$V$1264,I$4,Temas_TIMSS!$K$5:$K$1264,$A88)+COUNTIFS(Temas_TIMSS!$V$5:$V$1264,I$4,Temas_TIMSS!$L$5:$L$1264,$A88)</f>
        <v>0</v>
      </c>
      <c r="J88" s="23" t="n">
        <f aca="false">COUNTIFS(Temas_TIMSS!$V$5:$V$1264,J$4,Temas_TIMSS!$K$5:$K$1264,$A88)+COUNTIFS(Temas_TIMSS!$V$5:$V$1264,J$4,Temas_TIMSS!$L$5:$L$1264,$A88)</f>
        <v>0</v>
      </c>
      <c r="K88" s="23" t="n">
        <f aca="false">COUNTIFS(Temas_TIMSS!$V$5:$V$1264,K$4,Temas_TIMSS!$K$5:$K$1264,$A88)+COUNTIFS(Temas_TIMSS!$V$5:$V$1264,K$4,Temas_TIMSS!$L$5:$L$1264,$A88)</f>
        <v>0</v>
      </c>
      <c r="L88" s="23" t="n">
        <f aca="false">COUNTIFS(Temas_TIMSS!$V$5:$V$1264,L$4,Temas_TIMSS!$K$5:$K$1264,$A88)+COUNTIFS(Temas_TIMSS!$V$5:$V$1264,L$4,Temas_TIMSS!$L$5:$L$1264,$A88)</f>
        <v>0</v>
      </c>
      <c r="M88" s="23" t="n">
        <f aca="false">COUNTIFS(Temas_TIMSS!$V$5:$V$1264,M$4,Temas_TIMSS!$K$5:$K$1264,$A88)+COUNTIFS(Temas_TIMSS!$V$5:$V$1264,M$4,Temas_TIMSS!$L$5:$L$1264,$A88)</f>
        <v>0</v>
      </c>
      <c r="N88" s="23" t="n">
        <f aca="false">COUNTIFS(Temas_TIMSS!$V$5:$V$1264,N$4,Temas_TIMSS!$K$5:$K$1264,$A88)+COUNTIFS(Temas_TIMSS!$V$5:$V$1264,N$4,Temas_TIMSS!$L$5:$L$1264,$A88)</f>
        <v>5</v>
      </c>
      <c r="O88" s="23" t="n">
        <f aca="false">COUNTIFS(Temas_TIMSS!$V$5:$V$1264,O$4,Temas_TIMSS!$K$5:$K$1264,$A88)+COUNTIFS(Temas_TIMSS!$V$5:$V$1264,O$4,Temas_TIMSS!$L$5:$L$1264,$A88)</f>
        <v>1</v>
      </c>
      <c r="P88" s="23" t="n">
        <f aca="false">IF($B88="T4",SUM(F88:H88),IF($B88="T8",SUM(I88:L88),SUM(N88:O88)))</f>
        <v>6</v>
      </c>
      <c r="Q88" s="23" t="n">
        <f aca="false">COUNTIFS(Temas_TIMSS!$K$5:$K$1264,$A88)</f>
        <v>5</v>
      </c>
      <c r="R88" s="23" t="str">
        <f aca="false">IF(P88&gt;0,"Sí","No")</f>
        <v>Sí</v>
      </c>
      <c r="S88" s="23" t="str">
        <f aca="false">IF(P88=0,"No cubierto",IF(P88=1,"Débil (1 tema)",IF(P88&lt;=3,"Básica (2–3)","Sólida (4+)")))</f>
        <v>Sólida (4+)</v>
      </c>
      <c r="T88" s="23" t="str">
        <f aca="false">IFERROR(INDEX($F$4:$O$4,MATCH(TRUE(),INDEX(F88:O88&gt;0,0),0)),"—")</f>
        <v>Física 10°</v>
      </c>
    </row>
    <row r="89" customFormat="false" ht="15" hidden="false" customHeight="false" outlineLevel="0" collapsed="false">
      <c r="A89" s="23" t="s">
        <v>304</v>
      </c>
      <c r="B89" s="23" t="s">
        <v>291</v>
      </c>
      <c r="C89" s="23" t="s">
        <v>92</v>
      </c>
      <c r="D89" s="23" t="s">
        <v>300</v>
      </c>
      <c r="E89" s="23" t="s">
        <v>305</v>
      </c>
      <c r="F89" s="23" t="n">
        <f aca="false">COUNTIFS(Temas_TIMSS!$V$5:$V$1264,F$4,Temas_TIMSS!$K$5:$K$1264,$A89)+COUNTIFS(Temas_TIMSS!$V$5:$V$1264,F$4,Temas_TIMSS!$L$5:$L$1264,$A89)</f>
        <v>0</v>
      </c>
      <c r="G89" s="23" t="n">
        <f aca="false">COUNTIFS(Temas_TIMSS!$V$5:$V$1264,G$4,Temas_TIMSS!$K$5:$K$1264,$A89)+COUNTIFS(Temas_TIMSS!$V$5:$V$1264,G$4,Temas_TIMSS!$L$5:$L$1264,$A89)</f>
        <v>0</v>
      </c>
      <c r="H89" s="23" t="n">
        <f aca="false">COUNTIFS(Temas_TIMSS!$V$5:$V$1264,H$4,Temas_TIMSS!$K$5:$K$1264,$A89)+COUNTIFS(Temas_TIMSS!$V$5:$V$1264,H$4,Temas_TIMSS!$L$5:$L$1264,$A89)</f>
        <v>0</v>
      </c>
      <c r="I89" s="23" t="n">
        <f aca="false">COUNTIFS(Temas_TIMSS!$V$5:$V$1264,I$4,Temas_TIMSS!$K$5:$K$1264,$A89)+COUNTIFS(Temas_TIMSS!$V$5:$V$1264,I$4,Temas_TIMSS!$L$5:$L$1264,$A89)</f>
        <v>0</v>
      </c>
      <c r="J89" s="23" t="n">
        <f aca="false">COUNTIFS(Temas_TIMSS!$V$5:$V$1264,J$4,Temas_TIMSS!$K$5:$K$1264,$A89)+COUNTIFS(Temas_TIMSS!$V$5:$V$1264,J$4,Temas_TIMSS!$L$5:$L$1264,$A89)</f>
        <v>0</v>
      </c>
      <c r="K89" s="23" t="n">
        <f aca="false">COUNTIFS(Temas_TIMSS!$V$5:$V$1264,K$4,Temas_TIMSS!$K$5:$K$1264,$A89)+COUNTIFS(Temas_TIMSS!$V$5:$V$1264,K$4,Temas_TIMSS!$L$5:$L$1264,$A89)</f>
        <v>0</v>
      </c>
      <c r="L89" s="23" t="n">
        <f aca="false">COUNTIFS(Temas_TIMSS!$V$5:$V$1264,L$4,Temas_TIMSS!$K$5:$K$1264,$A89)+COUNTIFS(Temas_TIMSS!$V$5:$V$1264,L$4,Temas_TIMSS!$L$5:$L$1264,$A89)</f>
        <v>0</v>
      </c>
      <c r="M89" s="23" t="n">
        <f aca="false">COUNTIFS(Temas_TIMSS!$V$5:$V$1264,M$4,Temas_TIMSS!$K$5:$K$1264,$A89)+COUNTIFS(Temas_TIMSS!$V$5:$V$1264,M$4,Temas_TIMSS!$L$5:$L$1264,$A89)</f>
        <v>0</v>
      </c>
      <c r="N89" s="23" t="n">
        <f aca="false">COUNTIFS(Temas_TIMSS!$V$5:$V$1264,N$4,Temas_TIMSS!$K$5:$K$1264,$A89)+COUNTIFS(Temas_TIMSS!$V$5:$V$1264,N$4,Temas_TIMSS!$L$5:$L$1264,$A89)</f>
        <v>8</v>
      </c>
      <c r="O89" s="23" t="n">
        <f aca="false">COUNTIFS(Temas_TIMSS!$V$5:$V$1264,O$4,Temas_TIMSS!$K$5:$K$1264,$A89)+COUNTIFS(Temas_TIMSS!$V$5:$V$1264,O$4,Temas_TIMSS!$L$5:$L$1264,$A89)</f>
        <v>0</v>
      </c>
      <c r="P89" s="23" t="n">
        <f aca="false">IF($B89="T4",SUM(F89:H89),IF($B89="T8",SUM(I89:L89),SUM(N89:O89)))</f>
        <v>8</v>
      </c>
      <c r="Q89" s="23" t="n">
        <f aca="false">COUNTIFS(Temas_TIMSS!$K$5:$K$1264,$A89)</f>
        <v>7</v>
      </c>
      <c r="R89" s="23" t="str">
        <f aca="false">IF(P89&gt;0,"Sí","No")</f>
        <v>Sí</v>
      </c>
      <c r="S89" s="23" t="str">
        <f aca="false">IF(P89=0,"No cubierto",IF(P89=1,"Débil (1 tema)",IF(P89&lt;=3,"Básica (2–3)","Sólida (4+)")))</f>
        <v>Sólida (4+)</v>
      </c>
      <c r="T89" s="23" t="str">
        <f aca="false">IFERROR(INDEX($F$4:$O$4,MATCH(TRUE(),INDEX(F89:O89&gt;0,0),0)),"—")</f>
        <v>Física 10°</v>
      </c>
    </row>
    <row r="90" customFormat="false" ht="23.85" hidden="false" customHeight="false" outlineLevel="0" collapsed="false">
      <c r="A90" s="23" t="s">
        <v>306</v>
      </c>
      <c r="B90" s="23" t="s">
        <v>291</v>
      </c>
      <c r="C90" s="23" t="s">
        <v>92</v>
      </c>
      <c r="D90" s="23" t="s">
        <v>307</v>
      </c>
      <c r="E90" s="23" t="s">
        <v>308</v>
      </c>
      <c r="F90" s="23" t="n">
        <f aca="false">COUNTIFS(Temas_TIMSS!$V$5:$V$1264,F$4,Temas_TIMSS!$K$5:$K$1264,$A90)+COUNTIFS(Temas_TIMSS!$V$5:$V$1264,F$4,Temas_TIMSS!$L$5:$L$1264,$A90)</f>
        <v>0</v>
      </c>
      <c r="G90" s="23" t="n">
        <f aca="false">COUNTIFS(Temas_TIMSS!$V$5:$V$1264,G$4,Temas_TIMSS!$K$5:$K$1264,$A90)+COUNTIFS(Temas_TIMSS!$V$5:$V$1264,G$4,Temas_TIMSS!$L$5:$L$1264,$A90)</f>
        <v>0</v>
      </c>
      <c r="H90" s="23" t="n">
        <f aca="false">COUNTIFS(Temas_TIMSS!$V$5:$V$1264,H$4,Temas_TIMSS!$K$5:$K$1264,$A90)+COUNTIFS(Temas_TIMSS!$V$5:$V$1264,H$4,Temas_TIMSS!$L$5:$L$1264,$A90)</f>
        <v>0</v>
      </c>
      <c r="I90" s="23" t="n">
        <f aca="false">COUNTIFS(Temas_TIMSS!$V$5:$V$1264,I$4,Temas_TIMSS!$K$5:$K$1264,$A90)+COUNTIFS(Temas_TIMSS!$V$5:$V$1264,I$4,Temas_TIMSS!$L$5:$L$1264,$A90)</f>
        <v>0</v>
      </c>
      <c r="J90" s="23" t="n">
        <f aca="false">COUNTIFS(Temas_TIMSS!$V$5:$V$1264,J$4,Temas_TIMSS!$K$5:$K$1264,$A90)+COUNTIFS(Temas_TIMSS!$V$5:$V$1264,J$4,Temas_TIMSS!$L$5:$L$1264,$A90)</f>
        <v>0</v>
      </c>
      <c r="K90" s="23" t="n">
        <f aca="false">COUNTIFS(Temas_TIMSS!$V$5:$V$1264,K$4,Temas_TIMSS!$K$5:$K$1264,$A90)+COUNTIFS(Temas_TIMSS!$V$5:$V$1264,K$4,Temas_TIMSS!$L$5:$L$1264,$A90)</f>
        <v>0</v>
      </c>
      <c r="L90" s="23" t="n">
        <f aca="false">COUNTIFS(Temas_TIMSS!$V$5:$V$1264,L$4,Temas_TIMSS!$K$5:$K$1264,$A90)+COUNTIFS(Temas_TIMSS!$V$5:$V$1264,L$4,Temas_TIMSS!$L$5:$L$1264,$A90)</f>
        <v>0</v>
      </c>
      <c r="M90" s="23" t="n">
        <f aca="false">COUNTIFS(Temas_TIMSS!$V$5:$V$1264,M$4,Temas_TIMSS!$K$5:$K$1264,$A90)+COUNTIFS(Temas_TIMSS!$V$5:$V$1264,M$4,Temas_TIMSS!$L$5:$L$1264,$A90)</f>
        <v>0</v>
      </c>
      <c r="N90" s="23" t="n">
        <f aca="false">COUNTIFS(Temas_TIMSS!$V$5:$V$1264,N$4,Temas_TIMSS!$K$5:$K$1264,$A90)+COUNTIFS(Temas_TIMSS!$V$5:$V$1264,N$4,Temas_TIMSS!$L$5:$L$1264,$A90)</f>
        <v>10</v>
      </c>
      <c r="O90" s="23" t="n">
        <f aca="false">COUNTIFS(Temas_TIMSS!$V$5:$V$1264,O$4,Temas_TIMSS!$K$5:$K$1264,$A90)+COUNTIFS(Temas_TIMSS!$V$5:$V$1264,O$4,Temas_TIMSS!$L$5:$L$1264,$A90)</f>
        <v>0</v>
      </c>
      <c r="P90" s="23" t="n">
        <f aca="false">IF($B90="T4",SUM(F90:H90),IF($B90="T8",SUM(I90:L90),SUM(N90:O90)))</f>
        <v>10</v>
      </c>
      <c r="Q90" s="23" t="n">
        <f aca="false">COUNTIFS(Temas_TIMSS!$K$5:$K$1264,$A90)</f>
        <v>8</v>
      </c>
      <c r="R90" s="23" t="str">
        <f aca="false">IF(P90&gt;0,"Sí","No")</f>
        <v>Sí</v>
      </c>
      <c r="S90" s="23" t="str">
        <f aca="false">IF(P90=0,"No cubierto",IF(P90=1,"Débil (1 tema)",IF(P90&lt;=3,"Básica (2–3)","Sólida (4+)")))</f>
        <v>Sólida (4+)</v>
      </c>
      <c r="T90" s="23" t="str">
        <f aca="false">IFERROR(INDEX($F$4:$O$4,MATCH(TRUE(),INDEX(F90:O90&gt;0,0),0)),"—")</f>
        <v>Física 10°</v>
      </c>
    </row>
    <row r="91" customFormat="false" ht="15" hidden="false" customHeight="false" outlineLevel="0" collapsed="false">
      <c r="A91" s="23" t="s">
        <v>309</v>
      </c>
      <c r="B91" s="23" t="s">
        <v>291</v>
      </c>
      <c r="C91" s="23" t="s">
        <v>92</v>
      </c>
      <c r="D91" s="23" t="s">
        <v>307</v>
      </c>
      <c r="E91" s="23" t="s">
        <v>310</v>
      </c>
      <c r="F91" s="23" t="n">
        <f aca="false">COUNTIFS(Temas_TIMSS!$V$5:$V$1264,F$4,Temas_TIMSS!$K$5:$K$1264,$A91)+COUNTIFS(Temas_TIMSS!$V$5:$V$1264,F$4,Temas_TIMSS!$L$5:$L$1264,$A91)</f>
        <v>0</v>
      </c>
      <c r="G91" s="23" t="n">
        <f aca="false">COUNTIFS(Temas_TIMSS!$V$5:$V$1264,G$4,Temas_TIMSS!$K$5:$K$1264,$A91)+COUNTIFS(Temas_TIMSS!$V$5:$V$1264,G$4,Temas_TIMSS!$L$5:$L$1264,$A91)</f>
        <v>0</v>
      </c>
      <c r="H91" s="23" t="n">
        <f aca="false">COUNTIFS(Temas_TIMSS!$V$5:$V$1264,H$4,Temas_TIMSS!$K$5:$K$1264,$A91)+COUNTIFS(Temas_TIMSS!$V$5:$V$1264,H$4,Temas_TIMSS!$L$5:$L$1264,$A91)</f>
        <v>0</v>
      </c>
      <c r="I91" s="23" t="n">
        <f aca="false">COUNTIFS(Temas_TIMSS!$V$5:$V$1264,I$4,Temas_TIMSS!$K$5:$K$1264,$A91)+COUNTIFS(Temas_TIMSS!$V$5:$V$1264,I$4,Temas_TIMSS!$L$5:$L$1264,$A91)</f>
        <v>0</v>
      </c>
      <c r="J91" s="23" t="n">
        <f aca="false">COUNTIFS(Temas_TIMSS!$V$5:$V$1264,J$4,Temas_TIMSS!$K$5:$K$1264,$A91)+COUNTIFS(Temas_TIMSS!$V$5:$V$1264,J$4,Temas_TIMSS!$L$5:$L$1264,$A91)</f>
        <v>0</v>
      </c>
      <c r="K91" s="23" t="n">
        <f aca="false">COUNTIFS(Temas_TIMSS!$V$5:$V$1264,K$4,Temas_TIMSS!$K$5:$K$1264,$A91)+COUNTIFS(Temas_TIMSS!$V$5:$V$1264,K$4,Temas_TIMSS!$L$5:$L$1264,$A91)</f>
        <v>0</v>
      </c>
      <c r="L91" s="23" t="n">
        <f aca="false">COUNTIFS(Temas_TIMSS!$V$5:$V$1264,L$4,Temas_TIMSS!$K$5:$K$1264,$A91)+COUNTIFS(Temas_TIMSS!$V$5:$V$1264,L$4,Temas_TIMSS!$L$5:$L$1264,$A91)</f>
        <v>0</v>
      </c>
      <c r="M91" s="23" t="n">
        <f aca="false">COUNTIFS(Temas_TIMSS!$V$5:$V$1264,M$4,Temas_TIMSS!$K$5:$K$1264,$A91)+COUNTIFS(Temas_TIMSS!$V$5:$V$1264,M$4,Temas_TIMSS!$L$5:$L$1264,$A91)</f>
        <v>0</v>
      </c>
      <c r="N91" s="23" t="n">
        <f aca="false">COUNTIFS(Temas_TIMSS!$V$5:$V$1264,N$4,Temas_TIMSS!$K$5:$K$1264,$A91)+COUNTIFS(Temas_TIMSS!$V$5:$V$1264,N$4,Temas_TIMSS!$L$5:$L$1264,$A91)</f>
        <v>7</v>
      </c>
      <c r="O91" s="23" t="n">
        <f aca="false">COUNTIFS(Temas_TIMSS!$V$5:$V$1264,O$4,Temas_TIMSS!$K$5:$K$1264,$A91)+COUNTIFS(Temas_TIMSS!$V$5:$V$1264,O$4,Temas_TIMSS!$L$5:$L$1264,$A91)</f>
        <v>0</v>
      </c>
      <c r="P91" s="23" t="n">
        <f aca="false">IF($B91="T4",SUM(F91:H91),IF($B91="T8",SUM(I91:L91),SUM(N91:O91)))</f>
        <v>7</v>
      </c>
      <c r="Q91" s="23" t="n">
        <f aca="false">COUNTIFS(Temas_TIMSS!$K$5:$K$1264,$A91)</f>
        <v>5</v>
      </c>
      <c r="R91" s="23" t="str">
        <f aca="false">IF(P91&gt;0,"Sí","No")</f>
        <v>Sí</v>
      </c>
      <c r="S91" s="23" t="str">
        <f aca="false">IF(P91=0,"No cubierto",IF(P91=1,"Débil (1 tema)",IF(P91&lt;=3,"Básica (2–3)","Sólida (4+)")))</f>
        <v>Sólida (4+)</v>
      </c>
      <c r="T91" s="23" t="str">
        <f aca="false">IFERROR(INDEX($F$4:$O$4,MATCH(TRUE(),INDEX(F91:O91&gt;0,0),0)),"—")</f>
        <v>Física 10°</v>
      </c>
    </row>
    <row r="92" customFormat="false" ht="15" hidden="false" customHeight="false" outlineLevel="0" collapsed="false">
      <c r="A92" s="23" t="s">
        <v>311</v>
      </c>
      <c r="B92" s="23" t="s">
        <v>291</v>
      </c>
      <c r="C92" s="23" t="s">
        <v>93</v>
      </c>
      <c r="D92" s="23" t="s">
        <v>312</v>
      </c>
      <c r="E92" s="23" t="s">
        <v>313</v>
      </c>
      <c r="F92" s="23" t="n">
        <f aca="false">COUNTIFS(Temas_TIMSS!$V$5:$V$1264,F$4,Temas_TIMSS!$K$5:$K$1264,$A92)+COUNTIFS(Temas_TIMSS!$V$5:$V$1264,F$4,Temas_TIMSS!$L$5:$L$1264,$A92)</f>
        <v>0</v>
      </c>
      <c r="G92" s="23" t="n">
        <f aca="false">COUNTIFS(Temas_TIMSS!$V$5:$V$1264,G$4,Temas_TIMSS!$K$5:$K$1264,$A92)+COUNTIFS(Temas_TIMSS!$V$5:$V$1264,G$4,Temas_TIMSS!$L$5:$L$1264,$A92)</f>
        <v>0</v>
      </c>
      <c r="H92" s="23" t="n">
        <f aca="false">COUNTIFS(Temas_TIMSS!$V$5:$V$1264,H$4,Temas_TIMSS!$K$5:$K$1264,$A92)+COUNTIFS(Temas_TIMSS!$V$5:$V$1264,H$4,Temas_TIMSS!$L$5:$L$1264,$A92)</f>
        <v>0</v>
      </c>
      <c r="I92" s="23" t="n">
        <f aca="false">COUNTIFS(Temas_TIMSS!$V$5:$V$1264,I$4,Temas_TIMSS!$K$5:$K$1264,$A92)+COUNTIFS(Temas_TIMSS!$V$5:$V$1264,I$4,Temas_TIMSS!$L$5:$L$1264,$A92)</f>
        <v>0</v>
      </c>
      <c r="J92" s="23" t="n">
        <f aca="false">COUNTIFS(Temas_TIMSS!$V$5:$V$1264,J$4,Temas_TIMSS!$K$5:$K$1264,$A92)+COUNTIFS(Temas_TIMSS!$V$5:$V$1264,J$4,Temas_TIMSS!$L$5:$L$1264,$A92)</f>
        <v>0</v>
      </c>
      <c r="K92" s="23" t="n">
        <f aca="false">COUNTIFS(Temas_TIMSS!$V$5:$V$1264,K$4,Temas_TIMSS!$K$5:$K$1264,$A92)+COUNTIFS(Temas_TIMSS!$V$5:$V$1264,K$4,Temas_TIMSS!$L$5:$L$1264,$A92)</f>
        <v>0</v>
      </c>
      <c r="L92" s="23" t="n">
        <f aca="false">COUNTIFS(Temas_TIMSS!$V$5:$V$1264,L$4,Temas_TIMSS!$K$5:$K$1264,$A92)+COUNTIFS(Temas_TIMSS!$V$5:$V$1264,L$4,Temas_TIMSS!$L$5:$L$1264,$A92)</f>
        <v>0</v>
      </c>
      <c r="M92" s="23" t="n">
        <f aca="false">COUNTIFS(Temas_TIMSS!$V$5:$V$1264,M$4,Temas_TIMSS!$K$5:$K$1264,$A92)+COUNTIFS(Temas_TIMSS!$V$5:$V$1264,M$4,Temas_TIMSS!$L$5:$L$1264,$A92)</f>
        <v>0</v>
      </c>
      <c r="N92" s="23" t="n">
        <f aca="false">COUNTIFS(Temas_TIMSS!$V$5:$V$1264,N$4,Temas_TIMSS!$K$5:$K$1264,$A92)+COUNTIFS(Temas_TIMSS!$V$5:$V$1264,N$4,Temas_TIMSS!$L$5:$L$1264,$A92)</f>
        <v>0</v>
      </c>
      <c r="O92" s="23" t="n">
        <f aca="false">COUNTIFS(Temas_TIMSS!$V$5:$V$1264,O$4,Temas_TIMSS!$K$5:$K$1264,$A92)+COUNTIFS(Temas_TIMSS!$V$5:$V$1264,O$4,Temas_TIMSS!$L$5:$L$1264,$A92)</f>
        <v>7</v>
      </c>
      <c r="P92" s="23" t="n">
        <f aca="false">IF($B92="T4",SUM(F92:H92),IF($B92="T8",SUM(I92:L92),SUM(N92:O92)))</f>
        <v>7</v>
      </c>
      <c r="Q92" s="23" t="n">
        <f aca="false">COUNTIFS(Temas_TIMSS!$K$5:$K$1264,$A92)</f>
        <v>5</v>
      </c>
      <c r="R92" s="23" t="str">
        <f aca="false">IF(P92&gt;0,"Sí","No")</f>
        <v>Sí</v>
      </c>
      <c r="S92" s="23" t="str">
        <f aca="false">IF(P92=0,"No cubierto",IF(P92=1,"Débil (1 tema)",IF(P92&lt;=3,"Básica (2–3)","Sólida (4+)")))</f>
        <v>Sólida (4+)</v>
      </c>
      <c r="T92" s="23" t="str">
        <f aca="false">IFERROR(INDEX($F$4:$O$4,MATCH(TRUE(),INDEX(F92:O92&gt;0,0),0)),"—")</f>
        <v>Física 11°</v>
      </c>
    </row>
    <row r="93" customFormat="false" ht="15" hidden="false" customHeight="false" outlineLevel="0" collapsed="false">
      <c r="A93" s="23" t="s">
        <v>314</v>
      </c>
      <c r="B93" s="23" t="s">
        <v>291</v>
      </c>
      <c r="C93" s="23" t="s">
        <v>93</v>
      </c>
      <c r="D93" s="23" t="s">
        <v>312</v>
      </c>
      <c r="E93" s="23" t="s">
        <v>315</v>
      </c>
      <c r="F93" s="23" t="n">
        <f aca="false">COUNTIFS(Temas_TIMSS!$V$5:$V$1264,F$4,Temas_TIMSS!$K$5:$K$1264,$A93)+COUNTIFS(Temas_TIMSS!$V$5:$V$1264,F$4,Temas_TIMSS!$L$5:$L$1264,$A93)</f>
        <v>0</v>
      </c>
      <c r="G93" s="23" t="n">
        <f aca="false">COUNTIFS(Temas_TIMSS!$V$5:$V$1264,G$4,Temas_TIMSS!$K$5:$K$1264,$A93)+COUNTIFS(Temas_TIMSS!$V$5:$V$1264,G$4,Temas_TIMSS!$L$5:$L$1264,$A93)</f>
        <v>0</v>
      </c>
      <c r="H93" s="23" t="n">
        <f aca="false">COUNTIFS(Temas_TIMSS!$V$5:$V$1264,H$4,Temas_TIMSS!$K$5:$K$1264,$A93)+COUNTIFS(Temas_TIMSS!$V$5:$V$1264,H$4,Temas_TIMSS!$L$5:$L$1264,$A93)</f>
        <v>0</v>
      </c>
      <c r="I93" s="23" t="n">
        <f aca="false">COUNTIFS(Temas_TIMSS!$V$5:$V$1264,I$4,Temas_TIMSS!$K$5:$K$1264,$A93)+COUNTIFS(Temas_TIMSS!$V$5:$V$1264,I$4,Temas_TIMSS!$L$5:$L$1264,$A93)</f>
        <v>0</v>
      </c>
      <c r="J93" s="23" t="n">
        <f aca="false">COUNTIFS(Temas_TIMSS!$V$5:$V$1264,J$4,Temas_TIMSS!$K$5:$K$1264,$A93)+COUNTIFS(Temas_TIMSS!$V$5:$V$1264,J$4,Temas_TIMSS!$L$5:$L$1264,$A93)</f>
        <v>0</v>
      </c>
      <c r="K93" s="23" t="n">
        <f aca="false">COUNTIFS(Temas_TIMSS!$V$5:$V$1264,K$4,Temas_TIMSS!$K$5:$K$1264,$A93)+COUNTIFS(Temas_TIMSS!$V$5:$V$1264,K$4,Temas_TIMSS!$L$5:$L$1264,$A93)</f>
        <v>0</v>
      </c>
      <c r="L93" s="23" t="n">
        <f aca="false">COUNTIFS(Temas_TIMSS!$V$5:$V$1264,L$4,Temas_TIMSS!$K$5:$K$1264,$A93)+COUNTIFS(Temas_TIMSS!$V$5:$V$1264,L$4,Temas_TIMSS!$L$5:$L$1264,$A93)</f>
        <v>0</v>
      </c>
      <c r="M93" s="23" t="n">
        <f aca="false">COUNTIFS(Temas_TIMSS!$V$5:$V$1264,M$4,Temas_TIMSS!$K$5:$K$1264,$A93)+COUNTIFS(Temas_TIMSS!$V$5:$V$1264,M$4,Temas_TIMSS!$L$5:$L$1264,$A93)</f>
        <v>0</v>
      </c>
      <c r="N93" s="23" t="n">
        <f aca="false">COUNTIFS(Temas_TIMSS!$V$5:$V$1264,N$4,Temas_TIMSS!$K$5:$K$1264,$A93)+COUNTIFS(Temas_TIMSS!$V$5:$V$1264,N$4,Temas_TIMSS!$L$5:$L$1264,$A93)</f>
        <v>0</v>
      </c>
      <c r="O93" s="23" t="n">
        <f aca="false">COUNTIFS(Temas_TIMSS!$V$5:$V$1264,O$4,Temas_TIMSS!$K$5:$K$1264,$A93)+COUNTIFS(Temas_TIMSS!$V$5:$V$1264,O$4,Temas_TIMSS!$L$5:$L$1264,$A93)</f>
        <v>11</v>
      </c>
      <c r="P93" s="23" t="n">
        <f aca="false">IF($B93="T4",SUM(F93:H93),IF($B93="T8",SUM(I93:L93),SUM(N93:O93)))</f>
        <v>11</v>
      </c>
      <c r="Q93" s="23" t="n">
        <f aca="false">COUNTIFS(Temas_TIMSS!$K$5:$K$1264,$A93)</f>
        <v>10</v>
      </c>
      <c r="R93" s="23" t="str">
        <f aca="false">IF(P93&gt;0,"Sí","No")</f>
        <v>Sí</v>
      </c>
      <c r="S93" s="23" t="str">
        <f aca="false">IF(P93=0,"No cubierto",IF(P93=1,"Débil (1 tema)",IF(P93&lt;=3,"Básica (2–3)","Sólida (4+)")))</f>
        <v>Sólida (4+)</v>
      </c>
      <c r="T93" s="23" t="str">
        <f aca="false">IFERROR(INDEX($F$4:$O$4,MATCH(TRUE(),INDEX(F93:O93&gt;0,0),0)),"—")</f>
        <v>Física 11°</v>
      </c>
    </row>
    <row r="94" customFormat="false" ht="15" hidden="false" customHeight="false" outlineLevel="0" collapsed="false">
      <c r="A94" s="23" t="s">
        <v>316</v>
      </c>
      <c r="B94" s="23" t="s">
        <v>291</v>
      </c>
      <c r="C94" s="23" t="s">
        <v>93</v>
      </c>
      <c r="D94" s="23" t="s">
        <v>312</v>
      </c>
      <c r="E94" s="23" t="s">
        <v>317</v>
      </c>
      <c r="F94" s="23" t="n">
        <f aca="false">COUNTIFS(Temas_TIMSS!$V$5:$V$1264,F$4,Temas_TIMSS!$K$5:$K$1264,$A94)+COUNTIFS(Temas_TIMSS!$V$5:$V$1264,F$4,Temas_TIMSS!$L$5:$L$1264,$A94)</f>
        <v>0</v>
      </c>
      <c r="G94" s="23" t="n">
        <f aca="false">COUNTIFS(Temas_TIMSS!$V$5:$V$1264,G$4,Temas_TIMSS!$K$5:$K$1264,$A94)+COUNTIFS(Temas_TIMSS!$V$5:$V$1264,G$4,Temas_TIMSS!$L$5:$L$1264,$A94)</f>
        <v>0</v>
      </c>
      <c r="H94" s="23" t="n">
        <f aca="false">COUNTIFS(Temas_TIMSS!$V$5:$V$1264,H$4,Temas_TIMSS!$K$5:$K$1264,$A94)+COUNTIFS(Temas_TIMSS!$V$5:$V$1264,H$4,Temas_TIMSS!$L$5:$L$1264,$A94)</f>
        <v>0</v>
      </c>
      <c r="I94" s="23" t="n">
        <f aca="false">COUNTIFS(Temas_TIMSS!$V$5:$V$1264,I$4,Temas_TIMSS!$K$5:$K$1264,$A94)+COUNTIFS(Temas_TIMSS!$V$5:$V$1264,I$4,Temas_TIMSS!$L$5:$L$1264,$A94)</f>
        <v>0</v>
      </c>
      <c r="J94" s="23" t="n">
        <f aca="false">COUNTIFS(Temas_TIMSS!$V$5:$V$1264,J$4,Temas_TIMSS!$K$5:$K$1264,$A94)+COUNTIFS(Temas_TIMSS!$V$5:$V$1264,J$4,Temas_TIMSS!$L$5:$L$1264,$A94)</f>
        <v>0</v>
      </c>
      <c r="K94" s="23" t="n">
        <f aca="false">COUNTIFS(Temas_TIMSS!$V$5:$V$1264,K$4,Temas_TIMSS!$K$5:$K$1264,$A94)+COUNTIFS(Temas_TIMSS!$V$5:$V$1264,K$4,Temas_TIMSS!$L$5:$L$1264,$A94)</f>
        <v>0</v>
      </c>
      <c r="L94" s="23" t="n">
        <f aca="false">COUNTIFS(Temas_TIMSS!$V$5:$V$1264,L$4,Temas_TIMSS!$K$5:$K$1264,$A94)+COUNTIFS(Temas_TIMSS!$V$5:$V$1264,L$4,Temas_TIMSS!$L$5:$L$1264,$A94)</f>
        <v>0</v>
      </c>
      <c r="M94" s="23" t="n">
        <f aca="false">COUNTIFS(Temas_TIMSS!$V$5:$V$1264,M$4,Temas_TIMSS!$K$5:$K$1264,$A94)+COUNTIFS(Temas_TIMSS!$V$5:$V$1264,M$4,Temas_TIMSS!$L$5:$L$1264,$A94)</f>
        <v>0</v>
      </c>
      <c r="N94" s="23" t="n">
        <f aca="false">COUNTIFS(Temas_TIMSS!$V$5:$V$1264,N$4,Temas_TIMSS!$K$5:$K$1264,$A94)+COUNTIFS(Temas_TIMSS!$V$5:$V$1264,N$4,Temas_TIMSS!$L$5:$L$1264,$A94)</f>
        <v>0</v>
      </c>
      <c r="O94" s="23" t="n">
        <f aca="false">COUNTIFS(Temas_TIMSS!$V$5:$V$1264,O$4,Temas_TIMSS!$K$5:$K$1264,$A94)+COUNTIFS(Temas_TIMSS!$V$5:$V$1264,O$4,Temas_TIMSS!$L$5:$L$1264,$A94)</f>
        <v>15</v>
      </c>
      <c r="P94" s="23" t="n">
        <f aca="false">IF($B94="T4",SUM(F94:H94),IF($B94="T8",SUM(I94:L94),SUM(N94:O94)))</f>
        <v>15</v>
      </c>
      <c r="Q94" s="23" t="n">
        <f aca="false">COUNTIFS(Temas_TIMSS!$K$5:$K$1264,$A94)</f>
        <v>14</v>
      </c>
      <c r="R94" s="23" t="str">
        <f aca="false">IF(P94&gt;0,"Sí","No")</f>
        <v>Sí</v>
      </c>
      <c r="S94" s="23" t="str">
        <f aca="false">IF(P94=0,"No cubierto",IF(P94=1,"Débil (1 tema)",IF(P94&lt;=3,"Básica (2–3)","Sólida (4+)")))</f>
        <v>Sólida (4+)</v>
      </c>
      <c r="T94" s="23" t="str">
        <f aca="false">IFERROR(INDEX($F$4:$O$4,MATCH(TRUE(),INDEX(F94:O94&gt;0,0),0)),"—")</f>
        <v>Física 11°</v>
      </c>
    </row>
    <row r="95" customFormat="false" ht="23.85" hidden="false" customHeight="false" outlineLevel="0" collapsed="false">
      <c r="A95" s="23" t="s">
        <v>318</v>
      </c>
      <c r="B95" s="23" t="s">
        <v>291</v>
      </c>
      <c r="C95" s="23" t="s">
        <v>93</v>
      </c>
      <c r="D95" s="23" t="s">
        <v>319</v>
      </c>
      <c r="E95" s="23" t="s">
        <v>320</v>
      </c>
      <c r="F95" s="23" t="n">
        <f aca="false">COUNTIFS(Temas_TIMSS!$V$5:$V$1264,F$4,Temas_TIMSS!$K$5:$K$1264,$A95)+COUNTIFS(Temas_TIMSS!$V$5:$V$1264,F$4,Temas_TIMSS!$L$5:$L$1264,$A95)</f>
        <v>0</v>
      </c>
      <c r="G95" s="23" t="n">
        <f aca="false">COUNTIFS(Temas_TIMSS!$V$5:$V$1264,G$4,Temas_TIMSS!$K$5:$K$1264,$A95)+COUNTIFS(Temas_TIMSS!$V$5:$V$1264,G$4,Temas_TIMSS!$L$5:$L$1264,$A95)</f>
        <v>0</v>
      </c>
      <c r="H95" s="23" t="n">
        <f aca="false">COUNTIFS(Temas_TIMSS!$V$5:$V$1264,H$4,Temas_TIMSS!$K$5:$K$1264,$A95)+COUNTIFS(Temas_TIMSS!$V$5:$V$1264,H$4,Temas_TIMSS!$L$5:$L$1264,$A95)</f>
        <v>0</v>
      </c>
      <c r="I95" s="23" t="n">
        <f aca="false">COUNTIFS(Temas_TIMSS!$V$5:$V$1264,I$4,Temas_TIMSS!$K$5:$K$1264,$A95)+COUNTIFS(Temas_TIMSS!$V$5:$V$1264,I$4,Temas_TIMSS!$L$5:$L$1264,$A95)</f>
        <v>0</v>
      </c>
      <c r="J95" s="23" t="n">
        <f aca="false">COUNTIFS(Temas_TIMSS!$V$5:$V$1264,J$4,Temas_TIMSS!$K$5:$K$1264,$A95)+COUNTIFS(Temas_TIMSS!$V$5:$V$1264,J$4,Temas_TIMSS!$L$5:$L$1264,$A95)</f>
        <v>0</v>
      </c>
      <c r="K95" s="23" t="n">
        <f aca="false">COUNTIFS(Temas_TIMSS!$V$5:$V$1264,K$4,Temas_TIMSS!$K$5:$K$1264,$A95)+COUNTIFS(Temas_TIMSS!$V$5:$V$1264,K$4,Temas_TIMSS!$L$5:$L$1264,$A95)</f>
        <v>0</v>
      </c>
      <c r="L95" s="23" t="n">
        <f aca="false">COUNTIFS(Temas_TIMSS!$V$5:$V$1264,L$4,Temas_TIMSS!$K$5:$K$1264,$A95)+COUNTIFS(Temas_TIMSS!$V$5:$V$1264,L$4,Temas_TIMSS!$L$5:$L$1264,$A95)</f>
        <v>0</v>
      </c>
      <c r="M95" s="23" t="n">
        <f aca="false">COUNTIFS(Temas_TIMSS!$V$5:$V$1264,M$4,Temas_TIMSS!$K$5:$K$1264,$A95)+COUNTIFS(Temas_TIMSS!$V$5:$V$1264,M$4,Temas_TIMSS!$L$5:$L$1264,$A95)</f>
        <v>0</v>
      </c>
      <c r="N95" s="23" t="n">
        <f aca="false">COUNTIFS(Temas_TIMSS!$V$5:$V$1264,N$4,Temas_TIMSS!$K$5:$K$1264,$A95)+COUNTIFS(Temas_TIMSS!$V$5:$V$1264,N$4,Temas_TIMSS!$L$5:$L$1264,$A95)</f>
        <v>0</v>
      </c>
      <c r="O95" s="23" t="n">
        <f aca="false">COUNTIFS(Temas_TIMSS!$V$5:$V$1264,O$4,Temas_TIMSS!$K$5:$K$1264,$A95)+COUNTIFS(Temas_TIMSS!$V$5:$V$1264,O$4,Temas_TIMSS!$L$5:$L$1264,$A95)</f>
        <v>6</v>
      </c>
      <c r="P95" s="23" t="n">
        <f aca="false">IF($B95="T4",SUM(F95:H95),IF($B95="T8",SUM(I95:L95),SUM(N95:O95)))</f>
        <v>6</v>
      </c>
      <c r="Q95" s="23" t="n">
        <f aca="false">COUNTIFS(Temas_TIMSS!$K$5:$K$1264,$A95)</f>
        <v>5</v>
      </c>
      <c r="R95" s="23" t="str">
        <f aca="false">IF(P95&gt;0,"Sí","No")</f>
        <v>Sí</v>
      </c>
      <c r="S95" s="23" t="str">
        <f aca="false">IF(P95=0,"No cubierto",IF(P95=1,"Débil (1 tema)",IF(P95&lt;=3,"Básica (2–3)","Sólida (4+)")))</f>
        <v>Sólida (4+)</v>
      </c>
      <c r="T95" s="23" t="str">
        <f aca="false">IFERROR(INDEX($F$4:$O$4,MATCH(TRUE(),INDEX(F95:O95&gt;0,0),0)),"—")</f>
        <v>Física 11°</v>
      </c>
    </row>
    <row r="96" customFormat="false" ht="23.85" hidden="false" customHeight="false" outlineLevel="0" collapsed="false">
      <c r="A96" s="23" t="s">
        <v>321</v>
      </c>
      <c r="B96" s="23" t="s">
        <v>291</v>
      </c>
      <c r="C96" s="23" t="s">
        <v>93</v>
      </c>
      <c r="D96" s="23" t="s">
        <v>319</v>
      </c>
      <c r="E96" s="23" t="s">
        <v>322</v>
      </c>
      <c r="F96" s="23" t="n">
        <f aca="false">COUNTIFS(Temas_TIMSS!$V$5:$V$1264,F$4,Temas_TIMSS!$K$5:$K$1264,$A96)+COUNTIFS(Temas_TIMSS!$V$5:$V$1264,F$4,Temas_TIMSS!$L$5:$L$1264,$A96)</f>
        <v>0</v>
      </c>
      <c r="G96" s="23" t="n">
        <f aca="false">COUNTIFS(Temas_TIMSS!$V$5:$V$1264,G$4,Temas_TIMSS!$K$5:$K$1264,$A96)+COUNTIFS(Temas_TIMSS!$V$5:$V$1264,G$4,Temas_TIMSS!$L$5:$L$1264,$A96)</f>
        <v>0</v>
      </c>
      <c r="H96" s="23" t="n">
        <f aca="false">COUNTIFS(Temas_TIMSS!$V$5:$V$1264,H$4,Temas_TIMSS!$K$5:$K$1264,$A96)+COUNTIFS(Temas_TIMSS!$V$5:$V$1264,H$4,Temas_TIMSS!$L$5:$L$1264,$A96)</f>
        <v>0</v>
      </c>
      <c r="I96" s="23" t="n">
        <f aca="false">COUNTIFS(Temas_TIMSS!$V$5:$V$1264,I$4,Temas_TIMSS!$K$5:$K$1264,$A96)+COUNTIFS(Temas_TIMSS!$V$5:$V$1264,I$4,Temas_TIMSS!$L$5:$L$1264,$A96)</f>
        <v>0</v>
      </c>
      <c r="J96" s="23" t="n">
        <f aca="false">COUNTIFS(Temas_TIMSS!$V$5:$V$1264,J$4,Temas_TIMSS!$K$5:$K$1264,$A96)+COUNTIFS(Temas_TIMSS!$V$5:$V$1264,J$4,Temas_TIMSS!$L$5:$L$1264,$A96)</f>
        <v>0</v>
      </c>
      <c r="K96" s="23" t="n">
        <f aca="false">COUNTIFS(Temas_TIMSS!$V$5:$V$1264,K$4,Temas_TIMSS!$K$5:$K$1264,$A96)+COUNTIFS(Temas_TIMSS!$V$5:$V$1264,K$4,Temas_TIMSS!$L$5:$L$1264,$A96)</f>
        <v>0</v>
      </c>
      <c r="L96" s="23" t="n">
        <f aca="false">COUNTIFS(Temas_TIMSS!$V$5:$V$1264,L$4,Temas_TIMSS!$K$5:$K$1264,$A96)+COUNTIFS(Temas_TIMSS!$V$5:$V$1264,L$4,Temas_TIMSS!$L$5:$L$1264,$A96)</f>
        <v>0</v>
      </c>
      <c r="M96" s="23" t="n">
        <f aca="false">COUNTIFS(Temas_TIMSS!$V$5:$V$1264,M$4,Temas_TIMSS!$K$5:$K$1264,$A96)+COUNTIFS(Temas_TIMSS!$V$5:$V$1264,M$4,Temas_TIMSS!$L$5:$L$1264,$A96)</f>
        <v>0</v>
      </c>
      <c r="N96" s="23" t="n">
        <f aca="false">COUNTIFS(Temas_TIMSS!$V$5:$V$1264,N$4,Temas_TIMSS!$K$5:$K$1264,$A96)+COUNTIFS(Temas_TIMSS!$V$5:$V$1264,N$4,Temas_TIMSS!$L$5:$L$1264,$A96)</f>
        <v>0</v>
      </c>
      <c r="O96" s="23" t="n">
        <f aca="false">COUNTIFS(Temas_TIMSS!$V$5:$V$1264,O$4,Temas_TIMSS!$K$5:$K$1264,$A96)+COUNTIFS(Temas_TIMSS!$V$5:$V$1264,O$4,Temas_TIMSS!$L$5:$L$1264,$A96)</f>
        <v>7</v>
      </c>
      <c r="P96" s="23" t="n">
        <f aca="false">IF($B96="T4",SUM(F96:H96),IF($B96="T8",SUM(I96:L96),SUM(N96:O96)))</f>
        <v>7</v>
      </c>
      <c r="Q96" s="23" t="n">
        <f aca="false">COUNTIFS(Temas_TIMSS!$K$5:$K$1264,$A96)</f>
        <v>5</v>
      </c>
      <c r="R96" s="23" t="str">
        <f aca="false">IF(P96&gt;0,"Sí","No")</f>
        <v>Sí</v>
      </c>
      <c r="S96" s="23" t="str">
        <f aca="false">IF(P96=0,"No cubierto",IF(P96=1,"Débil (1 tema)",IF(P96&lt;=3,"Básica (2–3)","Sólida (4+)")))</f>
        <v>Sólida (4+)</v>
      </c>
      <c r="T96" s="23" t="str">
        <f aca="false">IFERROR(INDEX($F$4:$O$4,MATCH(TRUE(),INDEX(F96:O96&gt;0,0),0)),"—")</f>
        <v>Física 11°</v>
      </c>
    </row>
    <row r="97" customFormat="false" ht="23.85" hidden="false" customHeight="false" outlineLevel="0" collapsed="false">
      <c r="A97" s="23" t="s">
        <v>323</v>
      </c>
      <c r="B97" s="23" t="s">
        <v>291</v>
      </c>
      <c r="C97" s="23" t="s">
        <v>93</v>
      </c>
      <c r="D97" s="23" t="s">
        <v>319</v>
      </c>
      <c r="E97" s="23" t="s">
        <v>324</v>
      </c>
      <c r="F97" s="23" t="n">
        <f aca="false">COUNTIFS(Temas_TIMSS!$V$5:$V$1264,F$4,Temas_TIMSS!$K$5:$K$1264,$A97)+COUNTIFS(Temas_TIMSS!$V$5:$V$1264,F$4,Temas_TIMSS!$L$5:$L$1264,$A97)</f>
        <v>0</v>
      </c>
      <c r="G97" s="23" t="n">
        <f aca="false">COUNTIFS(Temas_TIMSS!$V$5:$V$1264,G$4,Temas_TIMSS!$K$5:$K$1264,$A97)+COUNTIFS(Temas_TIMSS!$V$5:$V$1264,G$4,Temas_TIMSS!$L$5:$L$1264,$A97)</f>
        <v>0</v>
      </c>
      <c r="H97" s="23" t="n">
        <f aca="false">COUNTIFS(Temas_TIMSS!$V$5:$V$1264,H$4,Temas_TIMSS!$K$5:$K$1264,$A97)+COUNTIFS(Temas_TIMSS!$V$5:$V$1264,H$4,Temas_TIMSS!$L$5:$L$1264,$A97)</f>
        <v>0</v>
      </c>
      <c r="I97" s="23" t="n">
        <f aca="false">COUNTIFS(Temas_TIMSS!$V$5:$V$1264,I$4,Temas_TIMSS!$K$5:$K$1264,$A97)+COUNTIFS(Temas_TIMSS!$V$5:$V$1264,I$4,Temas_TIMSS!$L$5:$L$1264,$A97)</f>
        <v>0</v>
      </c>
      <c r="J97" s="23" t="n">
        <f aca="false">COUNTIFS(Temas_TIMSS!$V$5:$V$1264,J$4,Temas_TIMSS!$K$5:$K$1264,$A97)+COUNTIFS(Temas_TIMSS!$V$5:$V$1264,J$4,Temas_TIMSS!$L$5:$L$1264,$A97)</f>
        <v>0</v>
      </c>
      <c r="K97" s="23" t="n">
        <f aca="false">COUNTIFS(Temas_TIMSS!$V$5:$V$1264,K$4,Temas_TIMSS!$K$5:$K$1264,$A97)+COUNTIFS(Temas_TIMSS!$V$5:$V$1264,K$4,Temas_TIMSS!$L$5:$L$1264,$A97)</f>
        <v>0</v>
      </c>
      <c r="L97" s="23" t="n">
        <f aca="false">COUNTIFS(Temas_TIMSS!$V$5:$V$1264,L$4,Temas_TIMSS!$K$5:$K$1264,$A97)+COUNTIFS(Temas_TIMSS!$V$5:$V$1264,L$4,Temas_TIMSS!$L$5:$L$1264,$A97)</f>
        <v>0</v>
      </c>
      <c r="M97" s="23" t="n">
        <f aca="false">COUNTIFS(Temas_TIMSS!$V$5:$V$1264,M$4,Temas_TIMSS!$K$5:$K$1264,$A97)+COUNTIFS(Temas_TIMSS!$V$5:$V$1264,M$4,Temas_TIMSS!$L$5:$L$1264,$A97)</f>
        <v>0</v>
      </c>
      <c r="N97" s="23" t="n">
        <f aca="false">COUNTIFS(Temas_TIMSS!$V$5:$V$1264,N$4,Temas_TIMSS!$K$5:$K$1264,$A97)+COUNTIFS(Temas_TIMSS!$V$5:$V$1264,N$4,Temas_TIMSS!$L$5:$L$1264,$A97)</f>
        <v>0</v>
      </c>
      <c r="O97" s="23" t="n">
        <f aca="false">COUNTIFS(Temas_TIMSS!$V$5:$V$1264,O$4,Temas_TIMSS!$K$5:$K$1264,$A97)+COUNTIFS(Temas_TIMSS!$V$5:$V$1264,O$4,Temas_TIMSS!$L$5:$L$1264,$A97)</f>
        <v>5</v>
      </c>
      <c r="P97" s="23" t="n">
        <f aca="false">IF($B97="T4",SUM(F97:H97),IF($B97="T8",SUM(I97:L97),SUM(N97:O97)))</f>
        <v>5</v>
      </c>
      <c r="Q97" s="23" t="n">
        <f aca="false">COUNTIFS(Temas_TIMSS!$K$5:$K$1264,$A97)</f>
        <v>4</v>
      </c>
      <c r="R97" s="23" t="str">
        <f aca="false">IF(P97&gt;0,"Sí","No")</f>
        <v>Sí</v>
      </c>
      <c r="S97" s="23" t="str">
        <f aca="false">IF(P97=0,"No cubierto",IF(P97=1,"Débil (1 tema)",IF(P97&lt;=3,"Básica (2–3)","Sólida (4+)")))</f>
        <v>Sólida (4+)</v>
      </c>
      <c r="T97" s="23" t="str">
        <f aca="false">IFERROR(INDEX($F$4:$O$4,MATCH(TRUE(),INDEX(F97:O97&gt;0,0),0)),"—")</f>
        <v>Física 11°</v>
      </c>
    </row>
    <row r="98" customFormat="false" ht="23.85" hidden="false" customHeight="false" outlineLevel="0" collapsed="false">
      <c r="A98" s="23" t="s">
        <v>325</v>
      </c>
      <c r="B98" s="23" t="s">
        <v>291</v>
      </c>
      <c r="C98" s="23" t="s">
        <v>94</v>
      </c>
      <c r="D98" s="23" t="s">
        <v>326</v>
      </c>
      <c r="E98" s="23" t="s">
        <v>327</v>
      </c>
      <c r="F98" s="23" t="n">
        <f aca="false">COUNTIFS(Temas_TIMSS!$V$5:$V$1264,F$4,Temas_TIMSS!$K$5:$K$1264,$A98)+COUNTIFS(Temas_TIMSS!$V$5:$V$1264,F$4,Temas_TIMSS!$L$5:$L$1264,$A98)</f>
        <v>0</v>
      </c>
      <c r="G98" s="23" t="n">
        <f aca="false">COUNTIFS(Temas_TIMSS!$V$5:$V$1264,G$4,Temas_TIMSS!$K$5:$K$1264,$A98)+COUNTIFS(Temas_TIMSS!$V$5:$V$1264,G$4,Temas_TIMSS!$L$5:$L$1264,$A98)</f>
        <v>0</v>
      </c>
      <c r="H98" s="23" t="n">
        <f aca="false">COUNTIFS(Temas_TIMSS!$V$5:$V$1264,H$4,Temas_TIMSS!$K$5:$K$1264,$A98)+COUNTIFS(Temas_TIMSS!$V$5:$V$1264,H$4,Temas_TIMSS!$L$5:$L$1264,$A98)</f>
        <v>0</v>
      </c>
      <c r="I98" s="23" t="n">
        <f aca="false">COUNTIFS(Temas_TIMSS!$V$5:$V$1264,I$4,Temas_TIMSS!$K$5:$K$1264,$A98)+COUNTIFS(Temas_TIMSS!$V$5:$V$1264,I$4,Temas_TIMSS!$L$5:$L$1264,$A98)</f>
        <v>0</v>
      </c>
      <c r="J98" s="23" t="n">
        <f aca="false">COUNTIFS(Temas_TIMSS!$V$5:$V$1264,J$4,Temas_TIMSS!$K$5:$K$1264,$A98)+COUNTIFS(Temas_TIMSS!$V$5:$V$1264,J$4,Temas_TIMSS!$L$5:$L$1264,$A98)</f>
        <v>0</v>
      </c>
      <c r="K98" s="23" t="n">
        <f aca="false">COUNTIFS(Temas_TIMSS!$V$5:$V$1264,K$4,Temas_TIMSS!$K$5:$K$1264,$A98)+COUNTIFS(Temas_TIMSS!$V$5:$V$1264,K$4,Temas_TIMSS!$L$5:$L$1264,$A98)</f>
        <v>0</v>
      </c>
      <c r="L98" s="23" t="n">
        <f aca="false">COUNTIFS(Temas_TIMSS!$V$5:$V$1264,L$4,Temas_TIMSS!$K$5:$K$1264,$A98)+COUNTIFS(Temas_TIMSS!$V$5:$V$1264,L$4,Temas_TIMSS!$L$5:$L$1264,$A98)</f>
        <v>0</v>
      </c>
      <c r="M98" s="23" t="n">
        <f aca="false">COUNTIFS(Temas_TIMSS!$V$5:$V$1264,M$4,Temas_TIMSS!$K$5:$K$1264,$A98)+COUNTIFS(Temas_TIMSS!$V$5:$V$1264,M$4,Temas_TIMSS!$L$5:$L$1264,$A98)</f>
        <v>0</v>
      </c>
      <c r="N98" s="23" t="n">
        <f aca="false">COUNTIFS(Temas_TIMSS!$V$5:$V$1264,N$4,Temas_TIMSS!$K$5:$K$1264,$A98)+COUNTIFS(Temas_TIMSS!$V$5:$V$1264,N$4,Temas_TIMSS!$L$5:$L$1264,$A98)</f>
        <v>0</v>
      </c>
      <c r="O98" s="23" t="n">
        <f aca="false">COUNTIFS(Temas_TIMSS!$V$5:$V$1264,O$4,Temas_TIMSS!$K$5:$K$1264,$A98)+COUNTIFS(Temas_TIMSS!$V$5:$V$1264,O$4,Temas_TIMSS!$L$5:$L$1264,$A98)</f>
        <v>15</v>
      </c>
      <c r="P98" s="23" t="n">
        <f aca="false">IF($B98="T4",SUM(F98:H98),IF($B98="T8",SUM(I98:L98),SUM(N98:O98)))</f>
        <v>15</v>
      </c>
      <c r="Q98" s="23" t="n">
        <f aca="false">COUNTIFS(Temas_TIMSS!$K$5:$K$1264,$A98)</f>
        <v>14</v>
      </c>
      <c r="R98" s="23" t="str">
        <f aca="false">IF(P98&gt;0,"Sí","No")</f>
        <v>Sí</v>
      </c>
      <c r="S98" s="23" t="str">
        <f aca="false">IF(P98=0,"No cubierto",IF(P98=1,"Débil (1 tema)",IF(P98&lt;=3,"Básica (2–3)","Sólida (4+)")))</f>
        <v>Sólida (4+)</v>
      </c>
      <c r="T98" s="23" t="str">
        <f aca="false">IFERROR(INDEX($F$4:$O$4,MATCH(TRUE(),INDEX(F98:O98&gt;0,0),0)),"—")</f>
        <v>Física 11°</v>
      </c>
    </row>
    <row r="99" customFormat="false" ht="23.85" hidden="false" customHeight="false" outlineLevel="0" collapsed="false">
      <c r="A99" s="23" t="s">
        <v>328</v>
      </c>
      <c r="B99" s="23" t="s">
        <v>291</v>
      </c>
      <c r="C99" s="23" t="s">
        <v>94</v>
      </c>
      <c r="D99" s="23" t="s">
        <v>326</v>
      </c>
      <c r="E99" s="23" t="s">
        <v>329</v>
      </c>
      <c r="F99" s="23" t="n">
        <f aca="false">COUNTIFS(Temas_TIMSS!$V$5:$V$1264,F$4,Temas_TIMSS!$K$5:$K$1264,$A99)+COUNTIFS(Temas_TIMSS!$V$5:$V$1264,F$4,Temas_TIMSS!$L$5:$L$1264,$A99)</f>
        <v>0</v>
      </c>
      <c r="G99" s="23" t="n">
        <f aca="false">COUNTIFS(Temas_TIMSS!$V$5:$V$1264,G$4,Temas_TIMSS!$K$5:$K$1264,$A99)+COUNTIFS(Temas_TIMSS!$V$5:$V$1264,G$4,Temas_TIMSS!$L$5:$L$1264,$A99)</f>
        <v>0</v>
      </c>
      <c r="H99" s="23" t="n">
        <f aca="false">COUNTIFS(Temas_TIMSS!$V$5:$V$1264,H$4,Temas_TIMSS!$K$5:$K$1264,$A99)+COUNTIFS(Temas_TIMSS!$V$5:$V$1264,H$4,Temas_TIMSS!$L$5:$L$1264,$A99)</f>
        <v>0</v>
      </c>
      <c r="I99" s="23" t="n">
        <f aca="false">COUNTIFS(Temas_TIMSS!$V$5:$V$1264,I$4,Temas_TIMSS!$K$5:$K$1264,$A99)+COUNTIFS(Temas_TIMSS!$V$5:$V$1264,I$4,Temas_TIMSS!$L$5:$L$1264,$A99)</f>
        <v>0</v>
      </c>
      <c r="J99" s="23" t="n">
        <f aca="false">COUNTIFS(Temas_TIMSS!$V$5:$V$1264,J$4,Temas_TIMSS!$K$5:$K$1264,$A99)+COUNTIFS(Temas_TIMSS!$V$5:$V$1264,J$4,Temas_TIMSS!$L$5:$L$1264,$A99)</f>
        <v>0</v>
      </c>
      <c r="K99" s="23" t="n">
        <f aca="false">COUNTIFS(Temas_TIMSS!$V$5:$V$1264,K$4,Temas_TIMSS!$K$5:$K$1264,$A99)+COUNTIFS(Temas_TIMSS!$V$5:$V$1264,K$4,Temas_TIMSS!$L$5:$L$1264,$A99)</f>
        <v>0</v>
      </c>
      <c r="L99" s="23" t="n">
        <f aca="false">COUNTIFS(Temas_TIMSS!$V$5:$V$1264,L$4,Temas_TIMSS!$K$5:$K$1264,$A99)+COUNTIFS(Temas_TIMSS!$V$5:$V$1264,L$4,Temas_TIMSS!$L$5:$L$1264,$A99)</f>
        <v>0</v>
      </c>
      <c r="M99" s="23" t="n">
        <f aca="false">COUNTIFS(Temas_TIMSS!$V$5:$V$1264,M$4,Temas_TIMSS!$K$5:$K$1264,$A99)+COUNTIFS(Temas_TIMSS!$V$5:$V$1264,M$4,Temas_TIMSS!$L$5:$L$1264,$A99)</f>
        <v>0</v>
      </c>
      <c r="N99" s="23" t="n">
        <f aca="false">COUNTIFS(Temas_TIMSS!$V$5:$V$1264,N$4,Temas_TIMSS!$K$5:$K$1264,$A99)+COUNTIFS(Temas_TIMSS!$V$5:$V$1264,N$4,Temas_TIMSS!$L$5:$L$1264,$A99)</f>
        <v>2</v>
      </c>
      <c r="O99" s="23" t="n">
        <f aca="false">COUNTIFS(Temas_TIMSS!$V$5:$V$1264,O$4,Temas_TIMSS!$K$5:$K$1264,$A99)+COUNTIFS(Temas_TIMSS!$V$5:$V$1264,O$4,Temas_TIMSS!$L$5:$L$1264,$A99)</f>
        <v>11</v>
      </c>
      <c r="P99" s="23" t="n">
        <f aca="false">IF($B99="T4",SUM(F99:H99),IF($B99="T8",SUM(I99:L99),SUM(N99:O99)))</f>
        <v>13</v>
      </c>
      <c r="Q99" s="23" t="n">
        <f aca="false">COUNTIFS(Temas_TIMSS!$K$5:$K$1264,$A99)</f>
        <v>9</v>
      </c>
      <c r="R99" s="23" t="str">
        <f aca="false">IF(P99&gt;0,"Sí","No")</f>
        <v>Sí</v>
      </c>
      <c r="S99" s="23" t="str">
        <f aca="false">IF(P99=0,"No cubierto",IF(P99=1,"Débil (1 tema)",IF(P99&lt;=3,"Básica (2–3)","Sólida (4+)")))</f>
        <v>Sólida (4+)</v>
      </c>
      <c r="T99" s="23" t="str">
        <f aca="false">IFERROR(INDEX($F$4:$O$4,MATCH(TRUE(),INDEX(F99:O99&gt;0,0),0)),"—")</f>
        <v>Física 10°</v>
      </c>
    </row>
    <row r="100" customFormat="false" ht="23.85" hidden="false" customHeight="false" outlineLevel="0" collapsed="false">
      <c r="A100" s="23" t="s">
        <v>330</v>
      </c>
      <c r="B100" s="23" t="s">
        <v>291</v>
      </c>
      <c r="C100" s="23" t="s">
        <v>94</v>
      </c>
      <c r="D100" s="23" t="s">
        <v>326</v>
      </c>
      <c r="E100" s="23" t="s">
        <v>331</v>
      </c>
      <c r="F100" s="23" t="n">
        <f aca="false">COUNTIFS(Temas_TIMSS!$V$5:$V$1264,F$4,Temas_TIMSS!$K$5:$K$1264,$A100)+COUNTIFS(Temas_TIMSS!$V$5:$V$1264,F$4,Temas_TIMSS!$L$5:$L$1264,$A100)</f>
        <v>0</v>
      </c>
      <c r="G100" s="23" t="n">
        <f aca="false">COUNTIFS(Temas_TIMSS!$V$5:$V$1264,G$4,Temas_TIMSS!$K$5:$K$1264,$A100)+COUNTIFS(Temas_TIMSS!$V$5:$V$1264,G$4,Temas_TIMSS!$L$5:$L$1264,$A100)</f>
        <v>0</v>
      </c>
      <c r="H100" s="23" t="n">
        <f aca="false">COUNTIFS(Temas_TIMSS!$V$5:$V$1264,H$4,Temas_TIMSS!$K$5:$K$1264,$A100)+COUNTIFS(Temas_TIMSS!$V$5:$V$1264,H$4,Temas_TIMSS!$L$5:$L$1264,$A100)</f>
        <v>0</v>
      </c>
      <c r="I100" s="23" t="n">
        <f aca="false">COUNTIFS(Temas_TIMSS!$V$5:$V$1264,I$4,Temas_TIMSS!$K$5:$K$1264,$A100)+COUNTIFS(Temas_TIMSS!$V$5:$V$1264,I$4,Temas_TIMSS!$L$5:$L$1264,$A100)</f>
        <v>0</v>
      </c>
      <c r="J100" s="23" t="n">
        <f aca="false">COUNTIFS(Temas_TIMSS!$V$5:$V$1264,J$4,Temas_TIMSS!$K$5:$K$1264,$A100)+COUNTIFS(Temas_TIMSS!$V$5:$V$1264,J$4,Temas_TIMSS!$L$5:$L$1264,$A100)</f>
        <v>0</v>
      </c>
      <c r="K100" s="23" t="n">
        <f aca="false">COUNTIFS(Temas_TIMSS!$V$5:$V$1264,K$4,Temas_TIMSS!$K$5:$K$1264,$A100)+COUNTIFS(Temas_TIMSS!$V$5:$V$1264,K$4,Temas_TIMSS!$L$5:$L$1264,$A100)</f>
        <v>0</v>
      </c>
      <c r="L100" s="23" t="n">
        <f aca="false">COUNTIFS(Temas_TIMSS!$V$5:$V$1264,L$4,Temas_TIMSS!$K$5:$K$1264,$A100)+COUNTIFS(Temas_TIMSS!$V$5:$V$1264,L$4,Temas_TIMSS!$L$5:$L$1264,$A100)</f>
        <v>0</v>
      </c>
      <c r="M100" s="23" t="n">
        <f aca="false">COUNTIFS(Temas_TIMSS!$V$5:$V$1264,M$4,Temas_TIMSS!$K$5:$K$1264,$A100)+COUNTIFS(Temas_TIMSS!$V$5:$V$1264,M$4,Temas_TIMSS!$L$5:$L$1264,$A100)</f>
        <v>0</v>
      </c>
      <c r="N100" s="23" t="n">
        <f aca="false">COUNTIFS(Temas_TIMSS!$V$5:$V$1264,N$4,Temas_TIMSS!$K$5:$K$1264,$A100)+COUNTIFS(Temas_TIMSS!$V$5:$V$1264,N$4,Temas_TIMSS!$L$5:$L$1264,$A100)</f>
        <v>1</v>
      </c>
      <c r="O100" s="23" t="n">
        <f aca="false">COUNTIFS(Temas_TIMSS!$V$5:$V$1264,O$4,Temas_TIMSS!$K$5:$K$1264,$A100)+COUNTIFS(Temas_TIMSS!$V$5:$V$1264,O$4,Temas_TIMSS!$L$5:$L$1264,$A100)</f>
        <v>2</v>
      </c>
      <c r="P100" s="23" t="n">
        <f aca="false">IF($B100="T4",SUM(F100:H100),IF($B100="T8",SUM(I100:L100),SUM(N100:O100)))</f>
        <v>3</v>
      </c>
      <c r="Q100" s="23" t="n">
        <f aca="false">COUNTIFS(Temas_TIMSS!$K$5:$K$1264,$A100)</f>
        <v>3</v>
      </c>
      <c r="R100" s="23" t="str">
        <f aca="false">IF(P100&gt;0,"Sí","No")</f>
        <v>Sí</v>
      </c>
      <c r="S100" s="23" t="str">
        <f aca="false">IF(P100=0,"No cubierto",IF(P100=1,"Débil (1 tema)",IF(P100&lt;=3,"Básica (2–3)","Sólida (4+)")))</f>
        <v>Básica (2–3)</v>
      </c>
      <c r="T100" s="23" t="str">
        <f aca="false">IFERROR(INDEX($F$4:$O$4,MATCH(TRUE(),INDEX(F100:O100&gt;0,0),0)),"—")</f>
        <v>Física 10°</v>
      </c>
    </row>
    <row r="101" customFormat="false" ht="23.85" hidden="false" customHeight="false" outlineLevel="0" collapsed="false">
      <c r="A101" s="23" t="s">
        <v>332</v>
      </c>
      <c r="B101" s="23" t="s">
        <v>291</v>
      </c>
      <c r="C101" s="23" t="s">
        <v>94</v>
      </c>
      <c r="D101" s="23" t="s">
        <v>326</v>
      </c>
      <c r="E101" s="23" t="s">
        <v>333</v>
      </c>
      <c r="F101" s="23" t="n">
        <f aca="false">COUNTIFS(Temas_TIMSS!$V$5:$V$1264,F$4,Temas_TIMSS!$K$5:$K$1264,$A101)+COUNTIFS(Temas_TIMSS!$V$5:$V$1264,F$4,Temas_TIMSS!$L$5:$L$1264,$A101)</f>
        <v>0</v>
      </c>
      <c r="G101" s="23" t="n">
        <f aca="false">COUNTIFS(Temas_TIMSS!$V$5:$V$1264,G$4,Temas_TIMSS!$K$5:$K$1264,$A101)+COUNTIFS(Temas_TIMSS!$V$5:$V$1264,G$4,Temas_TIMSS!$L$5:$L$1264,$A101)</f>
        <v>0</v>
      </c>
      <c r="H101" s="23" t="n">
        <f aca="false">COUNTIFS(Temas_TIMSS!$V$5:$V$1264,H$4,Temas_TIMSS!$K$5:$K$1264,$A101)+COUNTIFS(Temas_TIMSS!$V$5:$V$1264,H$4,Temas_TIMSS!$L$5:$L$1264,$A101)</f>
        <v>0</v>
      </c>
      <c r="I101" s="23" t="n">
        <f aca="false">COUNTIFS(Temas_TIMSS!$V$5:$V$1264,I$4,Temas_TIMSS!$K$5:$K$1264,$A101)+COUNTIFS(Temas_TIMSS!$V$5:$V$1264,I$4,Temas_TIMSS!$L$5:$L$1264,$A101)</f>
        <v>0</v>
      </c>
      <c r="J101" s="23" t="n">
        <f aca="false">COUNTIFS(Temas_TIMSS!$V$5:$V$1264,J$4,Temas_TIMSS!$K$5:$K$1264,$A101)+COUNTIFS(Temas_TIMSS!$V$5:$V$1264,J$4,Temas_TIMSS!$L$5:$L$1264,$A101)</f>
        <v>0</v>
      </c>
      <c r="K101" s="23" t="n">
        <f aca="false">COUNTIFS(Temas_TIMSS!$V$5:$V$1264,K$4,Temas_TIMSS!$K$5:$K$1264,$A101)+COUNTIFS(Temas_TIMSS!$V$5:$V$1264,K$4,Temas_TIMSS!$L$5:$L$1264,$A101)</f>
        <v>0</v>
      </c>
      <c r="L101" s="23" t="n">
        <f aca="false">COUNTIFS(Temas_TIMSS!$V$5:$V$1264,L$4,Temas_TIMSS!$K$5:$K$1264,$A101)+COUNTIFS(Temas_TIMSS!$V$5:$V$1264,L$4,Temas_TIMSS!$L$5:$L$1264,$A101)</f>
        <v>0</v>
      </c>
      <c r="M101" s="23" t="n">
        <f aca="false">COUNTIFS(Temas_TIMSS!$V$5:$V$1264,M$4,Temas_TIMSS!$K$5:$K$1264,$A101)+COUNTIFS(Temas_TIMSS!$V$5:$V$1264,M$4,Temas_TIMSS!$L$5:$L$1264,$A101)</f>
        <v>0</v>
      </c>
      <c r="N101" s="23" t="n">
        <f aca="false">COUNTIFS(Temas_TIMSS!$V$5:$V$1264,N$4,Temas_TIMSS!$K$5:$K$1264,$A101)+COUNTIFS(Temas_TIMSS!$V$5:$V$1264,N$4,Temas_TIMSS!$L$5:$L$1264,$A101)</f>
        <v>12</v>
      </c>
      <c r="O101" s="23" t="n">
        <f aca="false">COUNTIFS(Temas_TIMSS!$V$5:$V$1264,O$4,Temas_TIMSS!$K$5:$K$1264,$A101)+COUNTIFS(Temas_TIMSS!$V$5:$V$1264,O$4,Temas_TIMSS!$L$5:$L$1264,$A101)</f>
        <v>31</v>
      </c>
      <c r="P101" s="23" t="n">
        <f aca="false">IF($B101="T4",SUM(F101:H101),IF($B101="T8",SUM(I101:L101),SUM(N101:O101)))</f>
        <v>43</v>
      </c>
      <c r="Q101" s="23" t="n">
        <f aca="false">COUNTIFS(Temas_TIMSS!$K$5:$K$1264,$A101)</f>
        <v>39</v>
      </c>
      <c r="R101" s="23" t="str">
        <f aca="false">IF(P101&gt;0,"Sí","No")</f>
        <v>Sí</v>
      </c>
      <c r="S101" s="23" t="str">
        <f aca="false">IF(P101=0,"No cubierto",IF(P101=1,"Débil (1 tema)",IF(P101&lt;=3,"Básica (2–3)","Sólida (4+)")))</f>
        <v>Sólida (4+)</v>
      </c>
      <c r="T101" s="23" t="str">
        <f aca="false">IFERROR(INDEX($F$4:$O$4,MATCH(TRUE(),INDEX(F101:O101&gt;0,0),0)),"—")</f>
        <v>Física 10°</v>
      </c>
    </row>
    <row r="102" customFormat="false" ht="23.85" hidden="false" customHeight="false" outlineLevel="0" collapsed="false">
      <c r="A102" s="23" t="s">
        <v>334</v>
      </c>
      <c r="B102" s="23" t="s">
        <v>291</v>
      </c>
      <c r="C102" s="23" t="s">
        <v>94</v>
      </c>
      <c r="D102" s="23" t="s">
        <v>335</v>
      </c>
      <c r="E102" s="23" t="s">
        <v>336</v>
      </c>
      <c r="F102" s="23" t="n">
        <f aca="false">COUNTIFS(Temas_TIMSS!$V$5:$V$1264,F$4,Temas_TIMSS!$K$5:$K$1264,$A102)+COUNTIFS(Temas_TIMSS!$V$5:$V$1264,F$4,Temas_TIMSS!$L$5:$L$1264,$A102)</f>
        <v>0</v>
      </c>
      <c r="G102" s="23" t="n">
        <f aca="false">COUNTIFS(Temas_TIMSS!$V$5:$V$1264,G$4,Temas_TIMSS!$K$5:$K$1264,$A102)+COUNTIFS(Temas_TIMSS!$V$5:$V$1264,G$4,Temas_TIMSS!$L$5:$L$1264,$A102)</f>
        <v>0</v>
      </c>
      <c r="H102" s="23" t="n">
        <f aca="false">COUNTIFS(Temas_TIMSS!$V$5:$V$1264,H$4,Temas_TIMSS!$K$5:$K$1264,$A102)+COUNTIFS(Temas_TIMSS!$V$5:$V$1264,H$4,Temas_TIMSS!$L$5:$L$1264,$A102)</f>
        <v>0</v>
      </c>
      <c r="I102" s="23" t="n">
        <f aca="false">COUNTIFS(Temas_TIMSS!$V$5:$V$1264,I$4,Temas_TIMSS!$K$5:$K$1264,$A102)+COUNTIFS(Temas_TIMSS!$V$5:$V$1264,I$4,Temas_TIMSS!$L$5:$L$1264,$A102)</f>
        <v>0</v>
      </c>
      <c r="J102" s="23" t="n">
        <f aca="false">COUNTIFS(Temas_TIMSS!$V$5:$V$1264,J$4,Temas_TIMSS!$K$5:$K$1264,$A102)+COUNTIFS(Temas_TIMSS!$V$5:$V$1264,J$4,Temas_TIMSS!$L$5:$L$1264,$A102)</f>
        <v>0</v>
      </c>
      <c r="K102" s="23" t="n">
        <f aca="false">COUNTIFS(Temas_TIMSS!$V$5:$V$1264,K$4,Temas_TIMSS!$K$5:$K$1264,$A102)+COUNTIFS(Temas_TIMSS!$V$5:$V$1264,K$4,Temas_TIMSS!$L$5:$L$1264,$A102)</f>
        <v>0</v>
      </c>
      <c r="L102" s="23" t="n">
        <f aca="false">COUNTIFS(Temas_TIMSS!$V$5:$V$1264,L$4,Temas_TIMSS!$K$5:$K$1264,$A102)+COUNTIFS(Temas_TIMSS!$V$5:$V$1264,L$4,Temas_TIMSS!$L$5:$L$1264,$A102)</f>
        <v>0</v>
      </c>
      <c r="M102" s="23" t="n">
        <f aca="false">COUNTIFS(Temas_TIMSS!$V$5:$V$1264,M$4,Temas_TIMSS!$K$5:$K$1264,$A102)+COUNTIFS(Temas_TIMSS!$V$5:$V$1264,M$4,Temas_TIMSS!$L$5:$L$1264,$A102)</f>
        <v>0</v>
      </c>
      <c r="N102" s="23" t="n">
        <f aca="false">COUNTIFS(Temas_TIMSS!$V$5:$V$1264,N$4,Temas_TIMSS!$K$5:$K$1264,$A102)+COUNTIFS(Temas_TIMSS!$V$5:$V$1264,N$4,Temas_TIMSS!$L$5:$L$1264,$A102)</f>
        <v>0</v>
      </c>
      <c r="O102" s="23" t="n">
        <f aca="false">COUNTIFS(Temas_TIMSS!$V$5:$V$1264,O$4,Temas_TIMSS!$K$5:$K$1264,$A102)+COUNTIFS(Temas_TIMSS!$V$5:$V$1264,O$4,Temas_TIMSS!$L$5:$L$1264,$A102)</f>
        <v>3</v>
      </c>
      <c r="P102" s="23" t="n">
        <f aca="false">IF($B102="T4",SUM(F102:H102),IF($B102="T8",SUM(I102:L102),SUM(N102:O102)))</f>
        <v>3</v>
      </c>
      <c r="Q102" s="23" t="n">
        <f aca="false">COUNTIFS(Temas_TIMSS!$K$5:$K$1264,$A102)</f>
        <v>1</v>
      </c>
      <c r="R102" s="23" t="str">
        <f aca="false">IF(P102&gt;0,"Sí","No")</f>
        <v>Sí</v>
      </c>
      <c r="S102" s="23" t="str">
        <f aca="false">IF(P102=0,"No cubierto",IF(P102=1,"Débil (1 tema)",IF(P102&lt;=3,"Básica (2–3)","Sólida (4+)")))</f>
        <v>Básica (2–3)</v>
      </c>
      <c r="T102" s="23" t="str">
        <f aca="false">IFERROR(INDEX($F$4:$O$4,MATCH(TRUE(),INDEX(F102:O102&gt;0,0),0)),"—")</f>
        <v>Física 11°</v>
      </c>
    </row>
    <row r="103" customFormat="false" ht="23.85" hidden="false" customHeight="false" outlineLevel="0" collapsed="false">
      <c r="A103" s="23" t="s">
        <v>337</v>
      </c>
      <c r="B103" s="23" t="s">
        <v>291</v>
      </c>
      <c r="C103" s="23" t="s">
        <v>94</v>
      </c>
      <c r="D103" s="23" t="s">
        <v>335</v>
      </c>
      <c r="E103" s="23" t="s">
        <v>338</v>
      </c>
      <c r="F103" s="23" t="n">
        <f aca="false">COUNTIFS(Temas_TIMSS!$V$5:$V$1264,F$4,Temas_TIMSS!$K$5:$K$1264,$A103)+COUNTIFS(Temas_TIMSS!$V$5:$V$1264,F$4,Temas_TIMSS!$L$5:$L$1264,$A103)</f>
        <v>0</v>
      </c>
      <c r="G103" s="23" t="n">
        <f aca="false">COUNTIFS(Temas_TIMSS!$V$5:$V$1264,G$4,Temas_TIMSS!$K$5:$K$1264,$A103)+COUNTIFS(Temas_TIMSS!$V$5:$V$1264,G$4,Temas_TIMSS!$L$5:$L$1264,$A103)</f>
        <v>0</v>
      </c>
      <c r="H103" s="23" t="n">
        <f aca="false">COUNTIFS(Temas_TIMSS!$V$5:$V$1264,H$4,Temas_TIMSS!$K$5:$K$1264,$A103)+COUNTIFS(Temas_TIMSS!$V$5:$V$1264,H$4,Temas_TIMSS!$L$5:$L$1264,$A103)</f>
        <v>0</v>
      </c>
      <c r="I103" s="23" t="n">
        <f aca="false">COUNTIFS(Temas_TIMSS!$V$5:$V$1264,I$4,Temas_TIMSS!$K$5:$K$1264,$A103)+COUNTIFS(Temas_TIMSS!$V$5:$V$1264,I$4,Temas_TIMSS!$L$5:$L$1264,$A103)</f>
        <v>0</v>
      </c>
      <c r="J103" s="23" t="n">
        <f aca="false">COUNTIFS(Temas_TIMSS!$V$5:$V$1264,J$4,Temas_TIMSS!$K$5:$K$1264,$A103)+COUNTIFS(Temas_TIMSS!$V$5:$V$1264,J$4,Temas_TIMSS!$L$5:$L$1264,$A103)</f>
        <v>0</v>
      </c>
      <c r="K103" s="23" t="n">
        <f aca="false">COUNTIFS(Temas_TIMSS!$V$5:$V$1264,K$4,Temas_TIMSS!$K$5:$K$1264,$A103)+COUNTIFS(Temas_TIMSS!$V$5:$V$1264,K$4,Temas_TIMSS!$L$5:$L$1264,$A103)</f>
        <v>0</v>
      </c>
      <c r="L103" s="23" t="n">
        <f aca="false">COUNTIFS(Temas_TIMSS!$V$5:$V$1264,L$4,Temas_TIMSS!$K$5:$K$1264,$A103)+COUNTIFS(Temas_TIMSS!$V$5:$V$1264,L$4,Temas_TIMSS!$L$5:$L$1264,$A103)</f>
        <v>0</v>
      </c>
      <c r="M103" s="23" t="n">
        <f aca="false">COUNTIFS(Temas_TIMSS!$V$5:$V$1264,M$4,Temas_TIMSS!$K$5:$K$1264,$A103)+COUNTIFS(Temas_TIMSS!$V$5:$V$1264,M$4,Temas_TIMSS!$L$5:$L$1264,$A103)</f>
        <v>0</v>
      </c>
      <c r="N103" s="23" t="n">
        <f aca="false">COUNTIFS(Temas_TIMSS!$V$5:$V$1264,N$4,Temas_TIMSS!$K$5:$K$1264,$A103)+COUNTIFS(Temas_TIMSS!$V$5:$V$1264,N$4,Temas_TIMSS!$L$5:$L$1264,$A103)</f>
        <v>0</v>
      </c>
      <c r="O103" s="23" t="n">
        <f aca="false">COUNTIFS(Temas_TIMSS!$V$5:$V$1264,O$4,Temas_TIMSS!$K$5:$K$1264,$A103)+COUNTIFS(Temas_TIMSS!$V$5:$V$1264,O$4,Temas_TIMSS!$L$5:$L$1264,$A103)</f>
        <v>6</v>
      </c>
      <c r="P103" s="23" t="n">
        <f aca="false">IF($B103="T4",SUM(F103:H103),IF($B103="T8",SUM(I103:L103),SUM(N103:O103)))</f>
        <v>6</v>
      </c>
      <c r="Q103" s="23" t="n">
        <f aca="false">COUNTIFS(Temas_TIMSS!$K$5:$K$1264,$A103)</f>
        <v>5</v>
      </c>
      <c r="R103" s="23" t="str">
        <f aca="false">IF(P103&gt;0,"Sí","No")</f>
        <v>Sí</v>
      </c>
      <c r="S103" s="23" t="str">
        <f aca="false">IF(P103=0,"No cubierto",IF(P103=1,"Débil (1 tema)",IF(P103&lt;=3,"Básica (2–3)","Sólida (4+)")))</f>
        <v>Sólida (4+)</v>
      </c>
      <c r="T103" s="23" t="str">
        <f aca="false">IFERROR(INDEX($F$4:$O$4,MATCH(TRUE(),INDEX(F103:O103&gt;0,0),0)),"—")</f>
        <v>Física 11°</v>
      </c>
    </row>
    <row r="104" customFormat="false" ht="23.85" hidden="false" customHeight="false" outlineLevel="0" collapsed="false">
      <c r="A104" s="23" t="s">
        <v>339</v>
      </c>
      <c r="B104" s="23" t="s">
        <v>291</v>
      </c>
      <c r="C104" s="23" t="s">
        <v>94</v>
      </c>
      <c r="D104" s="23" t="s">
        <v>335</v>
      </c>
      <c r="E104" s="23" t="s">
        <v>340</v>
      </c>
      <c r="F104" s="23" t="n">
        <f aca="false">COUNTIFS(Temas_TIMSS!$V$5:$V$1264,F$4,Temas_TIMSS!$K$5:$K$1264,$A104)+COUNTIFS(Temas_TIMSS!$V$5:$V$1264,F$4,Temas_TIMSS!$L$5:$L$1264,$A104)</f>
        <v>0</v>
      </c>
      <c r="G104" s="23" t="n">
        <f aca="false">COUNTIFS(Temas_TIMSS!$V$5:$V$1264,G$4,Temas_TIMSS!$K$5:$K$1264,$A104)+COUNTIFS(Temas_TIMSS!$V$5:$V$1264,G$4,Temas_TIMSS!$L$5:$L$1264,$A104)</f>
        <v>0</v>
      </c>
      <c r="H104" s="23" t="n">
        <f aca="false">COUNTIFS(Temas_TIMSS!$V$5:$V$1264,H$4,Temas_TIMSS!$K$5:$K$1264,$A104)+COUNTIFS(Temas_TIMSS!$V$5:$V$1264,H$4,Temas_TIMSS!$L$5:$L$1264,$A104)</f>
        <v>0</v>
      </c>
      <c r="I104" s="23" t="n">
        <f aca="false">COUNTIFS(Temas_TIMSS!$V$5:$V$1264,I$4,Temas_TIMSS!$K$5:$K$1264,$A104)+COUNTIFS(Temas_TIMSS!$V$5:$V$1264,I$4,Temas_TIMSS!$L$5:$L$1264,$A104)</f>
        <v>0</v>
      </c>
      <c r="J104" s="23" t="n">
        <f aca="false">COUNTIFS(Temas_TIMSS!$V$5:$V$1264,J$4,Temas_TIMSS!$K$5:$K$1264,$A104)+COUNTIFS(Temas_TIMSS!$V$5:$V$1264,J$4,Temas_TIMSS!$L$5:$L$1264,$A104)</f>
        <v>0</v>
      </c>
      <c r="K104" s="23" t="n">
        <f aca="false">COUNTIFS(Temas_TIMSS!$V$5:$V$1264,K$4,Temas_TIMSS!$K$5:$K$1264,$A104)+COUNTIFS(Temas_TIMSS!$V$5:$V$1264,K$4,Temas_TIMSS!$L$5:$L$1264,$A104)</f>
        <v>0</v>
      </c>
      <c r="L104" s="23" t="n">
        <f aca="false">COUNTIFS(Temas_TIMSS!$V$5:$V$1264,L$4,Temas_TIMSS!$K$5:$K$1264,$A104)+COUNTIFS(Temas_TIMSS!$V$5:$V$1264,L$4,Temas_TIMSS!$L$5:$L$1264,$A104)</f>
        <v>0</v>
      </c>
      <c r="M104" s="23" t="n">
        <f aca="false">COUNTIFS(Temas_TIMSS!$V$5:$V$1264,M$4,Temas_TIMSS!$K$5:$K$1264,$A104)+COUNTIFS(Temas_TIMSS!$V$5:$V$1264,M$4,Temas_TIMSS!$L$5:$L$1264,$A104)</f>
        <v>0</v>
      </c>
      <c r="N104" s="23" t="n">
        <f aca="false">COUNTIFS(Temas_TIMSS!$V$5:$V$1264,N$4,Temas_TIMSS!$K$5:$K$1264,$A104)+COUNTIFS(Temas_TIMSS!$V$5:$V$1264,N$4,Temas_TIMSS!$L$5:$L$1264,$A104)</f>
        <v>0</v>
      </c>
      <c r="O104" s="23" t="n">
        <f aca="false">COUNTIFS(Temas_TIMSS!$V$5:$V$1264,O$4,Temas_TIMSS!$K$5:$K$1264,$A104)+COUNTIFS(Temas_TIMSS!$V$5:$V$1264,O$4,Temas_TIMSS!$L$5:$L$1264,$A104)</f>
        <v>13</v>
      </c>
      <c r="P104" s="23" t="n">
        <f aca="false">IF($B104="T4",SUM(F104:H104),IF($B104="T8",SUM(I104:L104),SUM(N104:O104)))</f>
        <v>13</v>
      </c>
      <c r="Q104" s="23" t="n">
        <f aca="false">COUNTIFS(Temas_TIMSS!$K$5:$K$1264,$A104)</f>
        <v>12</v>
      </c>
      <c r="R104" s="23" t="str">
        <f aca="false">IF(P104&gt;0,"Sí","No")</f>
        <v>Sí</v>
      </c>
      <c r="S104" s="23" t="str">
        <f aca="false">IF(P104=0,"No cubierto",IF(P104=1,"Débil (1 tema)",IF(P104&lt;=3,"Básica (2–3)","Sólida (4+)")))</f>
        <v>Sólida (4+)</v>
      </c>
      <c r="T104" s="23" t="str">
        <f aca="false">IFERROR(INDEX($F$4:$O$4,MATCH(TRUE(),INDEX(F104:O104&gt;0,0),0)),"—")</f>
        <v>Física 11°</v>
      </c>
    </row>
    <row r="105" customFormat="false" ht="23.85" hidden="false" customHeight="false" outlineLevel="0" collapsed="false">
      <c r="A105" s="23" t="s">
        <v>341</v>
      </c>
      <c r="B105" s="23" t="s">
        <v>291</v>
      </c>
      <c r="C105" s="23" t="s">
        <v>94</v>
      </c>
      <c r="D105" s="23" t="s">
        <v>335</v>
      </c>
      <c r="E105" s="23" t="s">
        <v>342</v>
      </c>
      <c r="F105" s="23" t="n">
        <f aca="false">COUNTIFS(Temas_TIMSS!$V$5:$V$1264,F$4,Temas_TIMSS!$K$5:$K$1264,$A105)+COUNTIFS(Temas_TIMSS!$V$5:$V$1264,F$4,Temas_TIMSS!$L$5:$L$1264,$A105)</f>
        <v>0</v>
      </c>
      <c r="G105" s="23" t="n">
        <f aca="false">COUNTIFS(Temas_TIMSS!$V$5:$V$1264,G$4,Temas_TIMSS!$K$5:$K$1264,$A105)+COUNTIFS(Temas_TIMSS!$V$5:$V$1264,G$4,Temas_TIMSS!$L$5:$L$1264,$A105)</f>
        <v>0</v>
      </c>
      <c r="H105" s="23" t="n">
        <f aca="false">COUNTIFS(Temas_TIMSS!$V$5:$V$1264,H$4,Temas_TIMSS!$K$5:$K$1264,$A105)+COUNTIFS(Temas_TIMSS!$V$5:$V$1264,H$4,Temas_TIMSS!$L$5:$L$1264,$A105)</f>
        <v>0</v>
      </c>
      <c r="I105" s="23" t="n">
        <f aca="false">COUNTIFS(Temas_TIMSS!$V$5:$V$1264,I$4,Temas_TIMSS!$K$5:$K$1264,$A105)+COUNTIFS(Temas_TIMSS!$V$5:$V$1264,I$4,Temas_TIMSS!$L$5:$L$1264,$A105)</f>
        <v>0</v>
      </c>
      <c r="J105" s="23" t="n">
        <f aca="false">COUNTIFS(Temas_TIMSS!$V$5:$V$1264,J$4,Temas_TIMSS!$K$5:$K$1264,$A105)+COUNTIFS(Temas_TIMSS!$V$5:$V$1264,J$4,Temas_TIMSS!$L$5:$L$1264,$A105)</f>
        <v>0</v>
      </c>
      <c r="K105" s="23" t="n">
        <f aca="false">COUNTIFS(Temas_TIMSS!$V$5:$V$1264,K$4,Temas_TIMSS!$K$5:$K$1264,$A105)+COUNTIFS(Temas_TIMSS!$V$5:$V$1264,K$4,Temas_TIMSS!$L$5:$L$1264,$A105)</f>
        <v>0</v>
      </c>
      <c r="L105" s="23" t="n">
        <f aca="false">COUNTIFS(Temas_TIMSS!$V$5:$V$1264,L$4,Temas_TIMSS!$K$5:$K$1264,$A105)+COUNTIFS(Temas_TIMSS!$V$5:$V$1264,L$4,Temas_TIMSS!$L$5:$L$1264,$A105)</f>
        <v>0</v>
      </c>
      <c r="M105" s="23" t="n">
        <f aca="false">COUNTIFS(Temas_TIMSS!$V$5:$V$1264,M$4,Temas_TIMSS!$K$5:$K$1264,$A105)+COUNTIFS(Temas_TIMSS!$V$5:$V$1264,M$4,Temas_TIMSS!$L$5:$L$1264,$A105)</f>
        <v>0</v>
      </c>
      <c r="N105" s="23" t="n">
        <f aca="false">COUNTIFS(Temas_TIMSS!$V$5:$V$1264,N$4,Temas_TIMSS!$K$5:$K$1264,$A105)+COUNTIFS(Temas_TIMSS!$V$5:$V$1264,N$4,Temas_TIMSS!$L$5:$L$1264,$A105)</f>
        <v>0</v>
      </c>
      <c r="O105" s="23" t="n">
        <f aca="false">COUNTIFS(Temas_TIMSS!$V$5:$V$1264,O$4,Temas_TIMSS!$K$5:$K$1264,$A105)+COUNTIFS(Temas_TIMSS!$V$5:$V$1264,O$4,Temas_TIMSS!$L$5:$L$1264,$A105)</f>
        <v>4</v>
      </c>
      <c r="P105" s="23" t="n">
        <f aca="false">IF($B105="T4",SUM(F105:H105),IF($B105="T8",SUM(I105:L105),SUM(N105:O105)))</f>
        <v>4</v>
      </c>
      <c r="Q105" s="23" t="n">
        <f aca="false">COUNTIFS(Temas_TIMSS!$K$5:$K$1264,$A105)</f>
        <v>2</v>
      </c>
      <c r="R105" s="23" t="str">
        <f aca="false">IF(P105&gt;0,"Sí","No")</f>
        <v>Sí</v>
      </c>
      <c r="S105" s="23" t="str">
        <f aca="false">IF(P105=0,"No cubierto",IF(P105=1,"Débil (1 tema)",IF(P105&lt;=3,"Básica (2–3)","Sólida (4+)")))</f>
        <v>Sólida (4+)</v>
      </c>
      <c r="T105" s="23" t="str">
        <f aca="false">IFERROR(INDEX($F$4:$O$4,MATCH(TRUE(),INDEX(F105:O105&gt;0,0),0)),"—")</f>
        <v>Física 11°</v>
      </c>
    </row>
    <row r="108" customFormat="false" ht="15" hidden="false" customHeight="false" outlineLevel="0" collapsed="false">
      <c r="A108" s="13" t="s">
        <v>343</v>
      </c>
    </row>
    <row r="109" customFormat="false" ht="57.45" hidden="false" customHeight="false" outlineLevel="0" collapsed="false">
      <c r="A109" s="7" t="s">
        <v>100</v>
      </c>
      <c r="B109" s="7" t="s">
        <v>73</v>
      </c>
      <c r="C109" s="7" t="s">
        <v>344</v>
      </c>
      <c r="D109" s="7" t="s">
        <v>63</v>
      </c>
      <c r="E109" s="7" t="s">
        <v>345</v>
      </c>
      <c r="F109" s="7" t="s">
        <v>65</v>
      </c>
      <c r="G109" s="7" t="s">
        <v>346</v>
      </c>
    </row>
    <row r="110" customFormat="false" ht="15" hidden="false" customHeight="false" outlineLevel="0" collapsed="false">
      <c r="A110" s="8" t="s">
        <v>109</v>
      </c>
      <c r="B110" s="8" t="s">
        <v>85</v>
      </c>
      <c r="C110" s="8" t="n">
        <f aca="false">COUNTIFS($B$5:$B$105,$A110,$C$5:$C$105,$B110)</f>
        <v>13</v>
      </c>
      <c r="D110" s="8" t="n">
        <f aca="false">COUNTIFS($B$5:$B$105,$A110,$C$5:$C$105,$B110,$R$5:$R$105,"Sí")</f>
        <v>12</v>
      </c>
      <c r="E110" s="10" t="n">
        <f aca="false">IF(C110=0,0,D110/C110)</f>
        <v>0.923076923076923</v>
      </c>
      <c r="F110" s="8" t="n">
        <f aca="false">C110-D110</f>
        <v>1</v>
      </c>
      <c r="G110" s="8" t="n">
        <f aca="false">COUNTIFS($B$5:$B$105,$A110,$C$5:$C$105,$B110,$S$5:$S$105,"Débil (1 tema)")</f>
        <v>1</v>
      </c>
    </row>
    <row r="111" customFormat="false" ht="15" hidden="false" customHeight="false" outlineLevel="0" collapsed="false">
      <c r="A111" s="8" t="s">
        <v>109</v>
      </c>
      <c r="B111" s="8" t="s">
        <v>86</v>
      </c>
      <c r="C111" s="8" t="n">
        <f aca="false">COUNTIFS($B$5:$B$105,$A111,$C$5:$C$105,$B111)</f>
        <v>11</v>
      </c>
      <c r="D111" s="8" t="n">
        <f aca="false">COUNTIFS($B$5:$B$105,$A111,$C$5:$C$105,$B111,$R$5:$R$105,"Sí")</f>
        <v>11</v>
      </c>
      <c r="E111" s="10" t="n">
        <f aca="false">IF(C111=0,0,D111/C111)</f>
        <v>1</v>
      </c>
      <c r="F111" s="8" t="n">
        <f aca="false">C111-D111</f>
        <v>0</v>
      </c>
      <c r="G111" s="8" t="n">
        <f aca="false">COUNTIFS($B$5:$B$105,$A111,$C$5:$C$105,$B111,$S$5:$S$105,"Débil (1 tema)")</f>
        <v>2</v>
      </c>
    </row>
    <row r="112" customFormat="false" ht="15" hidden="false" customHeight="false" outlineLevel="0" collapsed="false">
      <c r="A112" s="8" t="s">
        <v>109</v>
      </c>
      <c r="B112" s="8" t="s">
        <v>87</v>
      </c>
      <c r="C112" s="8" t="n">
        <f aca="false">COUNTIFS($B$5:$B$105,$A112,$C$5:$C$105,$B112)</f>
        <v>8</v>
      </c>
      <c r="D112" s="8" t="n">
        <f aca="false">COUNTIFS($B$5:$B$105,$A112,$C$5:$C$105,$B112,$R$5:$R$105,"Sí")</f>
        <v>8</v>
      </c>
      <c r="E112" s="10" t="n">
        <f aca="false">IF(C112=0,0,D112/C112)</f>
        <v>1</v>
      </c>
      <c r="F112" s="8" t="n">
        <f aca="false">C112-D112</f>
        <v>0</v>
      </c>
      <c r="G112" s="8" t="n">
        <f aca="false">COUNTIFS($B$5:$B$105,$A112,$C$5:$C$105,$B112,$S$5:$S$105,"Débil (1 tema)")</f>
        <v>0</v>
      </c>
    </row>
    <row r="113" customFormat="false" ht="15" hidden="false" customHeight="false" outlineLevel="0" collapsed="false">
      <c r="A113" s="21" t="s">
        <v>109</v>
      </c>
      <c r="B113" s="21" t="s">
        <v>347</v>
      </c>
      <c r="C113" s="21" t="n">
        <f aca="false">COUNTIFS($B$5:$B$105,$A113,$C$5:$C$105,"*")</f>
        <v>32</v>
      </c>
      <c r="D113" s="21" t="n">
        <f aca="false">COUNTIFS($B$5:$B$105,$A113,$C$5:$C$105,"*",$R$5:$R$105,"Sí")</f>
        <v>31</v>
      </c>
      <c r="E113" s="24" t="n">
        <f aca="false">IF(C113=0,0,D113/C113)</f>
        <v>0.96875</v>
      </c>
      <c r="F113" s="21" t="n">
        <f aca="false">C113-D113</f>
        <v>1</v>
      </c>
      <c r="G113" s="21" t="n">
        <f aca="false">COUNTIFS($B$5:$B$105,$A113,$C$5:$C$105,"*",$S$5:$S$105,"Débil (1 tema)")</f>
        <v>3</v>
      </c>
    </row>
    <row r="114" customFormat="false" ht="15" hidden="false" customHeight="false" outlineLevel="0" collapsed="false">
      <c r="A114" s="8" t="s">
        <v>185</v>
      </c>
      <c r="B114" s="8" t="s">
        <v>89</v>
      </c>
      <c r="C114" s="8" t="n">
        <f aca="false">COUNTIFS($B$5:$B$105,$A114,$C$5:$C$105,$B114)</f>
        <v>16</v>
      </c>
      <c r="D114" s="8" t="n">
        <f aca="false">COUNTIFS($B$5:$B$105,$A114,$C$5:$C$105,$B114,$R$5:$R$105,"Sí")</f>
        <v>15</v>
      </c>
      <c r="E114" s="10" t="n">
        <f aca="false">IF(C114=0,0,D114/C114)</f>
        <v>0.9375</v>
      </c>
      <c r="F114" s="8" t="n">
        <f aca="false">C114-D114</f>
        <v>1</v>
      </c>
      <c r="G114" s="8" t="n">
        <f aca="false">COUNTIFS($B$5:$B$105,$A114,$C$5:$C$105,$B114,$S$5:$S$105,"Débil (1 tema)")</f>
        <v>1</v>
      </c>
    </row>
    <row r="115" customFormat="false" ht="15" hidden="false" customHeight="false" outlineLevel="0" collapsed="false">
      <c r="A115" s="8" t="s">
        <v>185</v>
      </c>
      <c r="B115" s="8" t="s">
        <v>90</v>
      </c>
      <c r="C115" s="8" t="n">
        <f aca="false">COUNTIFS($B$5:$B$105,$A115,$C$5:$C$105,$B115)</f>
        <v>10</v>
      </c>
      <c r="D115" s="8" t="n">
        <f aca="false">COUNTIFS($B$5:$B$105,$A115,$C$5:$C$105,$B115,$R$5:$R$105,"Sí")</f>
        <v>10</v>
      </c>
      <c r="E115" s="10" t="n">
        <f aca="false">IF(C115=0,0,D115/C115)</f>
        <v>1</v>
      </c>
      <c r="F115" s="8" t="n">
        <f aca="false">C115-D115</f>
        <v>0</v>
      </c>
      <c r="G115" s="8" t="n">
        <f aca="false">COUNTIFS($B$5:$B$105,$A115,$C$5:$C$105,$B115,$S$5:$S$105,"Débil (1 tema)")</f>
        <v>0</v>
      </c>
    </row>
    <row r="116" customFormat="false" ht="15" hidden="false" customHeight="false" outlineLevel="0" collapsed="false">
      <c r="A116" s="8" t="s">
        <v>185</v>
      </c>
      <c r="B116" s="8" t="s">
        <v>91</v>
      </c>
      <c r="C116" s="8" t="n">
        <f aca="false">COUNTIFS($B$5:$B$105,$A116,$C$5:$C$105,$B116)</f>
        <v>11</v>
      </c>
      <c r="D116" s="8" t="n">
        <f aca="false">COUNTIFS($B$5:$B$105,$A116,$C$5:$C$105,$B116,$R$5:$R$105,"Sí")</f>
        <v>10</v>
      </c>
      <c r="E116" s="10" t="n">
        <f aca="false">IF(C116=0,0,D116/C116)</f>
        <v>0.909090909090909</v>
      </c>
      <c r="F116" s="8" t="n">
        <f aca="false">C116-D116</f>
        <v>1</v>
      </c>
      <c r="G116" s="8" t="n">
        <f aca="false">COUNTIFS($B$5:$B$105,$A116,$C$5:$C$105,$B116,$S$5:$S$105,"Débil (1 tema)")</f>
        <v>0</v>
      </c>
    </row>
    <row r="117" customFormat="false" ht="15" hidden="false" customHeight="false" outlineLevel="0" collapsed="false">
      <c r="A117" s="8" t="s">
        <v>185</v>
      </c>
      <c r="B117" s="8" t="s">
        <v>87</v>
      </c>
      <c r="C117" s="8" t="n">
        <f aca="false">COUNTIFS($B$5:$B$105,$A117,$C$5:$C$105,$B117)</f>
        <v>9</v>
      </c>
      <c r="D117" s="8" t="n">
        <f aca="false">COUNTIFS($B$5:$B$105,$A117,$C$5:$C$105,$B117,$R$5:$R$105,"Sí")</f>
        <v>8</v>
      </c>
      <c r="E117" s="10" t="n">
        <f aca="false">IF(C117=0,0,D117/C117)</f>
        <v>0.888888888888889</v>
      </c>
      <c r="F117" s="8" t="n">
        <f aca="false">C117-D117</f>
        <v>1</v>
      </c>
      <c r="G117" s="8" t="n">
        <f aca="false">COUNTIFS($B$5:$B$105,$A117,$C$5:$C$105,$B117,$S$5:$S$105,"Débil (1 tema)")</f>
        <v>0</v>
      </c>
    </row>
    <row r="118" customFormat="false" ht="15" hidden="false" customHeight="false" outlineLevel="0" collapsed="false">
      <c r="A118" s="21" t="s">
        <v>185</v>
      </c>
      <c r="B118" s="21" t="s">
        <v>347</v>
      </c>
      <c r="C118" s="21" t="n">
        <f aca="false">COUNTIFS($B$5:$B$105,$A118,$C$5:$C$105,"*")</f>
        <v>46</v>
      </c>
      <c r="D118" s="21" t="n">
        <f aca="false">COUNTIFS($B$5:$B$105,$A118,$C$5:$C$105,"*",$R$5:$R$105,"Sí")</f>
        <v>43</v>
      </c>
      <c r="E118" s="24" t="n">
        <f aca="false">IF(C118=0,0,D118/C118)</f>
        <v>0.934782608695652</v>
      </c>
      <c r="F118" s="21" t="n">
        <f aca="false">C118-D118</f>
        <v>3</v>
      </c>
      <c r="G118" s="21" t="n">
        <f aca="false">COUNTIFS($B$5:$B$105,$A118,$C$5:$C$105,"*",$S$5:$S$105,"Débil (1 tema)")</f>
        <v>1</v>
      </c>
    </row>
    <row r="119" customFormat="false" ht="15" hidden="false" customHeight="false" outlineLevel="0" collapsed="false">
      <c r="A119" s="8" t="s">
        <v>291</v>
      </c>
      <c r="B119" s="8" t="s">
        <v>92</v>
      </c>
      <c r="C119" s="8" t="n">
        <f aca="false">COUNTIFS($B$5:$B$105,$A119,$C$5:$C$105,$B119)</f>
        <v>9</v>
      </c>
      <c r="D119" s="8" t="n">
        <f aca="false">COUNTIFS($B$5:$B$105,$A119,$C$5:$C$105,$B119,$R$5:$R$105,"Sí")</f>
        <v>9</v>
      </c>
      <c r="E119" s="10" t="n">
        <f aca="false">IF(C119=0,0,D119/C119)</f>
        <v>1</v>
      </c>
      <c r="F119" s="8" t="n">
        <f aca="false">C119-D119</f>
        <v>0</v>
      </c>
      <c r="G119" s="8" t="n">
        <f aca="false">COUNTIFS($B$5:$B$105,$A119,$C$5:$C$105,$B119,$S$5:$S$105,"Débil (1 tema)")</f>
        <v>0</v>
      </c>
    </row>
    <row r="120" customFormat="false" ht="15" hidden="false" customHeight="false" outlineLevel="0" collapsed="false">
      <c r="A120" s="8" t="s">
        <v>291</v>
      </c>
      <c r="B120" s="8" t="s">
        <v>93</v>
      </c>
      <c r="C120" s="8" t="n">
        <f aca="false">COUNTIFS($B$5:$B$105,$A120,$C$5:$C$105,$B120)</f>
        <v>6</v>
      </c>
      <c r="D120" s="8" t="n">
        <f aca="false">COUNTIFS($B$5:$B$105,$A120,$C$5:$C$105,$B120,$R$5:$R$105,"Sí")</f>
        <v>6</v>
      </c>
      <c r="E120" s="10" t="n">
        <f aca="false">IF(C120=0,0,D120/C120)</f>
        <v>1</v>
      </c>
      <c r="F120" s="8" t="n">
        <f aca="false">C120-D120</f>
        <v>0</v>
      </c>
      <c r="G120" s="8" t="n">
        <f aca="false">COUNTIFS($B$5:$B$105,$A120,$C$5:$C$105,$B120,$S$5:$S$105,"Débil (1 tema)")</f>
        <v>0</v>
      </c>
    </row>
    <row r="121" customFormat="false" ht="15" hidden="false" customHeight="false" outlineLevel="0" collapsed="false">
      <c r="A121" s="8" t="s">
        <v>291</v>
      </c>
      <c r="B121" s="8" t="s">
        <v>94</v>
      </c>
      <c r="C121" s="8" t="n">
        <f aca="false">COUNTIFS($B$5:$B$105,$A121,$C$5:$C$105,$B121)</f>
        <v>8</v>
      </c>
      <c r="D121" s="8" t="n">
        <f aca="false">COUNTIFS($B$5:$B$105,$A121,$C$5:$C$105,$B121,$R$5:$R$105,"Sí")</f>
        <v>8</v>
      </c>
      <c r="E121" s="10" t="n">
        <f aca="false">IF(C121=0,0,D121/C121)</f>
        <v>1</v>
      </c>
      <c r="F121" s="8" t="n">
        <f aca="false">C121-D121</f>
        <v>0</v>
      </c>
      <c r="G121" s="8" t="n">
        <f aca="false">COUNTIFS($B$5:$B$105,$A121,$C$5:$C$105,$B121,$S$5:$S$105,"Débil (1 tema)")</f>
        <v>0</v>
      </c>
    </row>
    <row r="122" customFormat="false" ht="15" hidden="false" customHeight="false" outlineLevel="0" collapsed="false">
      <c r="A122" s="21" t="s">
        <v>291</v>
      </c>
      <c r="B122" s="21" t="s">
        <v>347</v>
      </c>
      <c r="C122" s="21" t="n">
        <f aca="false">COUNTIFS($B$5:$B$105,$A122,$C$5:$C$105,"*")</f>
        <v>23</v>
      </c>
      <c r="D122" s="21" t="n">
        <f aca="false">COUNTIFS($B$5:$B$105,$A122,$C$5:$C$105,"*",$R$5:$R$105,"Sí")</f>
        <v>23</v>
      </c>
      <c r="E122" s="24" t="n">
        <f aca="false">IF(C122=0,0,D122/C122)</f>
        <v>1</v>
      </c>
      <c r="F122" s="21" t="n">
        <f aca="false">C122-D122</f>
        <v>0</v>
      </c>
      <c r="G122" s="21" t="n">
        <f aca="false">COUNTIFS($B$5:$B$105,$A122,$C$5:$C$105,"*",$S$5:$S$105,"Débil (1 tema)")</f>
        <v>0</v>
      </c>
    </row>
  </sheetData>
  <autoFilter ref="A4:T105"/>
  <mergeCells count="1">
    <mergeCell ref="A2:T2"/>
  </mergeCells>
  <conditionalFormatting sqref="S5:S105">
    <cfRule type="cellIs" priority="2" operator="equal" aboveAverage="0" equalAverage="0" bottom="0" percent="0" rank="0" text="" dxfId="0">
      <formula>"No cubierto"</formula>
    </cfRule>
    <cfRule type="cellIs" priority="3" operator="equal" aboveAverage="0" equalAverage="0" bottom="0" percent="0" rank="0" text="" dxfId="1">
      <formula>"Débil (1 tema)"</formula>
    </cfRule>
    <cfRule type="cellIs" priority="4" operator="equal" aboveAverage="0" equalAverage="0" bottom="0" percent="0" rank="0" text="" dxfId="2">
      <formula>"Sólida (4+)"</formula>
    </cfRule>
  </conditionalFormatting>
  <conditionalFormatting sqref="F5:O105">
    <cfRule type="cellIs" priority="5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5" t="s">
        <v>348</v>
      </c>
    </row>
    <row r="2" customFormat="false" ht="30" hidden="false" customHeight="true" outlineLevel="0" collapsed="false">
      <c r="A2" s="6" t="s">
        <v>349</v>
      </c>
      <c r="B2" s="6"/>
      <c r="C2" s="6"/>
      <c r="D2" s="6"/>
      <c r="E2" s="6"/>
      <c r="F2" s="6"/>
      <c r="G2" s="6"/>
      <c r="H2" s="6"/>
    </row>
    <row r="4" customFormat="false" ht="31.5" hidden="false" customHeight="true" outlineLevel="0" collapsed="false">
      <c r="A4" s="7" t="s">
        <v>99</v>
      </c>
      <c r="B4" s="7" t="s">
        <v>100</v>
      </c>
      <c r="C4" s="7" t="s">
        <v>73</v>
      </c>
      <c r="D4" s="7" t="s">
        <v>102</v>
      </c>
      <c r="E4" s="7" t="s">
        <v>350</v>
      </c>
      <c r="F4" s="7" t="s">
        <v>351</v>
      </c>
      <c r="G4" s="7" t="s">
        <v>352</v>
      </c>
      <c r="H4" s="7" t="s">
        <v>353</v>
      </c>
    </row>
    <row r="5" customFormat="false" ht="35.05" hidden="false" customHeight="false" outlineLevel="0" collapsed="false">
      <c r="A5" s="23" t="s">
        <v>119</v>
      </c>
      <c r="B5" s="23" t="s">
        <v>109</v>
      </c>
      <c r="C5" s="23" t="s">
        <v>85</v>
      </c>
      <c r="D5" s="23" t="s">
        <v>120</v>
      </c>
      <c r="E5" s="25" t="n">
        <f aca="false">Cobertura_objetivos!P9</f>
        <v>0</v>
      </c>
      <c r="F5" s="25" t="str">
        <f aca="false">Cobertura_objetivos!S9</f>
        <v>No cubierto</v>
      </c>
      <c r="G5" s="23" t="s">
        <v>68</v>
      </c>
      <c r="H5" s="23" t="s">
        <v>354</v>
      </c>
    </row>
    <row r="6" customFormat="false" ht="23.85" hidden="false" customHeight="false" outlineLevel="0" collapsed="false">
      <c r="A6" s="23" t="s">
        <v>133</v>
      </c>
      <c r="B6" s="23" t="s">
        <v>109</v>
      </c>
      <c r="C6" s="23" t="s">
        <v>85</v>
      </c>
      <c r="D6" s="23" t="s">
        <v>134</v>
      </c>
      <c r="E6" s="25" t="n">
        <f aca="false">Cobertura_objetivos!P15</f>
        <v>1</v>
      </c>
      <c r="F6" s="25" t="str">
        <f aca="false">Cobertura_objetivos!S15</f>
        <v>Débil (1 tema)</v>
      </c>
      <c r="G6" s="23" t="s">
        <v>355</v>
      </c>
      <c r="H6" s="23" t="s">
        <v>356</v>
      </c>
    </row>
    <row r="7" customFormat="false" ht="23.85" hidden="false" customHeight="false" outlineLevel="0" collapsed="false">
      <c r="A7" s="23" t="s">
        <v>140</v>
      </c>
      <c r="B7" s="23" t="s">
        <v>109</v>
      </c>
      <c r="C7" s="23" t="s">
        <v>86</v>
      </c>
      <c r="D7" s="23" t="s">
        <v>142</v>
      </c>
      <c r="E7" s="25" t="n">
        <f aca="false">Cobertura_objetivos!P18</f>
        <v>1</v>
      </c>
      <c r="F7" s="25" t="str">
        <f aca="false">Cobertura_objetivos!S18</f>
        <v>Débil (1 tema)</v>
      </c>
      <c r="G7" s="23" t="s">
        <v>357</v>
      </c>
      <c r="H7" s="23" t="s">
        <v>358</v>
      </c>
    </row>
    <row r="8" customFormat="false" ht="23.85" hidden="false" customHeight="false" outlineLevel="0" collapsed="false">
      <c r="A8" s="23" t="s">
        <v>156</v>
      </c>
      <c r="B8" s="23" t="s">
        <v>109</v>
      </c>
      <c r="C8" s="23" t="s">
        <v>86</v>
      </c>
      <c r="D8" s="23" t="s">
        <v>157</v>
      </c>
      <c r="E8" s="25" t="n">
        <f aca="false">Cobertura_objetivos!P25</f>
        <v>1</v>
      </c>
      <c r="F8" s="25" t="str">
        <f aca="false">Cobertura_objetivos!S25</f>
        <v>Débil (1 tema)</v>
      </c>
      <c r="G8" s="23" t="s">
        <v>359</v>
      </c>
      <c r="H8" s="23" t="s">
        <v>360</v>
      </c>
    </row>
    <row r="9" customFormat="false" ht="23.85" hidden="false" customHeight="false" outlineLevel="0" collapsed="false">
      <c r="A9" s="23" t="s">
        <v>207</v>
      </c>
      <c r="B9" s="23" t="s">
        <v>185</v>
      </c>
      <c r="C9" s="23" t="s">
        <v>89</v>
      </c>
      <c r="D9" s="23" t="s">
        <v>208</v>
      </c>
      <c r="E9" s="25" t="n">
        <f aca="false">Cobertura_objetivos!P47</f>
        <v>1</v>
      </c>
      <c r="F9" s="25" t="str">
        <f aca="false">Cobertura_objetivos!S47</f>
        <v>Débil (1 tema)</v>
      </c>
      <c r="G9" s="23" t="s">
        <v>361</v>
      </c>
      <c r="H9" s="23" t="s">
        <v>362</v>
      </c>
    </row>
    <row r="10" customFormat="false" ht="35.05" hidden="false" customHeight="false" outlineLevel="0" collapsed="false">
      <c r="A10" s="23" t="s">
        <v>215</v>
      </c>
      <c r="B10" s="23" t="s">
        <v>185</v>
      </c>
      <c r="C10" s="23" t="s">
        <v>89</v>
      </c>
      <c r="D10" s="23" t="s">
        <v>216</v>
      </c>
      <c r="E10" s="25" t="n">
        <f aca="false">Cobertura_objetivos!P51</f>
        <v>0</v>
      </c>
      <c r="F10" s="25" t="str">
        <f aca="false">Cobertura_objetivos!S51</f>
        <v>No cubierto</v>
      </c>
      <c r="G10" s="23" t="s">
        <v>68</v>
      </c>
      <c r="H10" s="23" t="s">
        <v>363</v>
      </c>
    </row>
    <row r="11" customFormat="false" ht="23.85" hidden="false" customHeight="false" outlineLevel="0" collapsed="false">
      <c r="A11" s="23" t="s">
        <v>252</v>
      </c>
      <c r="B11" s="23" t="s">
        <v>185</v>
      </c>
      <c r="C11" s="23" t="s">
        <v>91</v>
      </c>
      <c r="D11" s="23" t="s">
        <v>254</v>
      </c>
      <c r="E11" s="25" t="n">
        <f aca="false">Cobertura_objetivos!P67</f>
        <v>0</v>
      </c>
      <c r="F11" s="25" t="str">
        <f aca="false">Cobertura_objetivos!S67</f>
        <v>No cubierto</v>
      </c>
      <c r="G11" s="23" t="s">
        <v>68</v>
      </c>
      <c r="H11" s="23" t="s">
        <v>364</v>
      </c>
    </row>
    <row r="12" customFormat="false" ht="23.85" hidden="false" customHeight="false" outlineLevel="0" collapsed="false">
      <c r="A12" s="23" t="s">
        <v>285</v>
      </c>
      <c r="B12" s="23" t="s">
        <v>185</v>
      </c>
      <c r="C12" s="23" t="s">
        <v>87</v>
      </c>
      <c r="D12" s="23" t="s">
        <v>287</v>
      </c>
      <c r="E12" s="25" t="n">
        <f aca="false">Cobertura_objetivos!P81</f>
        <v>0</v>
      </c>
      <c r="F12" s="25" t="str">
        <f aca="false">Cobertura_objetivos!S81</f>
        <v>No cubierto</v>
      </c>
      <c r="G12" s="23" t="s">
        <v>365</v>
      </c>
      <c r="H12" s="23" t="s">
        <v>366</v>
      </c>
    </row>
    <row r="14" customFormat="false" ht="15" hidden="false" customHeight="false" outlineLevel="0" collapsed="false">
      <c r="A14" s="26" t="s">
        <v>367</v>
      </c>
      <c r="B14" s="26"/>
      <c r="C14" s="26"/>
      <c r="D14" s="26"/>
      <c r="E14" s="26"/>
      <c r="F14" s="26"/>
      <c r="G14" s="26"/>
      <c r="H14" s="26"/>
    </row>
  </sheetData>
  <mergeCells count="2"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12" min="7" style="0" width="9"/>
    <col collapsed="false" customWidth="true" hidden="false" outlineLevel="0" max="13" min="13" style="0" width="11"/>
    <col collapsed="false" customWidth="true" hidden="false" outlineLevel="0" max="14" min="14" style="0" width="46"/>
  </cols>
  <sheetData>
    <row r="1" customFormat="false" ht="17.35" hidden="false" customHeight="false" outlineLevel="0" collapsed="false">
      <c r="A1" s="5" t="s">
        <v>368</v>
      </c>
    </row>
    <row r="2" customFormat="false" ht="39.75" hidden="false" customHeight="true" outlineLevel="0" collapsed="false">
      <c r="A2" s="6" t="s">
        <v>369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customFormat="false" ht="45" hidden="false" customHeight="true" outlineLevel="0" collapsed="false">
      <c r="A4" s="7" t="s">
        <v>31</v>
      </c>
      <c r="B4" s="7" t="s">
        <v>370</v>
      </c>
      <c r="C4" s="7" t="s">
        <v>371</v>
      </c>
      <c r="D4" s="7" t="s">
        <v>372</v>
      </c>
      <c r="E4" s="7" t="s">
        <v>373</v>
      </c>
      <c r="F4" s="7" t="s">
        <v>374</v>
      </c>
      <c r="G4" s="7" t="s">
        <v>375</v>
      </c>
      <c r="H4" s="7" t="s">
        <v>376</v>
      </c>
      <c r="I4" s="7" t="s">
        <v>377</v>
      </c>
      <c r="J4" s="7" t="s">
        <v>378</v>
      </c>
      <c r="K4" s="7" t="s">
        <v>379</v>
      </c>
      <c r="L4" s="7" t="s">
        <v>380</v>
      </c>
      <c r="M4" s="7" t="s">
        <v>381</v>
      </c>
      <c r="N4" s="7" t="s">
        <v>382</v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n">
        <f aca="false">COUNTIFS(Temas_TIMSS!$V$5:$V$1264,$A5)</f>
        <v>70</v>
      </c>
      <c r="D5" s="17" t="n">
        <f aca="false">SUMIFS(Temas_TIMSS!$S$5:$S$1264,Temas_TIMSS!$V$5:$V$1264,$A5)</f>
        <v>12.5</v>
      </c>
      <c r="E5" s="17" t="n">
        <f aca="false">SUMIFS(Temas_TIMSS!$T$5:$T$1264,Temas_TIMSS!$V$5:$V$1264,$A5)</f>
        <v>38.5</v>
      </c>
      <c r="F5" s="17" t="n">
        <f aca="false">SUMIFS(Temas_TIMSS!$U$5:$U$1264,Temas_TIMSS!$V$5:$V$1264,$A5)</f>
        <v>19</v>
      </c>
      <c r="G5" s="10" t="n">
        <f aca="false">IF($C5=0,0,D5/$C5)</f>
        <v>0.178571428571429</v>
      </c>
      <c r="H5" s="10" t="n">
        <f aca="false">IF($C5=0,0,E5/$C5)</f>
        <v>0.55</v>
      </c>
      <c r="I5" s="10" t="n">
        <f aca="false">IF($C5=0,0,F5/$C5)</f>
        <v>0.271428571428571</v>
      </c>
      <c r="J5" s="16" t="n">
        <v>0.4</v>
      </c>
      <c r="K5" s="16" t="n">
        <v>0.4</v>
      </c>
      <c r="L5" s="16" t="n">
        <v>0.2</v>
      </c>
      <c r="M5" s="19" t="n">
        <f aca="false">(I5-L5)*100</f>
        <v>7.14285714285714</v>
      </c>
      <c r="N5" s="8" t="str">
        <f aca="false">IF(ABS(M5)&lt;=5,"Razonar en línea con la meta",IF(M5&gt;0,"Más Razonar que la meta (revisar si la etiqueta está inflada)","Menos Razonar que la meta: faltan tareas de análisis y argumentación"))</f>
        <v>Más Razonar que la meta (revisar si la etiqueta está inflada)</v>
      </c>
    </row>
    <row r="6" customFormat="false" ht="15" hidden="false" customHeight="false" outlineLevel="0" collapsed="false">
      <c r="A6" s="8" t="s">
        <v>46</v>
      </c>
      <c r="B6" s="8" t="s">
        <v>45</v>
      </c>
      <c r="C6" s="8" t="n">
        <f aca="false">COUNTIFS(Temas_TIMSS!$V$5:$V$1264,$A6)</f>
        <v>66</v>
      </c>
      <c r="D6" s="17" t="n">
        <f aca="false">SUMIFS(Temas_TIMSS!$S$5:$S$1264,Temas_TIMSS!$V$5:$V$1264,$A6)</f>
        <v>14.5</v>
      </c>
      <c r="E6" s="17" t="n">
        <f aca="false">SUMIFS(Temas_TIMSS!$T$5:$T$1264,Temas_TIMSS!$V$5:$V$1264,$A6)</f>
        <v>34</v>
      </c>
      <c r="F6" s="17" t="n">
        <f aca="false">SUMIFS(Temas_TIMSS!$U$5:$U$1264,Temas_TIMSS!$V$5:$V$1264,$A6)</f>
        <v>17.5</v>
      </c>
      <c r="G6" s="10" t="n">
        <f aca="false">IF($C6=0,0,D6/$C6)</f>
        <v>0.21969696969697</v>
      </c>
      <c r="H6" s="10" t="n">
        <f aca="false">IF($C6=0,0,E6/$C6)</f>
        <v>0.515151515151515</v>
      </c>
      <c r="I6" s="10" t="n">
        <f aca="false">IF($C6=0,0,F6/$C6)</f>
        <v>0.265151515151515</v>
      </c>
      <c r="J6" s="16" t="n">
        <v>0.4</v>
      </c>
      <c r="K6" s="16" t="n">
        <v>0.4</v>
      </c>
      <c r="L6" s="16" t="n">
        <v>0.2</v>
      </c>
      <c r="M6" s="19" t="n">
        <f aca="false">(I6-L6)*100</f>
        <v>6.51515151515151</v>
      </c>
      <c r="N6" s="8" t="str">
        <f aca="false">IF(ABS(M6)&lt;=5,"Razonar en línea con la meta",IF(M6&gt;0,"Más Razonar que la meta (revisar si la etiqueta está inflada)","Menos Razonar que la meta: faltan tareas de análisis y argumentación"))</f>
        <v>Más Razonar que la meta (revisar si la etiqueta está inflada)</v>
      </c>
    </row>
    <row r="7" customFormat="false" ht="15" hidden="false" customHeight="false" outlineLevel="0" collapsed="false">
      <c r="A7" s="8" t="s">
        <v>47</v>
      </c>
      <c r="B7" s="8" t="s">
        <v>45</v>
      </c>
      <c r="C7" s="8" t="n">
        <f aca="false">COUNTIFS(Temas_TIMSS!$V$5:$V$1264,$A7)</f>
        <v>72</v>
      </c>
      <c r="D7" s="17" t="n">
        <f aca="false">SUMIFS(Temas_TIMSS!$S$5:$S$1264,Temas_TIMSS!$V$5:$V$1264,$A7)</f>
        <v>17</v>
      </c>
      <c r="E7" s="17" t="n">
        <f aca="false">SUMIFS(Temas_TIMSS!$T$5:$T$1264,Temas_TIMSS!$V$5:$V$1264,$A7)</f>
        <v>40.5</v>
      </c>
      <c r="F7" s="17" t="n">
        <f aca="false">SUMIFS(Temas_TIMSS!$U$5:$U$1264,Temas_TIMSS!$V$5:$V$1264,$A7)</f>
        <v>14.5</v>
      </c>
      <c r="G7" s="10" t="n">
        <f aca="false">IF($C7=0,0,D7/$C7)</f>
        <v>0.236111111111111</v>
      </c>
      <c r="H7" s="10" t="n">
        <f aca="false">IF($C7=0,0,E7/$C7)</f>
        <v>0.5625</v>
      </c>
      <c r="I7" s="10" t="n">
        <f aca="false">IF($C7=0,0,F7/$C7)</f>
        <v>0.201388888888889</v>
      </c>
      <c r="J7" s="16" t="n">
        <v>0.4</v>
      </c>
      <c r="K7" s="16" t="n">
        <v>0.4</v>
      </c>
      <c r="L7" s="16" t="n">
        <v>0.2</v>
      </c>
      <c r="M7" s="19" t="n">
        <f aca="false">(I7-L7)*100</f>
        <v>0.138888888888888</v>
      </c>
      <c r="N7" s="8" t="str">
        <f aca="false">IF(ABS(M7)&lt;=5,"Razonar en línea con la meta",IF(M7&gt;0,"Más Razonar que la meta (revisar si la etiqueta está inflada)","Menos Razonar que la meta: faltan tareas de análisis y argumentación"))</f>
        <v>Razonar en línea con la meta</v>
      </c>
    </row>
    <row r="8" customFormat="false" ht="15" hidden="false" customHeight="false" outlineLevel="0" collapsed="false">
      <c r="A8" s="8" t="s">
        <v>48</v>
      </c>
      <c r="B8" s="8" t="s">
        <v>49</v>
      </c>
      <c r="C8" s="8" t="n">
        <f aca="false">COUNTIFS(Temas_TIMSS!$V$5:$V$1264,$A8)</f>
        <v>72</v>
      </c>
      <c r="D8" s="17" t="n">
        <f aca="false">SUMIFS(Temas_TIMSS!$S$5:$S$1264,Temas_TIMSS!$V$5:$V$1264,$A8)</f>
        <v>7</v>
      </c>
      <c r="E8" s="17" t="n">
        <f aca="false">SUMIFS(Temas_TIMSS!$T$5:$T$1264,Temas_TIMSS!$V$5:$V$1264,$A8)</f>
        <v>47.5</v>
      </c>
      <c r="F8" s="17" t="n">
        <f aca="false">SUMIFS(Temas_TIMSS!$U$5:$U$1264,Temas_TIMSS!$V$5:$V$1264,$A8)</f>
        <v>17.5</v>
      </c>
      <c r="G8" s="10" t="n">
        <f aca="false">IF($C8=0,0,D8/$C8)</f>
        <v>0.0972222222222222</v>
      </c>
      <c r="H8" s="10" t="n">
        <f aca="false">IF($C8=0,0,E8/$C8)</f>
        <v>0.659722222222222</v>
      </c>
      <c r="I8" s="10" t="n">
        <f aca="false">IF($C8=0,0,F8/$C8)</f>
        <v>0.243055555555556</v>
      </c>
      <c r="J8" s="16" t="n">
        <v>0.35</v>
      </c>
      <c r="K8" s="16" t="n">
        <v>0.35</v>
      </c>
      <c r="L8" s="16" t="n">
        <v>0.3</v>
      </c>
      <c r="M8" s="19" t="n">
        <f aca="false">(I8-L8)*100</f>
        <v>-5.69444444444444</v>
      </c>
      <c r="N8" s="8" t="str">
        <f aca="false">IF(ABS(M8)&lt;=5,"Razonar en línea con la meta",IF(M8&gt;0,"Más Razonar que la meta (revisar si la etiqueta está inflada)","Menos Razonar que la meta: faltan tareas de análisis y argumentación"))</f>
        <v>Menos Razonar que la meta: faltan tareas de análisis y argumentación</v>
      </c>
    </row>
    <row r="9" customFormat="false" ht="15" hidden="false" customHeight="false" outlineLevel="0" collapsed="false">
      <c r="A9" s="8" t="s">
        <v>50</v>
      </c>
      <c r="B9" s="8" t="s">
        <v>49</v>
      </c>
      <c r="C9" s="8" t="n">
        <f aca="false">COUNTIFS(Temas_TIMSS!$V$5:$V$1264,$A9)</f>
        <v>68</v>
      </c>
      <c r="D9" s="17" t="n">
        <f aca="false">SUMIFS(Temas_TIMSS!$S$5:$S$1264,Temas_TIMSS!$V$5:$V$1264,$A9)</f>
        <v>8.5</v>
      </c>
      <c r="E9" s="17" t="n">
        <f aca="false">SUMIFS(Temas_TIMSS!$T$5:$T$1264,Temas_TIMSS!$V$5:$V$1264,$A9)</f>
        <v>46.5</v>
      </c>
      <c r="F9" s="17" t="n">
        <f aca="false">SUMIFS(Temas_TIMSS!$U$5:$U$1264,Temas_TIMSS!$V$5:$V$1264,$A9)</f>
        <v>13</v>
      </c>
      <c r="G9" s="10" t="n">
        <f aca="false">IF($C9=0,0,D9/$C9)</f>
        <v>0.125</v>
      </c>
      <c r="H9" s="10" t="n">
        <f aca="false">IF($C9=0,0,E9/$C9)</f>
        <v>0.683823529411765</v>
      </c>
      <c r="I9" s="10" t="n">
        <f aca="false">IF($C9=0,0,F9/$C9)</f>
        <v>0.191176470588235</v>
      </c>
      <c r="J9" s="16" t="n">
        <v>0.35</v>
      </c>
      <c r="K9" s="16" t="n">
        <v>0.35</v>
      </c>
      <c r="L9" s="16" t="n">
        <v>0.3</v>
      </c>
      <c r="M9" s="19" t="n">
        <f aca="false">(I9-L9)*100</f>
        <v>-10.8823529411765</v>
      </c>
      <c r="N9" s="8" t="str">
        <f aca="false">IF(ABS(M9)&lt;=5,"Razonar en línea con la meta",IF(M9&gt;0,"Más Razonar que la meta (revisar si la etiqueta está inflada)","Menos Razonar que la meta: faltan tareas de análisis y argumentación"))</f>
        <v>Menos Razonar que la meta: faltan tareas de análisis y argumentación</v>
      </c>
    </row>
    <row r="10" customFormat="false" ht="15" hidden="false" customHeight="false" outlineLevel="0" collapsed="false">
      <c r="A10" s="8" t="s">
        <v>51</v>
      </c>
      <c r="B10" s="8" t="s">
        <v>49</v>
      </c>
      <c r="C10" s="8" t="n">
        <f aca="false">COUNTIFS(Temas_TIMSS!$V$5:$V$1264,$A10)</f>
        <v>91</v>
      </c>
      <c r="D10" s="17" t="n">
        <f aca="false">SUMIFS(Temas_TIMSS!$S$5:$S$1264,Temas_TIMSS!$V$5:$V$1264,$A10)</f>
        <v>18</v>
      </c>
      <c r="E10" s="17" t="n">
        <f aca="false">SUMIFS(Temas_TIMSS!$T$5:$T$1264,Temas_TIMSS!$V$5:$V$1264,$A10)</f>
        <v>47</v>
      </c>
      <c r="F10" s="17" t="n">
        <f aca="false">SUMIFS(Temas_TIMSS!$U$5:$U$1264,Temas_TIMSS!$V$5:$V$1264,$A10)</f>
        <v>26</v>
      </c>
      <c r="G10" s="10" t="n">
        <f aca="false">IF($C10=0,0,D10/$C10)</f>
        <v>0.197802197802198</v>
      </c>
      <c r="H10" s="10" t="n">
        <f aca="false">IF($C10=0,0,E10/$C10)</f>
        <v>0.516483516483517</v>
      </c>
      <c r="I10" s="10" t="n">
        <f aca="false">IF($C10=0,0,F10/$C10)</f>
        <v>0.285714285714286</v>
      </c>
      <c r="J10" s="16" t="n">
        <v>0.35</v>
      </c>
      <c r="K10" s="16" t="n">
        <v>0.35</v>
      </c>
      <c r="L10" s="16" t="n">
        <v>0.3</v>
      </c>
      <c r="M10" s="19" t="n">
        <f aca="false">(I10-L10)*100</f>
        <v>-1.42857142857143</v>
      </c>
      <c r="N10" s="8" t="str">
        <f aca="false">IF(ABS(M10)&lt;=5,"Razonar en línea con la meta",IF(M10&gt;0,"Más Razonar que la meta (revisar si la etiqueta está inflada)","Menos Razonar que la meta: faltan tareas de análisis y argumentación"))</f>
        <v>Razonar en línea con la meta</v>
      </c>
    </row>
    <row r="11" customFormat="false" ht="15" hidden="false" customHeight="false" outlineLevel="0" collapsed="false">
      <c r="A11" s="8" t="s">
        <v>52</v>
      </c>
      <c r="B11" s="8" t="s">
        <v>49</v>
      </c>
      <c r="C11" s="8" t="n">
        <f aca="false">COUNTIFS(Temas_TIMSS!$V$5:$V$1264,$A11)</f>
        <v>93</v>
      </c>
      <c r="D11" s="17" t="n">
        <f aca="false">SUMIFS(Temas_TIMSS!$S$5:$S$1264,Temas_TIMSS!$V$5:$V$1264,$A11)</f>
        <v>14</v>
      </c>
      <c r="E11" s="17" t="n">
        <f aca="false">SUMIFS(Temas_TIMSS!$T$5:$T$1264,Temas_TIMSS!$V$5:$V$1264,$A11)</f>
        <v>59.5</v>
      </c>
      <c r="F11" s="17" t="n">
        <f aca="false">SUMIFS(Temas_TIMSS!$U$5:$U$1264,Temas_TIMSS!$V$5:$V$1264,$A11)</f>
        <v>19.5</v>
      </c>
      <c r="G11" s="10" t="n">
        <f aca="false">IF($C11=0,0,D11/$C11)</f>
        <v>0.150537634408602</v>
      </c>
      <c r="H11" s="10" t="n">
        <f aca="false">IF($C11=0,0,E11/$C11)</f>
        <v>0.639784946236559</v>
      </c>
      <c r="I11" s="10" t="n">
        <f aca="false">IF($C11=0,0,F11/$C11)</f>
        <v>0.209677419354839</v>
      </c>
      <c r="J11" s="16" t="n">
        <v>0.35</v>
      </c>
      <c r="K11" s="16" t="n">
        <v>0.35</v>
      </c>
      <c r="L11" s="16" t="n">
        <v>0.3</v>
      </c>
      <c r="M11" s="19" t="n">
        <f aca="false">(I11-L11)*100</f>
        <v>-9.03225806451613</v>
      </c>
      <c r="N11" s="8" t="str">
        <f aca="false">IF(ABS(M11)&lt;=5,"Razonar en línea con la meta",IF(M11&gt;0,"Más Razonar que la meta (revisar si la etiqueta está inflada)","Menos Razonar que la meta: faltan tareas de análisis y argumentación"))</f>
        <v>Menos Razonar que la meta: faltan tareas de análisis y argumentación</v>
      </c>
    </row>
    <row r="12" customFormat="false" ht="15" hidden="false" customHeight="false" outlineLevel="0" collapsed="false">
      <c r="A12" s="8" t="s">
        <v>53</v>
      </c>
      <c r="B12" s="8" t="s">
        <v>49</v>
      </c>
      <c r="C12" s="8" t="n">
        <f aca="false">COUNTIFS(Temas_TIMSS!$V$5:$V$1264,$A12)</f>
        <v>90</v>
      </c>
      <c r="D12" s="17" t="n">
        <f aca="false">SUMIFS(Temas_TIMSS!$S$5:$S$1264,Temas_TIMSS!$V$5:$V$1264,$A12)</f>
        <v>13.5</v>
      </c>
      <c r="E12" s="17" t="n">
        <f aca="false">SUMIFS(Temas_TIMSS!$T$5:$T$1264,Temas_TIMSS!$V$5:$V$1264,$A12)</f>
        <v>60.5</v>
      </c>
      <c r="F12" s="17" t="n">
        <f aca="false">SUMIFS(Temas_TIMSS!$U$5:$U$1264,Temas_TIMSS!$V$5:$V$1264,$A12)</f>
        <v>16</v>
      </c>
      <c r="G12" s="10" t="n">
        <f aca="false">IF($C12=0,0,D12/$C12)</f>
        <v>0.15</v>
      </c>
      <c r="H12" s="10" t="n">
        <f aca="false">IF($C12=0,0,E12/$C12)</f>
        <v>0.672222222222222</v>
      </c>
      <c r="I12" s="10" t="n">
        <f aca="false">IF($C12=0,0,F12/$C12)</f>
        <v>0.177777777777778</v>
      </c>
      <c r="J12" s="16" t="n">
        <v>0.35</v>
      </c>
      <c r="K12" s="16" t="n">
        <v>0.35</v>
      </c>
      <c r="L12" s="16" t="n">
        <v>0.3</v>
      </c>
      <c r="M12" s="19" t="n">
        <f aca="false">(I12-L12)*100</f>
        <v>-12.2222222222222</v>
      </c>
      <c r="N12" s="8" t="str">
        <f aca="false">IF(ABS(M12)&lt;=5,"Razonar en línea con la meta",IF(M12&gt;0,"Más Razonar que la meta (revisar si la etiqueta está inflada)","Menos Razonar que la meta: faltan tareas de análisis y argumentación"))</f>
        <v>Menos Razonar que la meta: faltan tareas de análisis y argumentación</v>
      </c>
    </row>
    <row r="13" customFormat="false" ht="15" hidden="false" customHeight="false" outlineLevel="0" collapsed="false">
      <c r="A13" s="8" t="s">
        <v>54</v>
      </c>
      <c r="B13" s="8" t="s">
        <v>55</v>
      </c>
      <c r="C13" s="8" t="n">
        <f aca="false">COUNTIFS(Temas_TIMSS!$V$5:$V$1264,$A13)</f>
        <v>121</v>
      </c>
      <c r="D13" s="17" t="n">
        <f aca="false">SUMIFS(Temas_TIMSS!$S$5:$S$1264,Temas_TIMSS!$V$5:$V$1264,$A13)</f>
        <v>8.16666666666667</v>
      </c>
      <c r="E13" s="17" t="n">
        <f aca="false">SUMIFS(Temas_TIMSS!$T$5:$T$1264,Temas_TIMSS!$V$5:$V$1264,$A13)</f>
        <v>54.6666666666667</v>
      </c>
      <c r="F13" s="17" t="n">
        <f aca="false">SUMIFS(Temas_TIMSS!$U$5:$U$1264,Temas_TIMSS!$V$5:$V$1264,$A13)</f>
        <v>58.1666666666667</v>
      </c>
      <c r="G13" s="10" t="n">
        <f aca="false">IF($C13=0,0,D13/$C13)</f>
        <v>0.0674931129476584</v>
      </c>
      <c r="H13" s="10" t="n">
        <f aca="false">IF($C13=0,0,E13/$C13)</f>
        <v>0.451790633608815</v>
      </c>
      <c r="I13" s="10" t="n">
        <f aca="false">IF($C13=0,0,F13/$C13)</f>
        <v>0.480716253443526</v>
      </c>
      <c r="J13" s="16" t="n">
        <v>0.3</v>
      </c>
      <c r="K13" s="16" t="n">
        <v>0.4</v>
      </c>
      <c r="L13" s="16" t="n">
        <v>0.3</v>
      </c>
      <c r="M13" s="19" t="n">
        <f aca="false">(I13-L13)*100</f>
        <v>18.0716253443526</v>
      </c>
      <c r="N13" s="8" t="str">
        <f aca="false">IF(ABS(M13)&lt;=5,"Razonar en línea con la meta",IF(M13&gt;0,"Más Razonar que la meta (revisar si la etiqueta está inflada)","Menos Razonar que la meta: faltan tareas de análisis y argumentación"))</f>
        <v>Más Razonar que la meta (revisar si la etiqueta está inflada)</v>
      </c>
    </row>
    <row r="14" customFormat="false" ht="15" hidden="false" customHeight="false" outlineLevel="0" collapsed="false">
      <c r="A14" s="8" t="s">
        <v>56</v>
      </c>
      <c r="B14" s="8" t="s">
        <v>55</v>
      </c>
      <c r="C14" s="8" t="n">
        <f aca="false">COUNTIFS(Temas_TIMSS!$V$5:$V$1264,$A14)</f>
        <v>146</v>
      </c>
      <c r="D14" s="17" t="n">
        <f aca="false">SUMIFS(Temas_TIMSS!$S$5:$S$1264,Temas_TIMSS!$V$5:$V$1264,$A14)</f>
        <v>14.5</v>
      </c>
      <c r="E14" s="17" t="n">
        <f aca="false">SUMIFS(Temas_TIMSS!$T$5:$T$1264,Temas_TIMSS!$V$5:$V$1264,$A14)</f>
        <v>63.5</v>
      </c>
      <c r="F14" s="17" t="n">
        <f aca="false">SUMIFS(Temas_TIMSS!$U$5:$U$1264,Temas_TIMSS!$V$5:$V$1264,$A14)</f>
        <v>68</v>
      </c>
      <c r="G14" s="10" t="n">
        <f aca="false">IF($C14=0,0,D14/$C14)</f>
        <v>0.0993150684931507</v>
      </c>
      <c r="H14" s="10" t="n">
        <f aca="false">IF($C14=0,0,E14/$C14)</f>
        <v>0.434931506849315</v>
      </c>
      <c r="I14" s="10" t="n">
        <f aca="false">IF($C14=0,0,F14/$C14)</f>
        <v>0.465753424657534</v>
      </c>
      <c r="J14" s="16" t="n">
        <v>0.3</v>
      </c>
      <c r="K14" s="16" t="n">
        <v>0.4</v>
      </c>
      <c r="L14" s="16" t="n">
        <v>0.3</v>
      </c>
      <c r="M14" s="19" t="n">
        <f aca="false">(I14-L14)*100</f>
        <v>16.5753424657534</v>
      </c>
      <c r="N14" s="8" t="str">
        <f aca="false">IF(ABS(M14)&lt;=5,"Razonar en línea con la meta",IF(M14&gt;0,"Más Razonar que la meta (revisar si la etiqueta está inflada)","Menos Razonar que la meta: faltan tareas de análisis y argumentación"))</f>
        <v>Más Razonar que la meta (revisar si la etiqueta está inflada)</v>
      </c>
    </row>
    <row r="15" customFormat="false" ht="15" hidden="false" customHeight="false" outlineLevel="0" collapsed="false">
      <c r="A15" s="8" t="s">
        <v>383</v>
      </c>
      <c r="B15" s="8" t="s">
        <v>384</v>
      </c>
      <c r="C15" s="8" t="n">
        <f aca="false">COUNTIFS(Temas_TIMSS!$V$5:$V$1264,$A15)</f>
        <v>112</v>
      </c>
      <c r="D15" s="17" t="n">
        <f aca="false">SUMIFS(Temas_TIMSS!$S$5:$S$1264,Temas_TIMSS!$V$5:$V$1264,$A15)</f>
        <v>12.8333333333333</v>
      </c>
      <c r="E15" s="17" t="n">
        <f aca="false">SUMIFS(Temas_TIMSS!$T$5:$T$1264,Temas_TIMSS!$V$5:$V$1264,$A15)</f>
        <v>46.8333333333333</v>
      </c>
      <c r="F15" s="17" t="n">
        <f aca="false">SUMIFS(Temas_TIMSS!$U$5:$U$1264,Temas_TIMSS!$V$5:$V$1264,$A15)</f>
        <v>52.3333333333333</v>
      </c>
      <c r="G15" s="10" t="n">
        <f aca="false">IF($C15=0,0,D15/$C15)</f>
        <v>0.114583333333333</v>
      </c>
      <c r="H15" s="10" t="n">
        <f aca="false">IF($C15=0,0,E15/$C15)</f>
        <v>0.418154761904762</v>
      </c>
      <c r="I15" s="10" t="n">
        <f aca="false">IF($C15=0,0,F15/$C15)</f>
        <v>0.467261904761905</v>
      </c>
      <c r="J15" s="16" t="n">
        <v>0.3</v>
      </c>
      <c r="K15" s="16" t="n">
        <v>0.4</v>
      </c>
      <c r="L15" s="16" t="n">
        <v>0.3</v>
      </c>
      <c r="M15" s="19" t="n">
        <f aca="false">(I15-L15)*100</f>
        <v>16.7261904761905</v>
      </c>
      <c r="N15" s="8" t="str">
        <f aca="false">IF(ABS(M15)&lt;=5,"Razonar en línea con la meta",IF(M15&gt;0,"Más Razonar que la meta (revisar si la etiqueta está inflada)","Menos Razonar que la meta: faltan tareas de análisis y argumentación"))</f>
        <v>Más Razonar que la meta (revisar si la etiqueta está inflada)</v>
      </c>
    </row>
    <row r="16" customFormat="false" ht="15" hidden="false" customHeight="false" outlineLevel="0" collapsed="false">
      <c r="A16" s="8" t="s">
        <v>385</v>
      </c>
      <c r="B16" s="8" t="s">
        <v>384</v>
      </c>
      <c r="C16" s="8" t="n">
        <f aca="false">COUNTIFS(Temas_TIMSS!$V$5:$V$1264,$A16)</f>
        <v>97</v>
      </c>
      <c r="D16" s="17" t="n">
        <f aca="false">SUMIFS(Temas_TIMSS!$S$5:$S$1264,Temas_TIMSS!$V$5:$V$1264,$A16)</f>
        <v>12.5</v>
      </c>
      <c r="E16" s="17" t="n">
        <f aca="false">SUMIFS(Temas_TIMSS!$T$5:$T$1264,Temas_TIMSS!$V$5:$V$1264,$A16)</f>
        <v>39.5</v>
      </c>
      <c r="F16" s="17" t="n">
        <f aca="false">SUMIFS(Temas_TIMSS!$U$5:$U$1264,Temas_TIMSS!$V$5:$V$1264,$A16)</f>
        <v>45</v>
      </c>
      <c r="G16" s="10" t="n">
        <f aca="false">IF($C16=0,0,D16/$C16)</f>
        <v>0.128865979381443</v>
      </c>
      <c r="H16" s="10" t="n">
        <f aca="false">IF($C16=0,0,E16/$C16)</f>
        <v>0.407216494845361</v>
      </c>
      <c r="I16" s="10" t="n">
        <f aca="false">IF($C16=0,0,F16/$C16)</f>
        <v>0.463917525773196</v>
      </c>
      <c r="J16" s="16" t="n">
        <v>0.3</v>
      </c>
      <c r="K16" s="16" t="n">
        <v>0.4</v>
      </c>
      <c r="L16" s="16" t="n">
        <v>0.3</v>
      </c>
      <c r="M16" s="19" t="n">
        <f aca="false">(I16-L16)*100</f>
        <v>16.3917525773196</v>
      </c>
      <c r="N16" s="8" t="str">
        <f aca="false">IF(ABS(M16)&lt;=5,"Razonar en línea con la meta",IF(M16&gt;0,"Más Razonar que la meta (revisar si la etiqueta está inflada)","Menos Razonar que la meta: faltan tareas de análisis y argumentación"))</f>
        <v>Más Razonar que la meta (revisar si la etiqueta está inflada)</v>
      </c>
    </row>
    <row r="17" customFormat="false" ht="15" hidden="false" customHeight="false" outlineLevel="0" collapsed="false">
      <c r="A17" s="8" t="s">
        <v>386</v>
      </c>
      <c r="B17" s="8" t="s">
        <v>384</v>
      </c>
      <c r="C17" s="8" t="n">
        <f aca="false">COUNTIFS(Temas_TIMSS!$V$5:$V$1264,$A17)</f>
        <v>70</v>
      </c>
      <c r="D17" s="17" t="n">
        <f aca="false">SUMIFS(Temas_TIMSS!$S$5:$S$1264,Temas_TIMSS!$V$5:$V$1264,$A17)</f>
        <v>10.8333333333333</v>
      </c>
      <c r="E17" s="17" t="n">
        <f aca="false">SUMIFS(Temas_TIMSS!$T$5:$T$1264,Temas_TIMSS!$V$5:$V$1264,$A17)</f>
        <v>27.3333333333333</v>
      </c>
      <c r="F17" s="17" t="n">
        <f aca="false">SUMIFS(Temas_TIMSS!$U$5:$U$1264,Temas_TIMSS!$V$5:$V$1264,$A17)</f>
        <v>31.8333333333333</v>
      </c>
      <c r="G17" s="10" t="n">
        <f aca="false">IF($C17=0,0,D17/$C17)</f>
        <v>0.154761904761905</v>
      </c>
      <c r="H17" s="10" t="n">
        <f aca="false">IF($C17=0,0,E17/$C17)</f>
        <v>0.390476190476191</v>
      </c>
      <c r="I17" s="10" t="n">
        <f aca="false">IF($C17=0,0,F17/$C17)</f>
        <v>0.454761904761905</v>
      </c>
      <c r="J17" s="16" t="n">
        <v>0.3</v>
      </c>
      <c r="K17" s="16" t="n">
        <v>0.4</v>
      </c>
      <c r="L17" s="16" t="n">
        <v>0.3</v>
      </c>
      <c r="M17" s="19" t="n">
        <f aca="false">(I17-L17)*100</f>
        <v>15.4761904761905</v>
      </c>
      <c r="N17" s="8" t="str">
        <f aca="false">IF(ABS(M17)&lt;=5,"Razonar en línea con la meta",IF(M17&gt;0,"Más Razonar que la meta (revisar si la etiqueta está inflada)","Menos Razonar que la meta: faltan tareas de análisis y argumentación"))</f>
        <v>Más Razonar que la meta (revisar si la etiqueta está inflada)</v>
      </c>
    </row>
    <row r="18" customFormat="false" ht="15" hidden="false" customHeight="false" outlineLevel="0" collapsed="false">
      <c r="A18" s="8" t="s">
        <v>387</v>
      </c>
      <c r="B18" s="8" t="s">
        <v>384</v>
      </c>
      <c r="C18" s="8" t="n">
        <f aca="false">COUNTIFS(Temas_TIMSS!$V$5:$V$1264,$A18)</f>
        <v>92</v>
      </c>
      <c r="D18" s="17" t="n">
        <f aca="false">SUMIFS(Temas_TIMSS!$S$5:$S$1264,Temas_TIMSS!$V$5:$V$1264,$A18)</f>
        <v>19.3333333333333</v>
      </c>
      <c r="E18" s="17" t="n">
        <f aca="false">SUMIFS(Temas_TIMSS!$T$5:$T$1264,Temas_TIMSS!$V$5:$V$1264,$A18)</f>
        <v>32.8333333333333</v>
      </c>
      <c r="F18" s="17" t="n">
        <f aca="false">SUMIFS(Temas_TIMSS!$U$5:$U$1264,Temas_TIMSS!$V$5:$V$1264,$A18)</f>
        <v>39.8333333333333</v>
      </c>
      <c r="G18" s="10" t="n">
        <f aca="false">IF($C18=0,0,D18/$C18)</f>
        <v>0.210144927536232</v>
      </c>
      <c r="H18" s="10" t="n">
        <f aca="false">IF($C18=0,0,E18/$C18)</f>
        <v>0.356884057971015</v>
      </c>
      <c r="I18" s="10" t="n">
        <f aca="false">IF($C18=0,0,F18/$C18)</f>
        <v>0.432971014492754</v>
      </c>
      <c r="J18" s="16" t="n">
        <v>0.3</v>
      </c>
      <c r="K18" s="16" t="n">
        <v>0.4</v>
      </c>
      <c r="L18" s="16" t="n">
        <v>0.3</v>
      </c>
      <c r="M18" s="19" t="n">
        <f aca="false">(I18-L18)*100</f>
        <v>13.2971014492754</v>
      </c>
      <c r="N18" s="8" t="str">
        <f aca="false">IF(ABS(M18)&lt;=5,"Razonar en línea con la meta",IF(M18&gt;0,"Más Razonar que la meta (revisar si la etiqueta está inflada)","Menos Razonar que la meta: faltan tareas de análisis y argumentación"))</f>
        <v>Más Razonar que la meta (revisar si la etiqueta está inflada)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55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22"/>
    <col collapsed="false" customWidth="true" hidden="false" outlineLevel="0" max="14" min="14" style="0" width="32"/>
    <col collapsed="false" customWidth="true" hidden="false" outlineLevel="0" max="15" min="15" style="0" width="20"/>
    <col collapsed="false" customWidth="true" hidden="false" outlineLevel="0" max="16" min="16" style="0" width="10"/>
    <col collapsed="false" customWidth="true" hidden="false" outlineLevel="0" max="18" min="17" style="0" width="45"/>
    <col collapsed="false" customWidth="true" hidden="false" outlineLevel="0" max="21" min="19" style="0" width="9"/>
    <col collapsed="false" customWidth="true" hidden="false" outlineLevel="0" max="22" min="22" style="0" width="12"/>
    <col collapsed="false" customWidth="true" hidden="false" outlineLevel="0" max="23" min="23" style="0" width="15"/>
  </cols>
  <sheetData>
    <row r="1" customFormat="false" ht="17.35" hidden="false" customHeight="false" outlineLevel="0" collapsed="false">
      <c r="A1" s="5" t="s">
        <v>388</v>
      </c>
    </row>
    <row r="2" customFormat="false" ht="27.75" hidden="false" customHeight="true" outlineLevel="0" collapsed="false">
      <c r="A2" s="6" t="s">
        <v>389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4" customFormat="false" ht="42" hidden="false" customHeight="true" outlineLevel="0" collapsed="false">
      <c r="A4" s="7" t="s">
        <v>390</v>
      </c>
      <c r="B4" s="7" t="s">
        <v>391</v>
      </c>
      <c r="C4" s="7" t="s">
        <v>392</v>
      </c>
      <c r="D4" s="7" t="s">
        <v>393</v>
      </c>
      <c r="E4" s="7" t="s">
        <v>394</v>
      </c>
      <c r="F4" s="7" t="s">
        <v>395</v>
      </c>
      <c r="G4" s="7" t="s">
        <v>396</v>
      </c>
      <c r="H4" s="7" t="s">
        <v>397</v>
      </c>
      <c r="I4" s="7" t="s">
        <v>398</v>
      </c>
      <c r="J4" s="7" t="s">
        <v>100</v>
      </c>
      <c r="K4" s="7" t="s">
        <v>399</v>
      </c>
      <c r="L4" s="7" t="s">
        <v>400</v>
      </c>
      <c r="M4" s="7" t="s">
        <v>401</v>
      </c>
      <c r="N4" s="7" t="s">
        <v>402</v>
      </c>
      <c r="O4" s="7" t="s">
        <v>403</v>
      </c>
      <c r="P4" s="7" t="s">
        <v>404</v>
      </c>
      <c r="Q4" s="7" t="s">
        <v>405</v>
      </c>
      <c r="R4" s="7" t="s">
        <v>406</v>
      </c>
      <c r="S4" s="7" t="s">
        <v>407</v>
      </c>
      <c r="T4" s="7" t="s">
        <v>408</v>
      </c>
      <c r="U4" s="7" t="s">
        <v>409</v>
      </c>
      <c r="V4" s="7" t="s">
        <v>31</v>
      </c>
      <c r="W4" s="7" t="s">
        <v>58</v>
      </c>
    </row>
    <row r="5" customFormat="false" ht="15" hidden="false" customHeight="false" outlineLevel="0" collapsed="false">
      <c r="A5" s="8" t="s">
        <v>410</v>
      </c>
      <c r="B5" s="8" t="n">
        <v>2</v>
      </c>
      <c r="C5" s="8" t="s">
        <v>411</v>
      </c>
      <c r="D5" s="8" t="s">
        <v>412</v>
      </c>
      <c r="E5" s="8" t="s">
        <v>413</v>
      </c>
      <c r="F5" s="8" t="n">
        <v>3</v>
      </c>
      <c r="G5" s="8" t="s">
        <v>414</v>
      </c>
      <c r="H5" s="8" t="s">
        <v>415</v>
      </c>
      <c r="I5" s="27" t="s">
        <v>416</v>
      </c>
      <c r="J5" s="8" t="s">
        <v>109</v>
      </c>
      <c r="K5" s="8" t="s">
        <v>417</v>
      </c>
      <c r="L5" s="8"/>
      <c r="M5" s="8" t="str">
        <f aca="false">IF(K5="FUERA","Fuera del marco",IF(K5="N/A","Sin marco",IFERROR(INDEX(Catalogo_TIMSS!$C$5:$C$105,MATCH(K5,Catalogo_TIMSS!$A$5:$A$105,0)),"Pendiente de clasificar")))</f>
        <v>Fuera del marco</v>
      </c>
      <c r="N5" s="8" t="str">
        <f aca="false">IF(K5="FUERA","Fuera del marco",IF(K5="N/A","Sin marco",IFERROR(INDEX(Catalogo_TIMSS!$F$5:$F$105,MATCH(K5,Catalogo_TIMSS!$A$5:$A$105,0)),"Pendiente de clasificar")))</f>
        <v>Fuera del marco</v>
      </c>
      <c r="O5" s="8" t="str">
        <f aca="false">IF(L5="","",IFERROR(INDEX(Catalogo_TIMSS!$C$5:$C$105,MATCH(L5,Catalogo_TIMSS!$A$5:$A$105,0)),"?"))</f>
        <v/>
      </c>
      <c r="P5" s="8" t="s">
        <v>418</v>
      </c>
      <c r="Q5" s="27" t="s">
        <v>419</v>
      </c>
      <c r="R5" s="27" t="s">
        <v>420</v>
      </c>
      <c r="S5" s="28" t="n">
        <f aca="false">IFERROR(ISNUMBER(SEARCH("Conocer",$R5))/(ISNUMBER(SEARCH("Conocer",$R5))+ISNUMBER(SEARCH("Aplicar",$R5))+ISNUMBER(SEARCH("Razonar",$R5))),0)</f>
        <v>0.5</v>
      </c>
      <c r="T5" s="28" t="n">
        <f aca="false">IFERROR(ISNUMBER(SEARCH("Aplicar",$R5))/(ISNUMBER(SEARCH("Conocer",$R5))+ISNUMBER(SEARCH("Aplicar",$R5))+ISNUMBER(SEARCH("Razonar",$R5))),0)</f>
        <v>0.5</v>
      </c>
      <c r="U5" s="28" t="n">
        <f aca="false">IFERROR(ISNUMBER(SEARCH("Razonar",$R5))/(ISNUMBER(SEARCH("Conocer",$R5))+ISNUMBER(SEARCH("Aplicar",$R5))+ISNUMBER(SEARCH("Razonar",$R5))),0)</f>
        <v>0</v>
      </c>
      <c r="V5" s="8" t="s">
        <v>44</v>
      </c>
      <c r="W5" s="8" t="s">
        <v>66</v>
      </c>
    </row>
    <row r="6" customFormat="false" ht="15" hidden="false" customHeight="false" outlineLevel="0" collapsed="false">
      <c r="A6" s="8" t="s">
        <v>421</v>
      </c>
      <c r="B6" s="8" t="n">
        <v>2</v>
      </c>
      <c r="C6" s="8" t="s">
        <v>411</v>
      </c>
      <c r="D6" s="8" t="s">
        <v>412</v>
      </c>
      <c r="E6" s="8" t="s">
        <v>413</v>
      </c>
      <c r="F6" s="8" t="n">
        <v>4</v>
      </c>
      <c r="G6" s="8" t="s">
        <v>414</v>
      </c>
      <c r="H6" s="8" t="s">
        <v>415</v>
      </c>
      <c r="I6" s="27" t="s">
        <v>422</v>
      </c>
      <c r="J6" s="8" t="s">
        <v>109</v>
      </c>
      <c r="K6" s="8" t="s">
        <v>417</v>
      </c>
      <c r="L6" s="8"/>
      <c r="M6" s="8" t="str">
        <f aca="false">IF(K6="FUERA","Fuera del marco",IF(K6="N/A","Sin marco",IFERROR(INDEX(Catalogo_TIMSS!$C$5:$C$105,MATCH(K6,Catalogo_TIMSS!$A$5:$A$105,0)),"Pendiente de clasificar")))</f>
        <v>Fuera del marco</v>
      </c>
      <c r="N6" s="8" t="str">
        <f aca="false">IF(K6="FUERA","Fuera del marco",IF(K6="N/A","Sin marco",IFERROR(INDEX(Catalogo_TIMSS!$F$5:$F$105,MATCH(K6,Catalogo_TIMSS!$A$5:$A$105,0)),"Pendiente de clasificar")))</f>
        <v>Fuera del marco</v>
      </c>
      <c r="O6" s="8" t="str">
        <f aca="false">IF(L6="","",IFERROR(INDEX(Catalogo_TIMSS!$C$5:$C$105,MATCH(L6,Catalogo_TIMSS!$A$5:$A$105,0)),"?"))</f>
        <v/>
      </c>
      <c r="P6" s="8" t="s">
        <v>418</v>
      </c>
      <c r="Q6" s="27" t="s">
        <v>423</v>
      </c>
      <c r="R6" s="27" t="s">
        <v>424</v>
      </c>
      <c r="S6" s="28" t="n">
        <f aca="false">IFERROR(ISNUMBER(SEARCH("Conocer",$R6))/(ISNUMBER(SEARCH("Conocer",$R6))+ISNUMBER(SEARCH("Aplicar",$R6))+ISNUMBER(SEARCH("Razonar",$R6))),0)</f>
        <v>0.5</v>
      </c>
      <c r="T6" s="28" t="n">
        <f aca="false">IFERROR(ISNUMBER(SEARCH("Aplicar",$R6))/(ISNUMBER(SEARCH("Conocer",$R6))+ISNUMBER(SEARCH("Aplicar",$R6))+ISNUMBER(SEARCH("Razonar",$R6))),0)</f>
        <v>0.5</v>
      </c>
      <c r="U6" s="28" t="n">
        <f aca="false">IFERROR(ISNUMBER(SEARCH("Razonar",$R6))/(ISNUMBER(SEARCH("Conocer",$R6))+ISNUMBER(SEARCH("Aplicar",$R6))+ISNUMBER(SEARCH("Razonar",$R6))),0)</f>
        <v>0</v>
      </c>
      <c r="V6" s="8" t="s">
        <v>44</v>
      </c>
      <c r="W6" s="8" t="s">
        <v>66</v>
      </c>
    </row>
    <row r="7" customFormat="false" ht="15" hidden="false" customHeight="false" outlineLevel="0" collapsed="false">
      <c r="A7" s="8" t="s">
        <v>425</v>
      </c>
      <c r="B7" s="8" t="n">
        <v>2</v>
      </c>
      <c r="C7" s="8" t="s">
        <v>411</v>
      </c>
      <c r="D7" s="8" t="s">
        <v>412</v>
      </c>
      <c r="E7" s="8" t="s">
        <v>413</v>
      </c>
      <c r="F7" s="8" t="n">
        <v>5</v>
      </c>
      <c r="G7" s="8" t="s">
        <v>414</v>
      </c>
      <c r="H7" s="8" t="s">
        <v>426</v>
      </c>
      <c r="I7" s="27" t="s">
        <v>427</v>
      </c>
      <c r="J7" s="8" t="s">
        <v>109</v>
      </c>
      <c r="K7" s="8" t="s">
        <v>143</v>
      </c>
      <c r="L7" s="8"/>
      <c r="M7" s="8" t="str">
        <f aca="false">IF(K7="FUERA","Fuera del marco",IF(K7="N/A","Sin marco",IFERROR(INDEX(Catalogo_TIMSS!$C$5:$C$105,MATCH(K7,Catalogo_TIMSS!$A$5:$A$105,0)),"Pendiente de clasificar")))</f>
        <v>Ciencias físicas</v>
      </c>
      <c r="N7" s="8" t="str">
        <f aca="false">IF(K7="FUERA","Fuera del marco",IF(K7="N/A","Sin marco",IFERROR(INDEX(Catalogo_TIMSS!$F$5:$F$105,MATCH(K7,Catalogo_TIMSS!$A$5:$A$105,0)),"Pendiente de clasificar")))</f>
        <v>Clasificación y propiedades de la materia y sus cambios</v>
      </c>
      <c r="O7" s="8" t="str">
        <f aca="false">IF(L7="","",IFERROR(INDEX(Catalogo_TIMSS!$C$5:$C$105,MATCH(L7,Catalogo_TIMSS!$A$5:$A$105,0)),"?"))</f>
        <v/>
      </c>
      <c r="P7" s="8" t="s">
        <v>418</v>
      </c>
      <c r="Q7" s="27" t="s">
        <v>428</v>
      </c>
      <c r="R7" s="27" t="s">
        <v>429</v>
      </c>
      <c r="S7" s="28" t="n">
        <f aca="false">IFERROR(ISNUMBER(SEARCH("Conocer",$R7))/(ISNUMBER(SEARCH("Conocer",$R7))+ISNUMBER(SEARCH("Aplicar",$R7))+ISNUMBER(SEARCH("Razonar",$R7))),0)</f>
        <v>0</v>
      </c>
      <c r="T7" s="28" t="n">
        <f aca="false">IFERROR(ISNUMBER(SEARCH("Aplicar",$R7))/(ISNUMBER(SEARCH("Conocer",$R7))+ISNUMBER(SEARCH("Aplicar",$R7))+ISNUMBER(SEARCH("Razonar",$R7))),0)</f>
        <v>1</v>
      </c>
      <c r="U7" s="28" t="n">
        <f aca="false">IFERROR(ISNUMBER(SEARCH("Razonar",$R7))/(ISNUMBER(SEARCH("Conocer",$R7))+ISNUMBER(SEARCH("Aplicar",$R7))+ISNUMBER(SEARCH("Razonar",$R7))),0)</f>
        <v>0</v>
      </c>
      <c r="V7" s="8" t="s">
        <v>44</v>
      </c>
      <c r="W7" s="8" t="s">
        <v>66</v>
      </c>
    </row>
    <row r="8" customFormat="false" ht="15" hidden="false" customHeight="false" outlineLevel="0" collapsed="false">
      <c r="A8" s="8" t="s">
        <v>430</v>
      </c>
      <c r="B8" s="8" t="n">
        <v>2</v>
      </c>
      <c r="C8" s="8" t="s">
        <v>411</v>
      </c>
      <c r="D8" s="8" t="s">
        <v>412</v>
      </c>
      <c r="E8" s="8" t="s">
        <v>413</v>
      </c>
      <c r="F8" s="8" t="n">
        <v>6</v>
      </c>
      <c r="G8" s="8" t="s">
        <v>414</v>
      </c>
      <c r="H8" s="8" t="s">
        <v>426</v>
      </c>
      <c r="I8" s="27" t="s">
        <v>431</v>
      </c>
      <c r="J8" s="8" t="s">
        <v>109</v>
      </c>
      <c r="K8" s="8" t="s">
        <v>143</v>
      </c>
      <c r="L8" s="8"/>
      <c r="M8" s="8" t="str">
        <f aca="false">IF(K8="FUERA","Fuera del marco",IF(K8="N/A","Sin marco",IFERROR(INDEX(Catalogo_TIMSS!$C$5:$C$105,MATCH(K8,Catalogo_TIMSS!$A$5:$A$105,0)),"Pendiente de clasificar")))</f>
        <v>Ciencias físicas</v>
      </c>
      <c r="N8" s="8" t="str">
        <f aca="false">IF(K8="FUERA","Fuera del marco",IF(K8="N/A","Sin marco",IFERROR(INDEX(Catalogo_TIMSS!$F$5:$F$105,MATCH(K8,Catalogo_TIMSS!$A$5:$A$105,0)),"Pendiente de clasificar")))</f>
        <v>Clasificación y propiedades de la materia y sus cambios</v>
      </c>
      <c r="O8" s="8" t="str">
        <f aca="false">IF(L8="","",IFERROR(INDEX(Catalogo_TIMSS!$C$5:$C$105,MATCH(L8,Catalogo_TIMSS!$A$5:$A$105,0)),"?"))</f>
        <v/>
      </c>
      <c r="P8" s="8" t="s">
        <v>418</v>
      </c>
      <c r="Q8" s="27" t="s">
        <v>432</v>
      </c>
      <c r="R8" s="27" t="s">
        <v>433</v>
      </c>
      <c r="S8" s="28" t="n">
        <f aca="false">IFERROR(ISNUMBER(SEARCH("Conocer",$R8))/(ISNUMBER(SEARCH("Conocer",$R8))+ISNUMBER(SEARCH("Aplicar",$R8))+ISNUMBER(SEARCH("Razonar",$R8))),0)</f>
        <v>0.5</v>
      </c>
      <c r="T8" s="28" t="n">
        <f aca="false">IFERROR(ISNUMBER(SEARCH("Aplicar",$R8))/(ISNUMBER(SEARCH("Conocer",$R8))+ISNUMBER(SEARCH("Aplicar",$R8))+ISNUMBER(SEARCH("Razonar",$R8))),0)</f>
        <v>0.5</v>
      </c>
      <c r="U8" s="28" t="n">
        <f aca="false">IFERROR(ISNUMBER(SEARCH("Razonar",$R8))/(ISNUMBER(SEARCH("Conocer",$R8))+ISNUMBER(SEARCH("Aplicar",$R8))+ISNUMBER(SEARCH("Razonar",$R8))),0)</f>
        <v>0</v>
      </c>
      <c r="V8" s="8" t="s">
        <v>44</v>
      </c>
      <c r="W8" s="8" t="s">
        <v>66</v>
      </c>
    </row>
    <row r="9" customFormat="false" ht="15" hidden="false" customHeight="false" outlineLevel="0" collapsed="false">
      <c r="A9" s="8" t="s">
        <v>434</v>
      </c>
      <c r="B9" s="8" t="n">
        <v>2</v>
      </c>
      <c r="C9" s="8" t="s">
        <v>411</v>
      </c>
      <c r="D9" s="8" t="s">
        <v>412</v>
      </c>
      <c r="E9" s="8" t="s">
        <v>413</v>
      </c>
      <c r="F9" s="8" t="n">
        <v>7</v>
      </c>
      <c r="G9" s="8" t="s">
        <v>414</v>
      </c>
      <c r="H9" s="8" t="s">
        <v>426</v>
      </c>
      <c r="I9" s="27" t="s">
        <v>435</v>
      </c>
      <c r="J9" s="8" t="s">
        <v>109</v>
      </c>
      <c r="K9" s="8" t="s">
        <v>143</v>
      </c>
      <c r="L9" s="8"/>
      <c r="M9" s="8" t="str">
        <f aca="false">IF(K9="FUERA","Fuera del marco",IF(K9="N/A","Sin marco",IFERROR(INDEX(Catalogo_TIMSS!$C$5:$C$105,MATCH(K9,Catalogo_TIMSS!$A$5:$A$105,0)),"Pendiente de clasificar")))</f>
        <v>Ciencias físicas</v>
      </c>
      <c r="N9" s="8" t="str">
        <f aca="false">IF(K9="FUERA","Fuera del marco",IF(K9="N/A","Sin marco",IFERROR(INDEX(Catalogo_TIMSS!$F$5:$F$105,MATCH(K9,Catalogo_TIMSS!$A$5:$A$105,0)),"Pendiente de clasificar")))</f>
        <v>Clasificación y propiedades de la materia y sus cambios</v>
      </c>
      <c r="O9" s="8" t="str">
        <f aca="false">IF(L9="","",IFERROR(INDEX(Catalogo_TIMSS!$C$5:$C$105,MATCH(L9,Catalogo_TIMSS!$A$5:$A$105,0)),"?"))</f>
        <v/>
      </c>
      <c r="P9" s="8" t="s">
        <v>418</v>
      </c>
      <c r="Q9" s="27" t="s">
        <v>436</v>
      </c>
      <c r="R9" s="27" t="s">
        <v>437</v>
      </c>
      <c r="S9" s="28" t="n">
        <f aca="false">IFERROR(ISNUMBER(SEARCH("Conocer",$R9))/(ISNUMBER(SEARCH("Conocer",$R9))+ISNUMBER(SEARCH("Aplicar",$R9))+ISNUMBER(SEARCH("Razonar",$R9))),0)</f>
        <v>0</v>
      </c>
      <c r="T9" s="28" t="n">
        <f aca="false">IFERROR(ISNUMBER(SEARCH("Aplicar",$R9))/(ISNUMBER(SEARCH("Conocer",$R9))+ISNUMBER(SEARCH("Aplicar",$R9))+ISNUMBER(SEARCH("Razonar",$R9))),0)</f>
        <v>0.5</v>
      </c>
      <c r="U9" s="28" t="n">
        <f aca="false">IFERROR(ISNUMBER(SEARCH("Razonar",$R9))/(ISNUMBER(SEARCH("Conocer",$R9))+ISNUMBER(SEARCH("Aplicar",$R9))+ISNUMBER(SEARCH("Razonar",$R9))),0)</f>
        <v>0.5</v>
      </c>
      <c r="V9" s="8" t="s">
        <v>44</v>
      </c>
      <c r="W9" s="8" t="s">
        <v>66</v>
      </c>
    </row>
    <row r="10" customFormat="false" ht="15" hidden="false" customHeight="false" outlineLevel="0" collapsed="false">
      <c r="A10" s="8" t="s">
        <v>438</v>
      </c>
      <c r="B10" s="8" t="n">
        <v>2</v>
      </c>
      <c r="C10" s="8" t="s">
        <v>411</v>
      </c>
      <c r="D10" s="8" t="s">
        <v>412</v>
      </c>
      <c r="E10" s="8" t="s">
        <v>413</v>
      </c>
      <c r="F10" s="8" t="n">
        <v>8</v>
      </c>
      <c r="G10" s="8" t="s">
        <v>414</v>
      </c>
      <c r="H10" s="8" t="s">
        <v>439</v>
      </c>
      <c r="I10" s="27" t="s">
        <v>440</v>
      </c>
      <c r="J10" s="8" t="s">
        <v>109</v>
      </c>
      <c r="K10" s="8" t="s">
        <v>149</v>
      </c>
      <c r="L10" s="8"/>
      <c r="M10" s="8" t="str">
        <f aca="false">IF(K10="FUERA","Fuera del marco",IF(K10="N/A","Sin marco",IFERROR(INDEX(Catalogo_TIMSS!$C$5:$C$105,MATCH(K10,Catalogo_TIMSS!$A$5:$A$105,0)),"Pendiente de clasificar")))</f>
        <v>Ciencias físicas</v>
      </c>
      <c r="N10" s="8" t="str">
        <f aca="false">IF(K10="FUERA","Fuera del marco",IF(K10="N/A","Sin marco",IFERROR(INDEX(Catalogo_TIMSS!$F$5:$F$105,MATCH(K10,Catalogo_TIMSS!$A$5:$A$105,0)),"Pendiente de clasificar")))</f>
        <v>Clasificación y propiedades de la materia y sus cambios</v>
      </c>
      <c r="O10" s="8" t="str">
        <f aca="false">IF(L10="","",IFERROR(INDEX(Catalogo_TIMSS!$C$5:$C$105,MATCH(L10,Catalogo_TIMSS!$A$5:$A$105,0)),"?"))</f>
        <v/>
      </c>
      <c r="P10" s="8" t="s">
        <v>418</v>
      </c>
      <c r="Q10" s="27" t="s">
        <v>441</v>
      </c>
      <c r="R10" s="27" t="s">
        <v>442</v>
      </c>
      <c r="S10" s="28" t="n">
        <f aca="false">IFERROR(ISNUMBER(SEARCH("Conocer",$R10))/(ISNUMBER(SEARCH("Conocer",$R10))+ISNUMBER(SEARCH("Aplicar",$R10))+ISNUMBER(SEARCH("Razonar",$R10))),0)</f>
        <v>1</v>
      </c>
      <c r="T10" s="28" t="n">
        <f aca="false">IFERROR(ISNUMBER(SEARCH("Aplicar",$R10))/(ISNUMBER(SEARCH("Conocer",$R10))+ISNUMBER(SEARCH("Aplicar",$R10))+ISNUMBER(SEARCH("Razonar",$R10))),0)</f>
        <v>0</v>
      </c>
      <c r="U10" s="28" t="n">
        <f aca="false">IFERROR(ISNUMBER(SEARCH("Razonar",$R10))/(ISNUMBER(SEARCH("Conocer",$R10))+ISNUMBER(SEARCH("Aplicar",$R10))+ISNUMBER(SEARCH("Razonar",$R10))),0)</f>
        <v>0</v>
      </c>
      <c r="V10" s="8" t="s">
        <v>44</v>
      </c>
      <c r="W10" s="8" t="s">
        <v>66</v>
      </c>
    </row>
    <row r="11" customFormat="false" ht="15" hidden="false" customHeight="false" outlineLevel="0" collapsed="false">
      <c r="A11" s="8" t="s">
        <v>443</v>
      </c>
      <c r="B11" s="8" t="n">
        <v>2</v>
      </c>
      <c r="C11" s="8" t="s">
        <v>411</v>
      </c>
      <c r="D11" s="8" t="s">
        <v>412</v>
      </c>
      <c r="E11" s="8" t="s">
        <v>413</v>
      </c>
      <c r="F11" s="8" t="n">
        <v>9</v>
      </c>
      <c r="G11" s="8" t="s">
        <v>414</v>
      </c>
      <c r="H11" s="8" t="s">
        <v>439</v>
      </c>
      <c r="I11" s="27" t="s">
        <v>444</v>
      </c>
      <c r="J11" s="8" t="s">
        <v>109</v>
      </c>
      <c r="K11" s="8" t="s">
        <v>149</v>
      </c>
      <c r="L11" s="8"/>
      <c r="M11" s="8" t="str">
        <f aca="false">IF(K11="FUERA","Fuera del marco",IF(K11="N/A","Sin marco",IFERROR(INDEX(Catalogo_TIMSS!$C$5:$C$105,MATCH(K11,Catalogo_TIMSS!$A$5:$A$105,0)),"Pendiente de clasificar")))</f>
        <v>Ciencias físicas</v>
      </c>
      <c r="N11" s="8" t="str">
        <f aca="false">IF(K11="FUERA","Fuera del marco",IF(K11="N/A","Sin marco",IFERROR(INDEX(Catalogo_TIMSS!$F$5:$F$105,MATCH(K11,Catalogo_TIMSS!$A$5:$A$105,0)),"Pendiente de clasificar")))</f>
        <v>Clasificación y propiedades de la materia y sus cambios</v>
      </c>
      <c r="O11" s="8" t="str">
        <f aca="false">IF(L11="","",IFERROR(INDEX(Catalogo_TIMSS!$C$5:$C$105,MATCH(L11,Catalogo_TIMSS!$A$5:$A$105,0)),"?"))</f>
        <v/>
      </c>
      <c r="P11" s="8" t="s">
        <v>418</v>
      </c>
      <c r="Q11" s="27" t="s">
        <v>445</v>
      </c>
      <c r="R11" s="27" t="s">
        <v>446</v>
      </c>
      <c r="S11" s="28" t="n">
        <f aca="false">IFERROR(ISNUMBER(SEARCH("Conocer",$R11))/(ISNUMBER(SEARCH("Conocer",$R11))+ISNUMBER(SEARCH("Aplicar",$R11))+ISNUMBER(SEARCH("Razonar",$R11))),0)</f>
        <v>0</v>
      </c>
      <c r="T11" s="28" t="n">
        <f aca="false">IFERROR(ISNUMBER(SEARCH("Aplicar",$R11))/(ISNUMBER(SEARCH("Conocer",$R11))+ISNUMBER(SEARCH("Aplicar",$R11))+ISNUMBER(SEARCH("Razonar",$R11))),0)</f>
        <v>0</v>
      </c>
      <c r="U11" s="28" t="n">
        <f aca="false">IFERROR(ISNUMBER(SEARCH("Razonar",$R11))/(ISNUMBER(SEARCH("Conocer",$R11))+ISNUMBER(SEARCH("Aplicar",$R11))+ISNUMBER(SEARCH("Razonar",$R11))),0)</f>
        <v>1</v>
      </c>
      <c r="V11" s="8" t="s">
        <v>44</v>
      </c>
      <c r="W11" s="8" t="s">
        <v>66</v>
      </c>
    </row>
    <row r="12" customFormat="false" ht="15" hidden="false" customHeight="false" outlineLevel="0" collapsed="false">
      <c r="A12" s="8" t="s">
        <v>447</v>
      </c>
      <c r="B12" s="8" t="n">
        <v>2</v>
      </c>
      <c r="C12" s="8" t="s">
        <v>411</v>
      </c>
      <c r="D12" s="8" t="s">
        <v>412</v>
      </c>
      <c r="E12" s="8" t="s">
        <v>413</v>
      </c>
      <c r="F12" s="8" t="n">
        <v>10</v>
      </c>
      <c r="G12" s="8" t="s">
        <v>414</v>
      </c>
      <c r="H12" s="8" t="s">
        <v>448</v>
      </c>
      <c r="I12" s="27" t="s">
        <v>449</v>
      </c>
      <c r="J12" s="8" t="s">
        <v>109</v>
      </c>
      <c r="K12" s="8" t="s">
        <v>147</v>
      </c>
      <c r="L12" s="8" t="s">
        <v>140</v>
      </c>
      <c r="M12" s="8" t="str">
        <f aca="false">IF(K12="FUERA","Fuera del marco",IF(K12="N/A","Sin marco",IFERROR(INDEX(Catalogo_TIMSS!$C$5:$C$105,MATCH(K12,Catalogo_TIMSS!$A$5:$A$105,0)),"Pendiente de clasificar")))</f>
        <v>Ciencias físicas</v>
      </c>
      <c r="N12" s="8" t="str">
        <f aca="false">IF(K12="FUERA","Fuera del marco",IF(K12="N/A","Sin marco",IFERROR(INDEX(Catalogo_TIMSS!$F$5:$F$105,MATCH(K12,Catalogo_TIMSS!$A$5:$A$105,0)),"Pendiente de clasificar")))</f>
        <v>Clasificación y propiedades de la materia y sus cambios</v>
      </c>
      <c r="O12" s="8" t="str">
        <f aca="false">IF(L12="","",IFERROR(INDEX(Catalogo_TIMSS!$C$5:$C$105,MATCH(L12,Catalogo_TIMSS!$A$5:$A$105,0)),"?"))</f>
        <v>Ciencias físicas</v>
      </c>
      <c r="P12" s="8" t="s">
        <v>418</v>
      </c>
      <c r="Q12" s="27" t="s">
        <v>450</v>
      </c>
      <c r="R12" s="27" t="s">
        <v>451</v>
      </c>
      <c r="S12" s="28" t="n">
        <f aca="false">IFERROR(ISNUMBER(SEARCH("Conocer",$R12))/(ISNUMBER(SEARCH("Conocer",$R12))+ISNUMBER(SEARCH("Aplicar",$R12))+ISNUMBER(SEARCH("Razonar",$R12))),0)</f>
        <v>0</v>
      </c>
      <c r="T12" s="28" t="n">
        <f aca="false">IFERROR(ISNUMBER(SEARCH("Aplicar",$R12))/(ISNUMBER(SEARCH("Conocer",$R12))+ISNUMBER(SEARCH("Aplicar",$R12))+ISNUMBER(SEARCH("Razonar",$R12))),0)</f>
        <v>1</v>
      </c>
      <c r="U12" s="28" t="n">
        <f aca="false">IFERROR(ISNUMBER(SEARCH("Razonar",$R12))/(ISNUMBER(SEARCH("Conocer",$R12))+ISNUMBER(SEARCH("Aplicar",$R12))+ISNUMBER(SEARCH("Razonar",$R12))),0)</f>
        <v>0</v>
      </c>
      <c r="V12" s="8" t="s">
        <v>44</v>
      </c>
      <c r="W12" s="8" t="s">
        <v>66</v>
      </c>
    </row>
    <row r="13" customFormat="false" ht="15" hidden="false" customHeight="false" outlineLevel="0" collapsed="false">
      <c r="A13" s="8" t="s">
        <v>452</v>
      </c>
      <c r="B13" s="8" t="n">
        <v>2</v>
      </c>
      <c r="C13" s="8" t="s">
        <v>411</v>
      </c>
      <c r="D13" s="8" t="s">
        <v>412</v>
      </c>
      <c r="E13" s="8" t="s">
        <v>413</v>
      </c>
      <c r="F13" s="8" t="n">
        <v>11</v>
      </c>
      <c r="G13" s="8" t="s">
        <v>414</v>
      </c>
      <c r="H13" s="8" t="s">
        <v>453</v>
      </c>
      <c r="I13" s="27" t="s">
        <v>454</v>
      </c>
      <c r="J13" s="8" t="s">
        <v>109</v>
      </c>
      <c r="K13" s="8" t="s">
        <v>143</v>
      </c>
      <c r="L13" s="8"/>
      <c r="M13" s="8" t="str">
        <f aca="false">IF(K13="FUERA","Fuera del marco",IF(K13="N/A","Sin marco",IFERROR(INDEX(Catalogo_TIMSS!$C$5:$C$105,MATCH(K13,Catalogo_TIMSS!$A$5:$A$105,0)),"Pendiente de clasificar")))</f>
        <v>Ciencias físicas</v>
      </c>
      <c r="N13" s="8" t="str">
        <f aca="false">IF(K13="FUERA","Fuera del marco",IF(K13="N/A","Sin marco",IFERROR(INDEX(Catalogo_TIMSS!$F$5:$F$105,MATCH(K13,Catalogo_TIMSS!$A$5:$A$105,0)),"Pendiente de clasificar")))</f>
        <v>Clasificación y propiedades de la materia y sus cambios</v>
      </c>
      <c r="O13" s="8" t="str">
        <f aca="false">IF(L13="","",IFERROR(INDEX(Catalogo_TIMSS!$C$5:$C$105,MATCH(L13,Catalogo_TIMSS!$A$5:$A$105,0)),"?"))</f>
        <v/>
      </c>
      <c r="P13" s="8" t="s">
        <v>418</v>
      </c>
      <c r="Q13" s="27" t="s">
        <v>455</v>
      </c>
      <c r="R13" s="27" t="s">
        <v>456</v>
      </c>
      <c r="S13" s="28" t="n">
        <f aca="false">IFERROR(ISNUMBER(SEARCH("Conocer",$R13))/(ISNUMBER(SEARCH("Conocer",$R13))+ISNUMBER(SEARCH("Aplicar",$R13))+ISNUMBER(SEARCH("Razonar",$R13))),0)</f>
        <v>0</v>
      </c>
      <c r="T13" s="28" t="n">
        <f aca="false">IFERROR(ISNUMBER(SEARCH("Aplicar",$R13))/(ISNUMBER(SEARCH("Conocer",$R13))+ISNUMBER(SEARCH("Aplicar",$R13))+ISNUMBER(SEARCH("Razonar",$R13))),0)</f>
        <v>0.5</v>
      </c>
      <c r="U13" s="28" t="n">
        <f aca="false">IFERROR(ISNUMBER(SEARCH("Razonar",$R13))/(ISNUMBER(SEARCH("Conocer",$R13))+ISNUMBER(SEARCH("Aplicar",$R13))+ISNUMBER(SEARCH("Razonar",$R13))),0)</f>
        <v>0.5</v>
      </c>
      <c r="V13" s="8" t="s">
        <v>44</v>
      </c>
      <c r="W13" s="8" t="s">
        <v>66</v>
      </c>
    </row>
    <row r="14" customFormat="false" ht="15" hidden="false" customHeight="false" outlineLevel="0" collapsed="false">
      <c r="A14" s="8" t="s">
        <v>457</v>
      </c>
      <c r="B14" s="8" t="n">
        <v>2</v>
      </c>
      <c r="C14" s="8" t="s">
        <v>411</v>
      </c>
      <c r="D14" s="8" t="s">
        <v>412</v>
      </c>
      <c r="E14" s="8" t="s">
        <v>413</v>
      </c>
      <c r="F14" s="8" t="n">
        <v>12</v>
      </c>
      <c r="G14" s="8" t="s">
        <v>414</v>
      </c>
      <c r="H14" s="8" t="s">
        <v>458</v>
      </c>
      <c r="I14" s="27" t="s">
        <v>459</v>
      </c>
      <c r="J14" s="8" t="s">
        <v>109</v>
      </c>
      <c r="K14" s="8" t="s">
        <v>143</v>
      </c>
      <c r="L14" s="8"/>
      <c r="M14" s="8" t="str">
        <f aca="false">IF(K14="FUERA","Fuera del marco",IF(K14="N/A","Sin marco",IFERROR(INDEX(Catalogo_TIMSS!$C$5:$C$105,MATCH(K14,Catalogo_TIMSS!$A$5:$A$105,0)),"Pendiente de clasificar")))</f>
        <v>Ciencias físicas</v>
      </c>
      <c r="N14" s="8" t="str">
        <f aca="false">IF(K14="FUERA","Fuera del marco",IF(K14="N/A","Sin marco",IFERROR(INDEX(Catalogo_TIMSS!$F$5:$F$105,MATCH(K14,Catalogo_TIMSS!$A$5:$A$105,0)),"Pendiente de clasificar")))</f>
        <v>Clasificación y propiedades de la materia y sus cambios</v>
      </c>
      <c r="O14" s="8" t="str">
        <f aca="false">IF(L14="","",IFERROR(INDEX(Catalogo_TIMSS!$C$5:$C$105,MATCH(L14,Catalogo_TIMSS!$A$5:$A$105,0)),"?"))</f>
        <v/>
      </c>
      <c r="P14" s="8" t="s">
        <v>460</v>
      </c>
      <c r="Q14" s="27" t="s">
        <v>461</v>
      </c>
      <c r="R14" s="27" t="s">
        <v>462</v>
      </c>
      <c r="S14" s="28" t="n">
        <f aca="false">IFERROR(ISNUMBER(SEARCH("Conocer",$R14))/(ISNUMBER(SEARCH("Conocer",$R14))+ISNUMBER(SEARCH("Aplicar",$R14))+ISNUMBER(SEARCH("Razonar",$R14))),0)</f>
        <v>0</v>
      </c>
      <c r="T14" s="28" t="n">
        <f aca="false">IFERROR(ISNUMBER(SEARCH("Aplicar",$R14))/(ISNUMBER(SEARCH("Conocer",$R14))+ISNUMBER(SEARCH("Aplicar",$R14))+ISNUMBER(SEARCH("Razonar",$R14))),0)</f>
        <v>0</v>
      </c>
      <c r="U14" s="28" t="n">
        <f aca="false">IFERROR(ISNUMBER(SEARCH("Razonar",$R14))/(ISNUMBER(SEARCH("Conocer",$R14))+ISNUMBER(SEARCH("Aplicar",$R14))+ISNUMBER(SEARCH("Razonar",$R14))),0)</f>
        <v>1</v>
      </c>
      <c r="V14" s="8" t="s">
        <v>44</v>
      </c>
      <c r="W14" s="8" t="s">
        <v>66</v>
      </c>
    </row>
    <row r="15" customFormat="false" ht="15" hidden="false" customHeight="false" outlineLevel="0" collapsed="false">
      <c r="A15" s="8" t="s">
        <v>463</v>
      </c>
      <c r="B15" s="8" t="n">
        <v>2</v>
      </c>
      <c r="C15" s="8" t="s">
        <v>411</v>
      </c>
      <c r="D15" s="8" t="s">
        <v>412</v>
      </c>
      <c r="E15" s="8" t="s">
        <v>413</v>
      </c>
      <c r="F15" s="8" t="n">
        <v>13</v>
      </c>
      <c r="G15" s="8" t="s">
        <v>414</v>
      </c>
      <c r="H15" s="8" t="s">
        <v>464</v>
      </c>
      <c r="I15" s="27" t="s">
        <v>465</v>
      </c>
      <c r="J15" s="8" t="s">
        <v>109</v>
      </c>
      <c r="K15" s="8" t="s">
        <v>143</v>
      </c>
      <c r="L15" s="8" t="s">
        <v>168</v>
      </c>
      <c r="M15" s="8" t="str">
        <f aca="false">IF(K15="FUERA","Fuera del marco",IF(K15="N/A","Sin marco",IFERROR(INDEX(Catalogo_TIMSS!$C$5:$C$105,MATCH(K15,Catalogo_TIMSS!$A$5:$A$105,0)),"Pendiente de clasificar")))</f>
        <v>Ciencias físicas</v>
      </c>
      <c r="N15" s="8" t="str">
        <f aca="false">IF(K15="FUERA","Fuera del marco",IF(K15="N/A","Sin marco",IFERROR(INDEX(Catalogo_TIMSS!$F$5:$F$105,MATCH(K15,Catalogo_TIMSS!$A$5:$A$105,0)),"Pendiente de clasificar")))</f>
        <v>Clasificación y propiedades de la materia y sus cambios</v>
      </c>
      <c r="O15" s="8" t="str">
        <f aca="false">IF(L15="","",IFERROR(INDEX(Catalogo_TIMSS!$C$5:$C$105,MATCH(L15,Catalogo_TIMSS!$A$5:$A$105,0)),"?"))</f>
        <v>Ciencias de la Tierra</v>
      </c>
      <c r="P15" s="8" t="s">
        <v>460</v>
      </c>
      <c r="Q15" s="27" t="s">
        <v>466</v>
      </c>
      <c r="R15" s="27" t="s">
        <v>467</v>
      </c>
      <c r="S15" s="28" t="n">
        <f aca="false">IFERROR(ISNUMBER(SEARCH("Conocer",$R15))/(ISNUMBER(SEARCH("Conocer",$R15))+ISNUMBER(SEARCH("Aplicar",$R15))+ISNUMBER(SEARCH("Razonar",$R15))),0)</f>
        <v>0</v>
      </c>
      <c r="T15" s="28" t="n">
        <f aca="false">IFERROR(ISNUMBER(SEARCH("Aplicar",$R15))/(ISNUMBER(SEARCH("Conocer",$R15))+ISNUMBER(SEARCH("Aplicar",$R15))+ISNUMBER(SEARCH("Razonar",$R15))),0)</f>
        <v>0.5</v>
      </c>
      <c r="U15" s="28" t="n">
        <f aca="false">IFERROR(ISNUMBER(SEARCH("Razonar",$R15))/(ISNUMBER(SEARCH("Conocer",$R15))+ISNUMBER(SEARCH("Aplicar",$R15))+ISNUMBER(SEARCH("Razonar",$R15))),0)</f>
        <v>0.5</v>
      </c>
      <c r="V15" s="8" t="s">
        <v>44</v>
      </c>
      <c r="W15" s="8" t="s">
        <v>66</v>
      </c>
    </row>
    <row r="16" customFormat="false" ht="15" hidden="false" customHeight="false" outlineLevel="0" collapsed="false">
      <c r="A16" s="8" t="s">
        <v>468</v>
      </c>
      <c r="B16" s="8" t="n">
        <v>2</v>
      </c>
      <c r="C16" s="8" t="s">
        <v>411</v>
      </c>
      <c r="D16" s="8" t="s">
        <v>412</v>
      </c>
      <c r="E16" s="8" t="s">
        <v>469</v>
      </c>
      <c r="F16" s="8" t="n">
        <v>3</v>
      </c>
      <c r="G16" s="8" t="s">
        <v>470</v>
      </c>
      <c r="H16" s="8" t="s">
        <v>471</v>
      </c>
      <c r="I16" s="27" t="s">
        <v>472</v>
      </c>
      <c r="J16" s="8" t="s">
        <v>109</v>
      </c>
      <c r="K16" s="8" t="s">
        <v>151</v>
      </c>
      <c r="L16" s="8"/>
      <c r="M16" s="8" t="str">
        <f aca="false">IF(K16="FUERA","Fuera del marco",IF(K16="N/A","Sin marco",IFERROR(INDEX(Catalogo_TIMSS!$C$5:$C$105,MATCH(K16,Catalogo_TIMSS!$A$5:$A$105,0)),"Pendiente de clasificar")))</f>
        <v>Ciencias físicas</v>
      </c>
      <c r="N16" s="8" t="str">
        <f aca="false">IF(K16="FUERA","Fuera del marco",IF(K16="N/A","Sin marco",IFERROR(INDEX(Catalogo_TIMSS!$F$5:$F$105,MATCH(K16,Catalogo_TIMSS!$A$5:$A$105,0)),"Pendiente de clasificar")))</f>
        <v>Formas de energía y transferencia de energía</v>
      </c>
      <c r="O16" s="8" t="str">
        <f aca="false">IF(L16="","",IFERROR(INDEX(Catalogo_TIMSS!$C$5:$C$105,MATCH(L16,Catalogo_TIMSS!$A$5:$A$105,0)),"?"))</f>
        <v/>
      </c>
      <c r="P16" s="8" t="s">
        <v>460</v>
      </c>
      <c r="Q16" s="27" t="s">
        <v>473</v>
      </c>
      <c r="R16" s="27" t="s">
        <v>474</v>
      </c>
      <c r="S16" s="28" t="n">
        <f aca="false">IFERROR(ISNUMBER(SEARCH("Conocer",$R16))/(ISNUMBER(SEARCH("Conocer",$R16))+ISNUMBER(SEARCH("Aplicar",$R16))+ISNUMBER(SEARCH("Razonar",$R16))),0)</f>
        <v>1</v>
      </c>
      <c r="T16" s="28" t="n">
        <f aca="false">IFERROR(ISNUMBER(SEARCH("Aplicar",$R16))/(ISNUMBER(SEARCH("Conocer",$R16))+ISNUMBER(SEARCH("Aplicar",$R16))+ISNUMBER(SEARCH("Razonar",$R16))),0)</f>
        <v>0</v>
      </c>
      <c r="U16" s="28" t="n">
        <f aca="false">IFERROR(ISNUMBER(SEARCH("Razonar",$R16))/(ISNUMBER(SEARCH("Conocer",$R16))+ISNUMBER(SEARCH("Aplicar",$R16))+ISNUMBER(SEARCH("Razonar",$R16))),0)</f>
        <v>0</v>
      </c>
      <c r="V16" s="8" t="s">
        <v>44</v>
      </c>
      <c r="W16" s="8" t="s">
        <v>66</v>
      </c>
    </row>
    <row r="17" customFormat="false" ht="15" hidden="false" customHeight="false" outlineLevel="0" collapsed="false">
      <c r="A17" s="8" t="s">
        <v>475</v>
      </c>
      <c r="B17" s="8" t="n">
        <v>2</v>
      </c>
      <c r="C17" s="8" t="s">
        <v>411</v>
      </c>
      <c r="D17" s="8" t="s">
        <v>412</v>
      </c>
      <c r="E17" s="8" t="s">
        <v>469</v>
      </c>
      <c r="F17" s="8" t="n">
        <v>4</v>
      </c>
      <c r="G17" s="8" t="s">
        <v>470</v>
      </c>
      <c r="H17" s="8" t="s">
        <v>476</v>
      </c>
      <c r="I17" s="27" t="s">
        <v>477</v>
      </c>
      <c r="J17" s="8" t="s">
        <v>109</v>
      </c>
      <c r="K17" s="8" t="s">
        <v>160</v>
      </c>
      <c r="L17" s="8"/>
      <c r="M17" s="8" t="str">
        <f aca="false">IF(K17="FUERA","Fuera del marco",IF(K17="N/A","Sin marco",IFERROR(INDEX(Catalogo_TIMSS!$C$5:$C$105,MATCH(K17,Catalogo_TIMSS!$A$5:$A$105,0)),"Pendiente de clasificar")))</f>
        <v>Ciencias físicas</v>
      </c>
      <c r="N17" s="8" t="str">
        <f aca="false">IF(K17="FUERA","Fuera del marco",IF(K17="N/A","Sin marco",IFERROR(INDEX(Catalogo_TIMSS!$F$5:$F$105,MATCH(K17,Catalogo_TIMSS!$A$5:$A$105,0)),"Pendiente de clasificar")))</f>
        <v>Fuerzas y movimiento</v>
      </c>
      <c r="O17" s="8" t="str">
        <f aca="false">IF(L17="","",IFERROR(INDEX(Catalogo_TIMSS!$C$5:$C$105,MATCH(L17,Catalogo_TIMSS!$A$5:$A$105,0)),"?"))</f>
        <v/>
      </c>
      <c r="P17" s="8" t="s">
        <v>418</v>
      </c>
      <c r="Q17" s="27" t="s">
        <v>478</v>
      </c>
      <c r="R17" s="27" t="s">
        <v>479</v>
      </c>
      <c r="S17" s="28" t="n">
        <f aca="false">IFERROR(ISNUMBER(SEARCH("Conocer",$R17))/(ISNUMBER(SEARCH("Conocer",$R17))+ISNUMBER(SEARCH("Aplicar",$R17))+ISNUMBER(SEARCH("Razonar",$R17))),0)</f>
        <v>0</v>
      </c>
      <c r="T17" s="28" t="n">
        <f aca="false">IFERROR(ISNUMBER(SEARCH("Aplicar",$R17))/(ISNUMBER(SEARCH("Conocer",$R17))+ISNUMBER(SEARCH("Aplicar",$R17))+ISNUMBER(SEARCH("Razonar",$R17))),0)</f>
        <v>0.5</v>
      </c>
      <c r="U17" s="28" t="n">
        <f aca="false">IFERROR(ISNUMBER(SEARCH("Razonar",$R17))/(ISNUMBER(SEARCH("Conocer",$R17))+ISNUMBER(SEARCH("Aplicar",$R17))+ISNUMBER(SEARCH("Razonar",$R17))),0)</f>
        <v>0.5</v>
      </c>
      <c r="V17" s="8" t="s">
        <v>44</v>
      </c>
      <c r="W17" s="8" t="s">
        <v>66</v>
      </c>
    </row>
    <row r="18" customFormat="false" ht="15" hidden="false" customHeight="false" outlineLevel="0" collapsed="false">
      <c r="A18" s="8" t="s">
        <v>480</v>
      </c>
      <c r="B18" s="8" t="n">
        <v>2</v>
      </c>
      <c r="C18" s="8" t="s">
        <v>411</v>
      </c>
      <c r="D18" s="8" t="s">
        <v>412</v>
      </c>
      <c r="E18" s="8" t="s">
        <v>469</v>
      </c>
      <c r="F18" s="8" t="n">
        <v>5</v>
      </c>
      <c r="G18" s="8" t="s">
        <v>470</v>
      </c>
      <c r="H18" s="8" t="s">
        <v>476</v>
      </c>
      <c r="I18" s="27" t="s">
        <v>481</v>
      </c>
      <c r="J18" s="8" t="s">
        <v>109</v>
      </c>
      <c r="K18" s="8" t="s">
        <v>151</v>
      </c>
      <c r="L18" s="8" t="s">
        <v>158</v>
      </c>
      <c r="M18" s="8" t="str">
        <f aca="false">IF(K18="FUERA","Fuera del marco",IF(K18="N/A","Sin marco",IFERROR(INDEX(Catalogo_TIMSS!$C$5:$C$105,MATCH(K18,Catalogo_TIMSS!$A$5:$A$105,0)),"Pendiente de clasificar")))</f>
        <v>Ciencias físicas</v>
      </c>
      <c r="N18" s="8" t="str">
        <f aca="false">IF(K18="FUERA","Fuera del marco",IF(K18="N/A","Sin marco",IFERROR(INDEX(Catalogo_TIMSS!$F$5:$F$105,MATCH(K18,Catalogo_TIMSS!$A$5:$A$105,0)),"Pendiente de clasificar")))</f>
        <v>Formas de energía y transferencia de energía</v>
      </c>
      <c r="O18" s="8" t="str">
        <f aca="false">IF(L18="","",IFERROR(INDEX(Catalogo_TIMSS!$C$5:$C$105,MATCH(L18,Catalogo_TIMSS!$A$5:$A$105,0)),"?"))</f>
        <v>Ciencias físicas</v>
      </c>
      <c r="P18" s="8" t="s">
        <v>460</v>
      </c>
      <c r="Q18" s="27" t="s">
        <v>482</v>
      </c>
      <c r="R18" s="27" t="s">
        <v>429</v>
      </c>
      <c r="S18" s="28" t="n">
        <f aca="false">IFERROR(ISNUMBER(SEARCH("Conocer",$R18))/(ISNUMBER(SEARCH("Conocer",$R18))+ISNUMBER(SEARCH("Aplicar",$R18))+ISNUMBER(SEARCH("Razonar",$R18))),0)</f>
        <v>0</v>
      </c>
      <c r="T18" s="28" t="n">
        <f aca="false">IFERROR(ISNUMBER(SEARCH("Aplicar",$R18))/(ISNUMBER(SEARCH("Conocer",$R18))+ISNUMBER(SEARCH("Aplicar",$R18))+ISNUMBER(SEARCH("Razonar",$R18))),0)</f>
        <v>1</v>
      </c>
      <c r="U18" s="28" t="n">
        <f aca="false">IFERROR(ISNUMBER(SEARCH("Razonar",$R18))/(ISNUMBER(SEARCH("Conocer",$R18))+ISNUMBER(SEARCH("Aplicar",$R18))+ISNUMBER(SEARCH("Razonar",$R18))),0)</f>
        <v>0</v>
      </c>
      <c r="V18" s="8" t="s">
        <v>44</v>
      </c>
      <c r="W18" s="8" t="s">
        <v>66</v>
      </c>
    </row>
    <row r="19" customFormat="false" ht="15" hidden="false" customHeight="false" outlineLevel="0" collapsed="false">
      <c r="A19" s="8" t="s">
        <v>483</v>
      </c>
      <c r="B19" s="8" t="n">
        <v>2</v>
      </c>
      <c r="C19" s="8" t="s">
        <v>411</v>
      </c>
      <c r="D19" s="8" t="s">
        <v>412</v>
      </c>
      <c r="E19" s="8" t="s">
        <v>469</v>
      </c>
      <c r="F19" s="8" t="n">
        <v>6</v>
      </c>
      <c r="G19" s="8" t="s">
        <v>470</v>
      </c>
      <c r="H19" s="8" t="s">
        <v>476</v>
      </c>
      <c r="I19" s="27" t="s">
        <v>484</v>
      </c>
      <c r="J19" s="8" t="s">
        <v>109</v>
      </c>
      <c r="K19" s="8" t="s">
        <v>151</v>
      </c>
      <c r="L19" s="8"/>
      <c r="M19" s="8" t="str">
        <f aca="false">IF(K19="FUERA","Fuera del marco",IF(K19="N/A","Sin marco",IFERROR(INDEX(Catalogo_TIMSS!$C$5:$C$105,MATCH(K19,Catalogo_TIMSS!$A$5:$A$105,0)),"Pendiente de clasificar")))</f>
        <v>Ciencias físicas</v>
      </c>
      <c r="N19" s="8" t="str">
        <f aca="false">IF(K19="FUERA","Fuera del marco",IF(K19="N/A","Sin marco",IFERROR(INDEX(Catalogo_TIMSS!$F$5:$F$105,MATCH(K19,Catalogo_TIMSS!$A$5:$A$105,0)),"Pendiente de clasificar")))</f>
        <v>Formas de energía y transferencia de energía</v>
      </c>
      <c r="O19" s="8" t="str">
        <f aca="false">IF(L19="","",IFERROR(INDEX(Catalogo_TIMSS!$C$5:$C$105,MATCH(L19,Catalogo_TIMSS!$A$5:$A$105,0)),"?"))</f>
        <v/>
      </c>
      <c r="P19" s="8" t="s">
        <v>418</v>
      </c>
      <c r="Q19" s="27" t="s">
        <v>485</v>
      </c>
      <c r="R19" s="27" t="s">
        <v>486</v>
      </c>
      <c r="S19" s="28" t="n">
        <f aca="false">IFERROR(ISNUMBER(SEARCH("Conocer",$R19))/(ISNUMBER(SEARCH("Conocer",$R19))+ISNUMBER(SEARCH("Aplicar",$R19))+ISNUMBER(SEARCH("Razonar",$R19))),0)</f>
        <v>0.5</v>
      </c>
      <c r="T19" s="28" t="n">
        <f aca="false">IFERROR(ISNUMBER(SEARCH("Aplicar",$R19))/(ISNUMBER(SEARCH("Conocer",$R19))+ISNUMBER(SEARCH("Aplicar",$R19))+ISNUMBER(SEARCH("Razonar",$R19))),0)</f>
        <v>0.5</v>
      </c>
      <c r="U19" s="28" t="n">
        <f aca="false">IFERROR(ISNUMBER(SEARCH("Razonar",$R19))/(ISNUMBER(SEARCH("Conocer",$R19))+ISNUMBER(SEARCH("Aplicar",$R19))+ISNUMBER(SEARCH("Razonar",$R19))),0)</f>
        <v>0</v>
      </c>
      <c r="V19" s="8" t="s">
        <v>44</v>
      </c>
      <c r="W19" s="8" t="s">
        <v>66</v>
      </c>
    </row>
    <row r="20" customFormat="false" ht="15" hidden="false" customHeight="false" outlineLevel="0" collapsed="false">
      <c r="A20" s="8" t="s">
        <v>487</v>
      </c>
      <c r="B20" s="8" t="n">
        <v>2</v>
      </c>
      <c r="C20" s="8" t="s">
        <v>411</v>
      </c>
      <c r="D20" s="8" t="s">
        <v>412</v>
      </c>
      <c r="E20" s="8" t="s">
        <v>469</v>
      </c>
      <c r="F20" s="8" t="n">
        <v>7</v>
      </c>
      <c r="G20" s="8" t="s">
        <v>470</v>
      </c>
      <c r="H20" s="8" t="s">
        <v>476</v>
      </c>
      <c r="I20" s="27" t="s">
        <v>488</v>
      </c>
      <c r="J20" s="8" t="s">
        <v>109</v>
      </c>
      <c r="K20" s="8" t="s">
        <v>151</v>
      </c>
      <c r="L20" s="8"/>
      <c r="M20" s="8" t="str">
        <f aca="false">IF(K20="FUERA","Fuera del marco",IF(K20="N/A","Sin marco",IFERROR(INDEX(Catalogo_TIMSS!$C$5:$C$105,MATCH(K20,Catalogo_TIMSS!$A$5:$A$105,0)),"Pendiente de clasificar")))</f>
        <v>Ciencias físicas</v>
      </c>
      <c r="N20" s="8" t="str">
        <f aca="false">IF(K20="FUERA","Fuera del marco",IF(K20="N/A","Sin marco",IFERROR(INDEX(Catalogo_TIMSS!$F$5:$F$105,MATCH(K20,Catalogo_TIMSS!$A$5:$A$105,0)),"Pendiente de clasificar")))</f>
        <v>Formas de energía y transferencia de energía</v>
      </c>
      <c r="O20" s="8" t="str">
        <f aca="false">IF(L20="","",IFERROR(INDEX(Catalogo_TIMSS!$C$5:$C$105,MATCH(L20,Catalogo_TIMSS!$A$5:$A$105,0)),"?"))</f>
        <v/>
      </c>
      <c r="P20" s="8" t="s">
        <v>460</v>
      </c>
      <c r="Q20" s="27" t="s">
        <v>489</v>
      </c>
      <c r="R20" s="27" t="s">
        <v>433</v>
      </c>
      <c r="S20" s="28" t="n">
        <f aca="false">IFERROR(ISNUMBER(SEARCH("Conocer",$R20))/(ISNUMBER(SEARCH("Conocer",$R20))+ISNUMBER(SEARCH("Aplicar",$R20))+ISNUMBER(SEARCH("Razonar",$R20))),0)</f>
        <v>0.5</v>
      </c>
      <c r="T20" s="28" t="n">
        <f aca="false">IFERROR(ISNUMBER(SEARCH("Aplicar",$R20))/(ISNUMBER(SEARCH("Conocer",$R20))+ISNUMBER(SEARCH("Aplicar",$R20))+ISNUMBER(SEARCH("Razonar",$R20))),0)</f>
        <v>0.5</v>
      </c>
      <c r="U20" s="28" t="n">
        <f aca="false">IFERROR(ISNUMBER(SEARCH("Razonar",$R20))/(ISNUMBER(SEARCH("Conocer",$R20))+ISNUMBER(SEARCH("Aplicar",$R20))+ISNUMBER(SEARCH("Razonar",$R20))),0)</f>
        <v>0</v>
      </c>
      <c r="V20" s="8" t="s">
        <v>44</v>
      </c>
      <c r="W20" s="8" t="s">
        <v>66</v>
      </c>
    </row>
    <row r="21" customFormat="false" ht="15" hidden="false" customHeight="false" outlineLevel="0" collapsed="false">
      <c r="A21" s="8" t="s">
        <v>490</v>
      </c>
      <c r="B21" s="8" t="n">
        <v>2</v>
      </c>
      <c r="C21" s="8" t="s">
        <v>411</v>
      </c>
      <c r="D21" s="8" t="s">
        <v>412</v>
      </c>
      <c r="E21" s="8" t="s">
        <v>469</v>
      </c>
      <c r="F21" s="8" t="n">
        <v>8</v>
      </c>
      <c r="G21" s="8" t="s">
        <v>470</v>
      </c>
      <c r="H21" s="8" t="s">
        <v>476</v>
      </c>
      <c r="I21" s="27" t="s">
        <v>491</v>
      </c>
      <c r="J21" s="8" t="s">
        <v>109</v>
      </c>
      <c r="K21" s="8" t="s">
        <v>154</v>
      </c>
      <c r="L21" s="8"/>
      <c r="M21" s="8" t="str">
        <f aca="false">IF(K21="FUERA","Fuera del marco",IF(K21="N/A","Sin marco",IFERROR(INDEX(Catalogo_TIMSS!$C$5:$C$105,MATCH(K21,Catalogo_TIMSS!$A$5:$A$105,0)),"Pendiente de clasificar")))</f>
        <v>Ciencias físicas</v>
      </c>
      <c r="N21" s="8" t="str">
        <f aca="false">IF(K21="FUERA","Fuera del marco",IF(K21="N/A","Sin marco",IFERROR(INDEX(Catalogo_TIMSS!$F$5:$F$105,MATCH(K21,Catalogo_TIMSS!$A$5:$A$105,0)),"Pendiente de clasificar")))</f>
        <v>Formas de energía y transferencia de energía</v>
      </c>
      <c r="O21" s="8" t="str">
        <f aca="false">IF(L21="","",IFERROR(INDEX(Catalogo_TIMSS!$C$5:$C$105,MATCH(L21,Catalogo_TIMSS!$A$5:$A$105,0)),"?"))</f>
        <v/>
      </c>
      <c r="P21" s="8" t="s">
        <v>418</v>
      </c>
      <c r="Q21" s="27" t="s">
        <v>492</v>
      </c>
      <c r="R21" s="27" t="s">
        <v>493</v>
      </c>
      <c r="S21" s="28" t="n">
        <f aca="false">IFERROR(ISNUMBER(SEARCH("Conocer",$R21))/(ISNUMBER(SEARCH("Conocer",$R21))+ISNUMBER(SEARCH("Aplicar",$R21))+ISNUMBER(SEARCH("Razonar",$R21))),0)</f>
        <v>0.5</v>
      </c>
      <c r="T21" s="28" t="n">
        <f aca="false">IFERROR(ISNUMBER(SEARCH("Aplicar",$R21))/(ISNUMBER(SEARCH("Conocer",$R21))+ISNUMBER(SEARCH("Aplicar",$R21))+ISNUMBER(SEARCH("Razonar",$R21))),0)</f>
        <v>0.5</v>
      </c>
      <c r="U21" s="28" t="n">
        <f aca="false">IFERROR(ISNUMBER(SEARCH("Razonar",$R21))/(ISNUMBER(SEARCH("Conocer",$R21))+ISNUMBER(SEARCH("Aplicar",$R21))+ISNUMBER(SEARCH("Razonar",$R21))),0)</f>
        <v>0</v>
      </c>
      <c r="V21" s="8" t="s">
        <v>44</v>
      </c>
      <c r="W21" s="8" t="s">
        <v>66</v>
      </c>
    </row>
    <row r="22" customFormat="false" ht="15" hidden="false" customHeight="false" outlineLevel="0" collapsed="false">
      <c r="A22" s="8" t="s">
        <v>494</v>
      </c>
      <c r="B22" s="8" t="n">
        <v>2</v>
      </c>
      <c r="C22" s="8" t="s">
        <v>411</v>
      </c>
      <c r="D22" s="8" t="s">
        <v>412</v>
      </c>
      <c r="E22" s="8" t="s">
        <v>469</v>
      </c>
      <c r="F22" s="8" t="n">
        <v>9</v>
      </c>
      <c r="G22" s="8" t="s">
        <v>470</v>
      </c>
      <c r="H22" s="8" t="s">
        <v>495</v>
      </c>
      <c r="I22" s="27" t="s">
        <v>496</v>
      </c>
      <c r="J22" s="8" t="s">
        <v>109</v>
      </c>
      <c r="K22" s="8" t="s">
        <v>151</v>
      </c>
      <c r="L22" s="8" t="s">
        <v>156</v>
      </c>
      <c r="M22" s="8" t="str">
        <f aca="false">IF(K22="FUERA","Fuera del marco",IF(K22="N/A","Sin marco",IFERROR(INDEX(Catalogo_TIMSS!$C$5:$C$105,MATCH(K22,Catalogo_TIMSS!$A$5:$A$105,0)),"Pendiente de clasificar")))</f>
        <v>Ciencias físicas</v>
      </c>
      <c r="N22" s="8" t="str">
        <f aca="false">IF(K22="FUERA","Fuera del marco",IF(K22="N/A","Sin marco",IFERROR(INDEX(Catalogo_TIMSS!$F$5:$F$105,MATCH(K22,Catalogo_TIMSS!$A$5:$A$105,0)),"Pendiente de clasificar")))</f>
        <v>Formas de energía y transferencia de energía</v>
      </c>
      <c r="O22" s="8" t="str">
        <f aca="false">IF(L22="","",IFERROR(INDEX(Catalogo_TIMSS!$C$5:$C$105,MATCH(L22,Catalogo_TIMSS!$A$5:$A$105,0)),"?"))</f>
        <v>Ciencias físicas</v>
      </c>
      <c r="P22" s="8" t="s">
        <v>460</v>
      </c>
      <c r="Q22" s="27" t="s">
        <v>497</v>
      </c>
      <c r="R22" s="27" t="s">
        <v>446</v>
      </c>
      <c r="S22" s="28" t="n">
        <f aca="false">IFERROR(ISNUMBER(SEARCH("Conocer",$R22))/(ISNUMBER(SEARCH("Conocer",$R22))+ISNUMBER(SEARCH("Aplicar",$R22))+ISNUMBER(SEARCH("Razonar",$R22))),0)</f>
        <v>0</v>
      </c>
      <c r="T22" s="28" t="n">
        <f aca="false">IFERROR(ISNUMBER(SEARCH("Aplicar",$R22))/(ISNUMBER(SEARCH("Conocer",$R22))+ISNUMBER(SEARCH("Aplicar",$R22))+ISNUMBER(SEARCH("Razonar",$R22))),0)</f>
        <v>0</v>
      </c>
      <c r="U22" s="28" t="n">
        <f aca="false">IFERROR(ISNUMBER(SEARCH("Razonar",$R22))/(ISNUMBER(SEARCH("Conocer",$R22))+ISNUMBER(SEARCH("Aplicar",$R22))+ISNUMBER(SEARCH("Razonar",$R22))),0)</f>
        <v>1</v>
      </c>
      <c r="V22" s="8" t="s">
        <v>44</v>
      </c>
      <c r="W22" s="8" t="s">
        <v>66</v>
      </c>
    </row>
    <row r="23" customFormat="false" ht="15" hidden="false" customHeight="false" outlineLevel="0" collapsed="false">
      <c r="A23" s="8" t="s">
        <v>498</v>
      </c>
      <c r="B23" s="8" t="n">
        <v>2</v>
      </c>
      <c r="C23" s="8" t="s">
        <v>411</v>
      </c>
      <c r="D23" s="8" t="s">
        <v>412</v>
      </c>
      <c r="E23" s="8" t="s">
        <v>469</v>
      </c>
      <c r="F23" s="8" t="n">
        <v>10</v>
      </c>
      <c r="G23" s="8" t="s">
        <v>470</v>
      </c>
      <c r="H23" s="8" t="s">
        <v>499</v>
      </c>
      <c r="I23" s="27" t="s">
        <v>500</v>
      </c>
      <c r="J23" s="8" t="s">
        <v>109</v>
      </c>
      <c r="K23" s="8" t="s">
        <v>168</v>
      </c>
      <c r="L23" s="8"/>
      <c r="M23" s="8" t="str">
        <f aca="false">IF(K23="FUERA","Fuera del marco",IF(K23="N/A","Sin marco",IFERROR(INDEX(Catalogo_TIMSS!$C$5:$C$105,MATCH(K23,Catalogo_TIMSS!$A$5:$A$105,0)),"Pendiente de clasificar")))</f>
        <v>Ciencias de la Tierra</v>
      </c>
      <c r="N23" s="8" t="str">
        <f aca="false">IF(K23="FUERA","Fuera del marco",IF(K23="N/A","Sin marco",IFERROR(INDEX(Catalogo_TIMSS!$F$5:$F$105,MATCH(K23,Catalogo_TIMSS!$A$5:$A$105,0)),"Pendiente de clasificar")))</f>
        <v>Características físicas, recursos e historia de la Tierra</v>
      </c>
      <c r="O23" s="8" t="str">
        <f aca="false">IF(L23="","",IFERROR(INDEX(Catalogo_TIMSS!$C$5:$C$105,MATCH(L23,Catalogo_TIMSS!$A$5:$A$105,0)),"?"))</f>
        <v/>
      </c>
      <c r="P23" s="8" t="s">
        <v>460</v>
      </c>
      <c r="Q23" s="27" t="s">
        <v>501</v>
      </c>
      <c r="R23" s="27" t="s">
        <v>437</v>
      </c>
      <c r="S23" s="28" t="n">
        <f aca="false">IFERROR(ISNUMBER(SEARCH("Conocer",$R23))/(ISNUMBER(SEARCH("Conocer",$R23))+ISNUMBER(SEARCH("Aplicar",$R23))+ISNUMBER(SEARCH("Razonar",$R23))),0)</f>
        <v>0</v>
      </c>
      <c r="T23" s="28" t="n">
        <f aca="false">IFERROR(ISNUMBER(SEARCH("Aplicar",$R23))/(ISNUMBER(SEARCH("Conocer",$R23))+ISNUMBER(SEARCH("Aplicar",$R23))+ISNUMBER(SEARCH("Razonar",$R23))),0)</f>
        <v>0.5</v>
      </c>
      <c r="U23" s="28" t="n">
        <f aca="false">IFERROR(ISNUMBER(SEARCH("Razonar",$R23))/(ISNUMBER(SEARCH("Conocer",$R23))+ISNUMBER(SEARCH("Aplicar",$R23))+ISNUMBER(SEARCH("Razonar",$R23))),0)</f>
        <v>0.5</v>
      </c>
      <c r="V23" s="8" t="s">
        <v>44</v>
      </c>
      <c r="W23" s="8" t="s">
        <v>66</v>
      </c>
    </row>
    <row r="24" customFormat="false" ht="15" hidden="false" customHeight="false" outlineLevel="0" collapsed="false">
      <c r="A24" s="8" t="s">
        <v>502</v>
      </c>
      <c r="B24" s="8" t="n">
        <v>2</v>
      </c>
      <c r="C24" s="8" t="s">
        <v>411</v>
      </c>
      <c r="D24" s="8" t="s">
        <v>412</v>
      </c>
      <c r="E24" s="8" t="s">
        <v>469</v>
      </c>
      <c r="F24" s="8" t="n">
        <v>11</v>
      </c>
      <c r="G24" s="8" t="s">
        <v>470</v>
      </c>
      <c r="H24" s="8" t="s">
        <v>503</v>
      </c>
      <c r="I24" s="27" t="s">
        <v>504</v>
      </c>
      <c r="J24" s="8" t="s">
        <v>109</v>
      </c>
      <c r="K24" s="8" t="s">
        <v>158</v>
      </c>
      <c r="L24" s="8"/>
      <c r="M24" s="8" t="str">
        <f aca="false">IF(K24="FUERA","Fuera del marco",IF(K24="N/A","Sin marco",IFERROR(INDEX(Catalogo_TIMSS!$C$5:$C$105,MATCH(K24,Catalogo_TIMSS!$A$5:$A$105,0)),"Pendiente de clasificar")))</f>
        <v>Ciencias físicas</v>
      </c>
      <c r="N24" s="8" t="str">
        <f aca="false">IF(K24="FUERA","Fuera del marco",IF(K24="N/A","Sin marco",IFERROR(INDEX(Catalogo_TIMSS!$F$5:$F$105,MATCH(K24,Catalogo_TIMSS!$A$5:$A$105,0)),"Pendiente de clasificar")))</f>
        <v>Formas de energía y transferencia de energía</v>
      </c>
      <c r="O24" s="8" t="str">
        <f aca="false">IF(L24="","",IFERROR(INDEX(Catalogo_TIMSS!$C$5:$C$105,MATCH(L24,Catalogo_TIMSS!$A$5:$A$105,0)),"?"))</f>
        <v/>
      </c>
      <c r="P24" s="8" t="s">
        <v>418</v>
      </c>
      <c r="Q24" s="27" t="s">
        <v>505</v>
      </c>
      <c r="R24" s="27" t="s">
        <v>506</v>
      </c>
      <c r="S24" s="28" t="n">
        <f aca="false">IFERROR(ISNUMBER(SEARCH("Conocer",$R24))/(ISNUMBER(SEARCH("Conocer",$R24))+ISNUMBER(SEARCH("Aplicar",$R24))+ISNUMBER(SEARCH("Razonar",$R24))),0)</f>
        <v>0</v>
      </c>
      <c r="T24" s="28" t="n">
        <f aca="false">IFERROR(ISNUMBER(SEARCH("Aplicar",$R24))/(ISNUMBER(SEARCH("Conocer",$R24))+ISNUMBER(SEARCH("Aplicar",$R24))+ISNUMBER(SEARCH("Razonar",$R24))),0)</f>
        <v>1</v>
      </c>
      <c r="U24" s="28" t="n">
        <f aca="false">IFERROR(ISNUMBER(SEARCH("Razonar",$R24))/(ISNUMBER(SEARCH("Conocer",$R24))+ISNUMBER(SEARCH("Aplicar",$R24))+ISNUMBER(SEARCH("Razonar",$R24))),0)</f>
        <v>0</v>
      </c>
      <c r="V24" s="8" t="s">
        <v>44</v>
      </c>
      <c r="W24" s="8" t="s">
        <v>66</v>
      </c>
    </row>
    <row r="25" customFormat="false" ht="15" hidden="false" customHeight="false" outlineLevel="0" collapsed="false">
      <c r="A25" s="8" t="s">
        <v>507</v>
      </c>
      <c r="B25" s="8" t="n">
        <v>2</v>
      </c>
      <c r="C25" s="8" t="s">
        <v>411</v>
      </c>
      <c r="D25" s="8" t="s">
        <v>412</v>
      </c>
      <c r="E25" s="8" t="s">
        <v>469</v>
      </c>
      <c r="F25" s="8" t="n">
        <v>12</v>
      </c>
      <c r="G25" s="8" t="s">
        <v>470</v>
      </c>
      <c r="H25" s="8" t="s">
        <v>508</v>
      </c>
      <c r="I25" s="27" t="s">
        <v>509</v>
      </c>
      <c r="J25" s="8" t="s">
        <v>109</v>
      </c>
      <c r="K25" s="8" t="s">
        <v>154</v>
      </c>
      <c r="L25" s="8"/>
      <c r="M25" s="8" t="str">
        <f aca="false">IF(K25="FUERA","Fuera del marco",IF(K25="N/A","Sin marco",IFERROR(INDEX(Catalogo_TIMSS!$C$5:$C$105,MATCH(K25,Catalogo_TIMSS!$A$5:$A$105,0)),"Pendiente de clasificar")))</f>
        <v>Ciencias físicas</v>
      </c>
      <c r="N25" s="8" t="str">
        <f aca="false">IF(K25="FUERA","Fuera del marco",IF(K25="N/A","Sin marco",IFERROR(INDEX(Catalogo_TIMSS!$F$5:$F$105,MATCH(K25,Catalogo_TIMSS!$A$5:$A$105,0)),"Pendiente de clasificar")))</f>
        <v>Formas de energía y transferencia de energía</v>
      </c>
      <c r="O25" s="8" t="str">
        <f aca="false">IF(L25="","",IFERROR(INDEX(Catalogo_TIMSS!$C$5:$C$105,MATCH(L25,Catalogo_TIMSS!$A$5:$A$105,0)),"?"))</f>
        <v/>
      </c>
      <c r="P25" s="8" t="s">
        <v>460</v>
      </c>
      <c r="Q25" s="27" t="s">
        <v>510</v>
      </c>
      <c r="R25" s="27" t="s">
        <v>429</v>
      </c>
      <c r="S25" s="28" t="n">
        <f aca="false">IFERROR(ISNUMBER(SEARCH("Conocer",$R25))/(ISNUMBER(SEARCH("Conocer",$R25))+ISNUMBER(SEARCH("Aplicar",$R25))+ISNUMBER(SEARCH("Razonar",$R25))),0)</f>
        <v>0</v>
      </c>
      <c r="T25" s="28" t="n">
        <f aca="false">IFERROR(ISNUMBER(SEARCH("Aplicar",$R25))/(ISNUMBER(SEARCH("Conocer",$R25))+ISNUMBER(SEARCH("Aplicar",$R25))+ISNUMBER(SEARCH("Razonar",$R25))),0)</f>
        <v>1</v>
      </c>
      <c r="U25" s="28" t="n">
        <f aca="false">IFERROR(ISNUMBER(SEARCH("Razonar",$R25))/(ISNUMBER(SEARCH("Conocer",$R25))+ISNUMBER(SEARCH("Aplicar",$R25))+ISNUMBER(SEARCH("Razonar",$R25))),0)</f>
        <v>0</v>
      </c>
      <c r="V25" s="8" t="s">
        <v>44</v>
      </c>
      <c r="W25" s="8" t="s">
        <v>66</v>
      </c>
    </row>
    <row r="26" customFormat="false" ht="15" hidden="false" customHeight="false" outlineLevel="0" collapsed="false">
      <c r="A26" s="8" t="s">
        <v>511</v>
      </c>
      <c r="B26" s="8" t="n">
        <v>2</v>
      </c>
      <c r="C26" s="8" t="s">
        <v>411</v>
      </c>
      <c r="D26" s="8" t="s">
        <v>412</v>
      </c>
      <c r="E26" s="8" t="s">
        <v>469</v>
      </c>
      <c r="F26" s="8" t="n">
        <v>13</v>
      </c>
      <c r="G26" s="8" t="s">
        <v>470</v>
      </c>
      <c r="H26" s="8" t="s">
        <v>508</v>
      </c>
      <c r="I26" s="27" t="s">
        <v>512</v>
      </c>
      <c r="J26" s="8" t="s">
        <v>109</v>
      </c>
      <c r="K26" s="8" t="s">
        <v>417</v>
      </c>
      <c r="L26" s="8"/>
      <c r="M26" s="8" t="str">
        <f aca="false">IF(K26="FUERA","Fuera del marco",IF(K26="N/A","Sin marco",IFERROR(INDEX(Catalogo_TIMSS!$C$5:$C$105,MATCH(K26,Catalogo_TIMSS!$A$5:$A$105,0)),"Pendiente de clasificar")))</f>
        <v>Fuera del marco</v>
      </c>
      <c r="N26" s="8" t="str">
        <f aca="false">IF(K26="FUERA","Fuera del marco",IF(K26="N/A","Sin marco",IFERROR(INDEX(Catalogo_TIMSS!$F$5:$F$105,MATCH(K26,Catalogo_TIMSS!$A$5:$A$105,0)),"Pendiente de clasificar")))</f>
        <v>Fuera del marco</v>
      </c>
      <c r="O26" s="8" t="str">
        <f aca="false">IF(L26="","",IFERROR(INDEX(Catalogo_TIMSS!$C$5:$C$105,MATCH(L26,Catalogo_TIMSS!$A$5:$A$105,0)),"?"))</f>
        <v/>
      </c>
      <c r="P26" s="8" t="s">
        <v>513</v>
      </c>
      <c r="Q26" s="27" t="s">
        <v>514</v>
      </c>
      <c r="R26" s="27" t="s">
        <v>462</v>
      </c>
      <c r="S26" s="28" t="n">
        <f aca="false">IFERROR(ISNUMBER(SEARCH("Conocer",$R26))/(ISNUMBER(SEARCH("Conocer",$R26))+ISNUMBER(SEARCH("Aplicar",$R26))+ISNUMBER(SEARCH("Razonar",$R26))),0)</f>
        <v>0</v>
      </c>
      <c r="T26" s="28" t="n">
        <f aca="false">IFERROR(ISNUMBER(SEARCH("Aplicar",$R26))/(ISNUMBER(SEARCH("Conocer",$R26))+ISNUMBER(SEARCH("Aplicar",$R26))+ISNUMBER(SEARCH("Razonar",$R26))),0)</f>
        <v>0</v>
      </c>
      <c r="U26" s="28" t="n">
        <f aca="false">IFERROR(ISNUMBER(SEARCH("Razonar",$R26))/(ISNUMBER(SEARCH("Conocer",$R26))+ISNUMBER(SEARCH("Aplicar",$R26))+ISNUMBER(SEARCH("Razonar",$R26))),0)</f>
        <v>1</v>
      </c>
      <c r="V26" s="8" t="s">
        <v>44</v>
      </c>
      <c r="W26" s="8" t="s">
        <v>66</v>
      </c>
    </row>
    <row r="27" customFormat="false" ht="15" hidden="false" customHeight="false" outlineLevel="0" collapsed="false">
      <c r="A27" s="8" t="s">
        <v>515</v>
      </c>
      <c r="B27" s="8" t="n">
        <v>2</v>
      </c>
      <c r="C27" s="8" t="s">
        <v>411</v>
      </c>
      <c r="D27" s="8" t="s">
        <v>412</v>
      </c>
      <c r="E27" s="8" t="s">
        <v>469</v>
      </c>
      <c r="F27" s="8" t="n">
        <v>14</v>
      </c>
      <c r="G27" s="8" t="s">
        <v>470</v>
      </c>
      <c r="H27" s="8" t="s">
        <v>508</v>
      </c>
      <c r="I27" s="27" t="s">
        <v>516</v>
      </c>
      <c r="J27" s="8" t="s">
        <v>109</v>
      </c>
      <c r="K27" s="8" t="s">
        <v>154</v>
      </c>
      <c r="L27" s="8" t="s">
        <v>143</v>
      </c>
      <c r="M27" s="8" t="str">
        <f aca="false">IF(K27="FUERA","Fuera del marco",IF(K27="N/A","Sin marco",IFERROR(INDEX(Catalogo_TIMSS!$C$5:$C$105,MATCH(K27,Catalogo_TIMSS!$A$5:$A$105,0)),"Pendiente de clasificar")))</f>
        <v>Ciencias físicas</v>
      </c>
      <c r="N27" s="8" t="str">
        <f aca="false">IF(K27="FUERA","Fuera del marco",IF(K27="N/A","Sin marco",IFERROR(INDEX(Catalogo_TIMSS!$F$5:$F$105,MATCH(K27,Catalogo_TIMSS!$A$5:$A$105,0)),"Pendiente de clasificar")))</f>
        <v>Formas de energía y transferencia de energía</v>
      </c>
      <c r="O27" s="8" t="str">
        <f aca="false">IF(L27="","",IFERROR(INDEX(Catalogo_TIMSS!$C$5:$C$105,MATCH(L27,Catalogo_TIMSS!$A$5:$A$105,0)),"?"))</f>
        <v>Ciencias físicas</v>
      </c>
      <c r="P27" s="8" t="s">
        <v>418</v>
      </c>
      <c r="Q27" s="27" t="s">
        <v>517</v>
      </c>
      <c r="R27" s="27" t="s">
        <v>429</v>
      </c>
      <c r="S27" s="28" t="n">
        <f aca="false">IFERROR(ISNUMBER(SEARCH("Conocer",$R27))/(ISNUMBER(SEARCH("Conocer",$R27))+ISNUMBER(SEARCH("Aplicar",$R27))+ISNUMBER(SEARCH("Razonar",$R27))),0)</f>
        <v>0</v>
      </c>
      <c r="T27" s="28" t="n">
        <f aca="false">IFERROR(ISNUMBER(SEARCH("Aplicar",$R27))/(ISNUMBER(SEARCH("Conocer",$R27))+ISNUMBER(SEARCH("Aplicar",$R27))+ISNUMBER(SEARCH("Razonar",$R27))),0)</f>
        <v>1</v>
      </c>
      <c r="U27" s="28" t="n">
        <f aca="false">IFERROR(ISNUMBER(SEARCH("Razonar",$R27))/(ISNUMBER(SEARCH("Conocer",$R27))+ISNUMBER(SEARCH("Aplicar",$R27))+ISNUMBER(SEARCH("Razonar",$R27))),0)</f>
        <v>0</v>
      </c>
      <c r="V27" s="8" t="s">
        <v>44</v>
      </c>
      <c r="W27" s="8" t="s">
        <v>66</v>
      </c>
    </row>
    <row r="28" customFormat="false" ht="15" hidden="false" customHeight="false" outlineLevel="0" collapsed="false">
      <c r="A28" s="8" t="s">
        <v>518</v>
      </c>
      <c r="B28" s="8" t="n">
        <v>2</v>
      </c>
      <c r="C28" s="8" t="s">
        <v>411</v>
      </c>
      <c r="D28" s="8" t="s">
        <v>412</v>
      </c>
      <c r="E28" s="8" t="s">
        <v>519</v>
      </c>
      <c r="F28" s="8" t="n">
        <v>3</v>
      </c>
      <c r="G28" s="8" t="s">
        <v>520</v>
      </c>
      <c r="H28" s="8" t="s">
        <v>521</v>
      </c>
      <c r="I28" s="27" t="s">
        <v>522</v>
      </c>
      <c r="J28" s="8" t="s">
        <v>109</v>
      </c>
      <c r="K28" s="8" t="s">
        <v>160</v>
      </c>
      <c r="L28" s="8"/>
      <c r="M28" s="8" t="str">
        <f aca="false">IF(K28="FUERA","Fuera del marco",IF(K28="N/A","Sin marco",IFERROR(INDEX(Catalogo_TIMSS!$C$5:$C$105,MATCH(K28,Catalogo_TIMSS!$A$5:$A$105,0)),"Pendiente de clasificar")))</f>
        <v>Ciencias físicas</v>
      </c>
      <c r="N28" s="8" t="str">
        <f aca="false">IF(K28="FUERA","Fuera del marco",IF(K28="N/A","Sin marco",IFERROR(INDEX(Catalogo_TIMSS!$F$5:$F$105,MATCH(K28,Catalogo_TIMSS!$A$5:$A$105,0)),"Pendiente de clasificar")))</f>
        <v>Fuerzas y movimiento</v>
      </c>
      <c r="O28" s="8" t="str">
        <f aca="false">IF(L28="","",IFERROR(INDEX(Catalogo_TIMSS!$C$5:$C$105,MATCH(L28,Catalogo_TIMSS!$A$5:$A$105,0)),"?"))</f>
        <v/>
      </c>
      <c r="P28" s="8" t="s">
        <v>460</v>
      </c>
      <c r="Q28" s="27" t="s">
        <v>523</v>
      </c>
      <c r="R28" s="27" t="s">
        <v>474</v>
      </c>
      <c r="S28" s="28" t="n">
        <f aca="false">IFERROR(ISNUMBER(SEARCH("Conocer",$R28))/(ISNUMBER(SEARCH("Conocer",$R28))+ISNUMBER(SEARCH("Aplicar",$R28))+ISNUMBER(SEARCH("Razonar",$R28))),0)</f>
        <v>1</v>
      </c>
      <c r="T28" s="28" t="n">
        <f aca="false">IFERROR(ISNUMBER(SEARCH("Aplicar",$R28))/(ISNUMBER(SEARCH("Conocer",$R28))+ISNUMBER(SEARCH("Aplicar",$R28))+ISNUMBER(SEARCH("Razonar",$R28))),0)</f>
        <v>0</v>
      </c>
      <c r="U28" s="28" t="n">
        <f aca="false">IFERROR(ISNUMBER(SEARCH("Razonar",$R28))/(ISNUMBER(SEARCH("Conocer",$R28))+ISNUMBER(SEARCH("Aplicar",$R28))+ISNUMBER(SEARCH("Razonar",$R28))),0)</f>
        <v>0</v>
      </c>
      <c r="V28" s="8" t="s">
        <v>44</v>
      </c>
      <c r="W28" s="8" t="s">
        <v>66</v>
      </c>
    </row>
    <row r="29" customFormat="false" ht="15" hidden="false" customHeight="false" outlineLevel="0" collapsed="false">
      <c r="A29" s="8" t="s">
        <v>524</v>
      </c>
      <c r="B29" s="8" t="n">
        <v>2</v>
      </c>
      <c r="C29" s="8" t="s">
        <v>411</v>
      </c>
      <c r="D29" s="8" t="s">
        <v>412</v>
      </c>
      <c r="E29" s="8" t="s">
        <v>519</v>
      </c>
      <c r="F29" s="8" t="n">
        <v>4</v>
      </c>
      <c r="G29" s="8" t="s">
        <v>520</v>
      </c>
      <c r="H29" s="8" t="s">
        <v>525</v>
      </c>
      <c r="I29" s="27" t="s">
        <v>526</v>
      </c>
      <c r="J29" s="8" t="s">
        <v>109</v>
      </c>
      <c r="K29" s="8" t="s">
        <v>160</v>
      </c>
      <c r="L29" s="8"/>
      <c r="M29" s="8" t="str">
        <f aca="false">IF(K29="FUERA","Fuera del marco",IF(K29="N/A","Sin marco",IFERROR(INDEX(Catalogo_TIMSS!$C$5:$C$105,MATCH(K29,Catalogo_TIMSS!$A$5:$A$105,0)),"Pendiente de clasificar")))</f>
        <v>Ciencias físicas</v>
      </c>
      <c r="N29" s="8" t="str">
        <f aca="false">IF(K29="FUERA","Fuera del marco",IF(K29="N/A","Sin marco",IFERROR(INDEX(Catalogo_TIMSS!$F$5:$F$105,MATCH(K29,Catalogo_TIMSS!$A$5:$A$105,0)),"Pendiente de clasificar")))</f>
        <v>Fuerzas y movimiento</v>
      </c>
      <c r="O29" s="8" t="str">
        <f aca="false">IF(L29="","",IFERROR(INDEX(Catalogo_TIMSS!$C$5:$C$105,MATCH(L29,Catalogo_TIMSS!$A$5:$A$105,0)),"?"))</f>
        <v/>
      </c>
      <c r="P29" s="8" t="s">
        <v>460</v>
      </c>
      <c r="Q29" s="27" t="s">
        <v>527</v>
      </c>
      <c r="R29" s="27" t="s">
        <v>479</v>
      </c>
      <c r="S29" s="28" t="n">
        <f aca="false">IFERROR(ISNUMBER(SEARCH("Conocer",$R29))/(ISNUMBER(SEARCH("Conocer",$R29))+ISNUMBER(SEARCH("Aplicar",$R29))+ISNUMBER(SEARCH("Razonar",$R29))),0)</f>
        <v>0</v>
      </c>
      <c r="T29" s="28" t="n">
        <f aca="false">IFERROR(ISNUMBER(SEARCH("Aplicar",$R29))/(ISNUMBER(SEARCH("Conocer",$R29))+ISNUMBER(SEARCH("Aplicar",$R29))+ISNUMBER(SEARCH("Razonar",$R29))),0)</f>
        <v>0.5</v>
      </c>
      <c r="U29" s="28" t="n">
        <f aca="false">IFERROR(ISNUMBER(SEARCH("Razonar",$R29))/(ISNUMBER(SEARCH("Conocer",$R29))+ISNUMBER(SEARCH("Aplicar",$R29))+ISNUMBER(SEARCH("Razonar",$R29))),0)</f>
        <v>0.5</v>
      </c>
      <c r="V29" s="8" t="s">
        <v>44</v>
      </c>
      <c r="W29" s="8" t="s">
        <v>66</v>
      </c>
    </row>
    <row r="30" customFormat="false" ht="15" hidden="false" customHeight="false" outlineLevel="0" collapsed="false">
      <c r="A30" s="8" t="s">
        <v>528</v>
      </c>
      <c r="B30" s="8" t="n">
        <v>2</v>
      </c>
      <c r="C30" s="8" t="s">
        <v>411</v>
      </c>
      <c r="D30" s="8" t="s">
        <v>412</v>
      </c>
      <c r="E30" s="8" t="s">
        <v>519</v>
      </c>
      <c r="F30" s="8" t="n">
        <v>5</v>
      </c>
      <c r="G30" s="8" t="s">
        <v>520</v>
      </c>
      <c r="H30" s="8" t="s">
        <v>529</v>
      </c>
      <c r="I30" s="27" t="s">
        <v>530</v>
      </c>
      <c r="J30" s="8" t="s">
        <v>109</v>
      </c>
      <c r="K30" s="8" t="s">
        <v>160</v>
      </c>
      <c r="L30" s="8"/>
      <c r="M30" s="8" t="str">
        <f aca="false">IF(K30="FUERA","Fuera del marco",IF(K30="N/A","Sin marco",IFERROR(INDEX(Catalogo_TIMSS!$C$5:$C$105,MATCH(K30,Catalogo_TIMSS!$A$5:$A$105,0)),"Pendiente de clasificar")))</f>
        <v>Ciencias físicas</v>
      </c>
      <c r="N30" s="8" t="str">
        <f aca="false">IF(K30="FUERA","Fuera del marco",IF(K30="N/A","Sin marco",IFERROR(INDEX(Catalogo_TIMSS!$F$5:$F$105,MATCH(K30,Catalogo_TIMSS!$A$5:$A$105,0)),"Pendiente de clasificar")))</f>
        <v>Fuerzas y movimiento</v>
      </c>
      <c r="O30" s="8" t="str">
        <f aca="false">IF(L30="","",IFERROR(INDEX(Catalogo_TIMSS!$C$5:$C$105,MATCH(L30,Catalogo_TIMSS!$A$5:$A$105,0)),"?"))</f>
        <v/>
      </c>
      <c r="P30" s="8" t="s">
        <v>513</v>
      </c>
      <c r="Q30" s="27" t="s">
        <v>531</v>
      </c>
      <c r="R30" s="27" t="s">
        <v>429</v>
      </c>
      <c r="S30" s="28" t="n">
        <f aca="false">IFERROR(ISNUMBER(SEARCH("Conocer",$R30))/(ISNUMBER(SEARCH("Conocer",$R30))+ISNUMBER(SEARCH("Aplicar",$R30))+ISNUMBER(SEARCH("Razonar",$R30))),0)</f>
        <v>0</v>
      </c>
      <c r="T30" s="28" t="n">
        <f aca="false">IFERROR(ISNUMBER(SEARCH("Aplicar",$R30))/(ISNUMBER(SEARCH("Conocer",$R30))+ISNUMBER(SEARCH("Aplicar",$R30))+ISNUMBER(SEARCH("Razonar",$R30))),0)</f>
        <v>1</v>
      </c>
      <c r="U30" s="28" t="n">
        <f aca="false">IFERROR(ISNUMBER(SEARCH("Razonar",$R30))/(ISNUMBER(SEARCH("Conocer",$R30))+ISNUMBER(SEARCH("Aplicar",$R30))+ISNUMBER(SEARCH("Razonar",$R30))),0)</f>
        <v>0</v>
      </c>
      <c r="V30" s="8" t="s">
        <v>44</v>
      </c>
      <c r="W30" s="8" t="s">
        <v>66</v>
      </c>
    </row>
    <row r="31" customFormat="false" ht="15" hidden="false" customHeight="false" outlineLevel="0" collapsed="false">
      <c r="A31" s="8" t="s">
        <v>532</v>
      </c>
      <c r="B31" s="8" t="n">
        <v>2</v>
      </c>
      <c r="C31" s="8" t="s">
        <v>411</v>
      </c>
      <c r="D31" s="8" t="s">
        <v>412</v>
      </c>
      <c r="E31" s="8" t="s">
        <v>519</v>
      </c>
      <c r="F31" s="8" t="n">
        <v>6</v>
      </c>
      <c r="G31" s="8" t="s">
        <v>520</v>
      </c>
      <c r="H31" s="8" t="s">
        <v>533</v>
      </c>
      <c r="I31" s="27" t="s">
        <v>534</v>
      </c>
      <c r="J31" s="8" t="s">
        <v>109</v>
      </c>
      <c r="K31" s="8" t="s">
        <v>182</v>
      </c>
      <c r="L31" s="8"/>
      <c r="M31" s="8" t="str">
        <f aca="false">IF(K31="FUERA","Fuera del marco",IF(K31="N/A","Sin marco",IFERROR(INDEX(Catalogo_TIMSS!$C$5:$C$105,MATCH(K31,Catalogo_TIMSS!$A$5:$A$105,0)),"Pendiente de clasificar")))</f>
        <v>Ciencias de la Tierra</v>
      </c>
      <c r="N31" s="8" t="str">
        <f aca="false">IF(K31="FUERA","Fuera del marco",IF(K31="N/A","Sin marco",IFERROR(INDEX(Catalogo_TIMSS!$F$5:$F$105,MATCH(K31,Catalogo_TIMSS!$A$5:$A$105,0)),"Pendiente de clasificar")))</f>
        <v>La Tierra en el Sistema Solar</v>
      </c>
      <c r="O31" s="8" t="str">
        <f aca="false">IF(L31="","",IFERROR(INDEX(Catalogo_TIMSS!$C$5:$C$105,MATCH(L31,Catalogo_TIMSS!$A$5:$A$105,0)),"?"))</f>
        <v/>
      </c>
      <c r="P31" s="8" t="s">
        <v>460</v>
      </c>
      <c r="Q31" s="27" t="s">
        <v>535</v>
      </c>
      <c r="R31" s="27" t="s">
        <v>536</v>
      </c>
      <c r="S31" s="28" t="n">
        <f aca="false">IFERROR(ISNUMBER(SEARCH("Conocer",$R31))/(ISNUMBER(SEARCH("Conocer",$R31))+ISNUMBER(SEARCH("Aplicar",$R31))+ISNUMBER(SEARCH("Razonar",$R31))),0)</f>
        <v>1</v>
      </c>
      <c r="T31" s="28" t="n">
        <f aca="false">IFERROR(ISNUMBER(SEARCH("Aplicar",$R31))/(ISNUMBER(SEARCH("Conocer",$R31))+ISNUMBER(SEARCH("Aplicar",$R31))+ISNUMBER(SEARCH("Razonar",$R31))),0)</f>
        <v>0</v>
      </c>
      <c r="U31" s="28" t="n">
        <f aca="false">IFERROR(ISNUMBER(SEARCH("Razonar",$R31))/(ISNUMBER(SEARCH("Conocer",$R31))+ISNUMBER(SEARCH("Aplicar",$R31))+ISNUMBER(SEARCH("Razonar",$R31))),0)</f>
        <v>0</v>
      </c>
      <c r="V31" s="8" t="s">
        <v>44</v>
      </c>
      <c r="W31" s="8" t="s">
        <v>66</v>
      </c>
    </row>
    <row r="32" customFormat="false" ht="15" hidden="false" customHeight="false" outlineLevel="0" collapsed="false">
      <c r="A32" s="8" t="s">
        <v>537</v>
      </c>
      <c r="B32" s="8" t="n">
        <v>2</v>
      </c>
      <c r="C32" s="8" t="s">
        <v>411</v>
      </c>
      <c r="D32" s="8" t="s">
        <v>412</v>
      </c>
      <c r="E32" s="8" t="s">
        <v>519</v>
      </c>
      <c r="F32" s="8" t="n">
        <v>7</v>
      </c>
      <c r="G32" s="8" t="s">
        <v>520</v>
      </c>
      <c r="H32" s="8" t="s">
        <v>533</v>
      </c>
      <c r="I32" s="27" t="s">
        <v>538</v>
      </c>
      <c r="J32" s="8" t="s">
        <v>109</v>
      </c>
      <c r="K32" s="8" t="s">
        <v>182</v>
      </c>
      <c r="L32" s="8"/>
      <c r="M32" s="8" t="str">
        <f aca="false">IF(K32="FUERA","Fuera del marco",IF(K32="N/A","Sin marco",IFERROR(INDEX(Catalogo_TIMSS!$C$5:$C$105,MATCH(K32,Catalogo_TIMSS!$A$5:$A$105,0)),"Pendiente de clasificar")))</f>
        <v>Ciencias de la Tierra</v>
      </c>
      <c r="N32" s="8" t="str">
        <f aca="false">IF(K32="FUERA","Fuera del marco",IF(K32="N/A","Sin marco",IFERROR(INDEX(Catalogo_TIMSS!$F$5:$F$105,MATCH(K32,Catalogo_TIMSS!$A$5:$A$105,0)),"Pendiente de clasificar")))</f>
        <v>La Tierra en el Sistema Solar</v>
      </c>
      <c r="O32" s="8" t="str">
        <f aca="false">IF(L32="","",IFERROR(INDEX(Catalogo_TIMSS!$C$5:$C$105,MATCH(L32,Catalogo_TIMSS!$A$5:$A$105,0)),"?"))</f>
        <v/>
      </c>
      <c r="P32" s="8" t="s">
        <v>418</v>
      </c>
      <c r="Q32" s="27" t="s">
        <v>539</v>
      </c>
      <c r="R32" s="27" t="s">
        <v>540</v>
      </c>
      <c r="S32" s="28" t="n">
        <f aca="false">IFERROR(ISNUMBER(SEARCH("Conocer",$R32))/(ISNUMBER(SEARCH("Conocer",$R32))+ISNUMBER(SEARCH("Aplicar",$R32))+ISNUMBER(SEARCH("Razonar",$R32))),0)</f>
        <v>0</v>
      </c>
      <c r="T32" s="28" t="n">
        <f aca="false">IFERROR(ISNUMBER(SEARCH("Aplicar",$R32))/(ISNUMBER(SEARCH("Conocer",$R32))+ISNUMBER(SEARCH("Aplicar",$R32))+ISNUMBER(SEARCH("Razonar",$R32))),0)</f>
        <v>1</v>
      </c>
      <c r="U32" s="28" t="n">
        <f aca="false">IFERROR(ISNUMBER(SEARCH("Razonar",$R32))/(ISNUMBER(SEARCH("Conocer",$R32))+ISNUMBER(SEARCH("Aplicar",$R32))+ISNUMBER(SEARCH("Razonar",$R32))),0)</f>
        <v>0</v>
      </c>
      <c r="V32" s="8" t="s">
        <v>44</v>
      </c>
      <c r="W32" s="8" t="s">
        <v>66</v>
      </c>
    </row>
    <row r="33" customFormat="false" ht="15" hidden="false" customHeight="false" outlineLevel="0" collapsed="false">
      <c r="A33" s="8" t="s">
        <v>541</v>
      </c>
      <c r="B33" s="8" t="n">
        <v>2</v>
      </c>
      <c r="C33" s="8" t="s">
        <v>411</v>
      </c>
      <c r="D33" s="8" t="s">
        <v>412</v>
      </c>
      <c r="E33" s="8" t="s">
        <v>519</v>
      </c>
      <c r="F33" s="8" t="n">
        <v>8</v>
      </c>
      <c r="G33" s="8" t="s">
        <v>520</v>
      </c>
      <c r="H33" s="8" t="s">
        <v>542</v>
      </c>
      <c r="I33" s="27" t="s">
        <v>543</v>
      </c>
      <c r="J33" s="8" t="s">
        <v>109</v>
      </c>
      <c r="K33" s="8" t="s">
        <v>179</v>
      </c>
      <c r="L33" s="8"/>
      <c r="M33" s="8" t="str">
        <f aca="false">IF(K33="FUERA","Fuera del marco",IF(K33="N/A","Sin marco",IFERROR(INDEX(Catalogo_TIMSS!$C$5:$C$105,MATCH(K33,Catalogo_TIMSS!$A$5:$A$105,0)),"Pendiente de clasificar")))</f>
        <v>Ciencias de la Tierra</v>
      </c>
      <c r="N33" s="8" t="str">
        <f aca="false">IF(K33="FUERA","Fuera del marco",IF(K33="N/A","Sin marco",IFERROR(INDEX(Catalogo_TIMSS!$F$5:$F$105,MATCH(K33,Catalogo_TIMSS!$A$5:$A$105,0)),"Pendiente de clasificar")))</f>
        <v>La Tierra en el Sistema Solar</v>
      </c>
      <c r="O33" s="8" t="str">
        <f aca="false">IF(L33="","",IFERROR(INDEX(Catalogo_TIMSS!$C$5:$C$105,MATCH(L33,Catalogo_TIMSS!$A$5:$A$105,0)),"?"))</f>
        <v/>
      </c>
      <c r="P33" s="8" t="s">
        <v>460</v>
      </c>
      <c r="Q33" s="27" t="s">
        <v>544</v>
      </c>
      <c r="R33" s="27" t="s">
        <v>451</v>
      </c>
      <c r="S33" s="28" t="n">
        <f aca="false">IFERROR(ISNUMBER(SEARCH("Conocer",$R33))/(ISNUMBER(SEARCH("Conocer",$R33))+ISNUMBER(SEARCH("Aplicar",$R33))+ISNUMBER(SEARCH("Razonar",$R33))),0)</f>
        <v>0</v>
      </c>
      <c r="T33" s="28" t="n">
        <f aca="false">IFERROR(ISNUMBER(SEARCH("Aplicar",$R33))/(ISNUMBER(SEARCH("Conocer",$R33))+ISNUMBER(SEARCH("Aplicar",$R33))+ISNUMBER(SEARCH("Razonar",$R33))),0)</f>
        <v>1</v>
      </c>
      <c r="U33" s="28" t="n">
        <f aca="false">IFERROR(ISNUMBER(SEARCH("Razonar",$R33))/(ISNUMBER(SEARCH("Conocer",$R33))+ISNUMBER(SEARCH("Aplicar",$R33))+ISNUMBER(SEARCH("Razonar",$R33))),0)</f>
        <v>0</v>
      </c>
      <c r="V33" s="8" t="s">
        <v>44</v>
      </c>
      <c r="W33" s="8" t="s">
        <v>66</v>
      </c>
    </row>
    <row r="34" customFormat="false" ht="15" hidden="false" customHeight="false" outlineLevel="0" collapsed="false">
      <c r="A34" s="8" t="s">
        <v>545</v>
      </c>
      <c r="B34" s="8" t="n">
        <v>2</v>
      </c>
      <c r="C34" s="8" t="s">
        <v>411</v>
      </c>
      <c r="D34" s="8" t="s">
        <v>412</v>
      </c>
      <c r="E34" s="8" t="s">
        <v>519</v>
      </c>
      <c r="F34" s="8" t="n">
        <v>9</v>
      </c>
      <c r="G34" s="8" t="s">
        <v>520</v>
      </c>
      <c r="H34" s="8" t="s">
        <v>542</v>
      </c>
      <c r="I34" s="27" t="s">
        <v>546</v>
      </c>
      <c r="J34" s="8" t="s">
        <v>109</v>
      </c>
      <c r="K34" s="8" t="s">
        <v>177</v>
      </c>
      <c r="L34" s="8" t="s">
        <v>175</v>
      </c>
      <c r="M34" s="8" t="str">
        <f aca="false">IF(K34="FUERA","Fuera del marco",IF(K34="N/A","Sin marco",IFERROR(INDEX(Catalogo_TIMSS!$C$5:$C$105,MATCH(K34,Catalogo_TIMSS!$A$5:$A$105,0)),"Pendiente de clasificar")))</f>
        <v>Ciencias de la Tierra</v>
      </c>
      <c r="N34" s="8" t="str">
        <f aca="false">IF(K34="FUERA","Fuera del marco",IF(K34="N/A","Sin marco",IFERROR(INDEX(Catalogo_TIMSS!$F$5:$F$105,MATCH(K34,Catalogo_TIMSS!$A$5:$A$105,0)),"Pendiente de clasificar")))</f>
        <v>Tiempo atmosférico y clima</v>
      </c>
      <c r="O34" s="8" t="str">
        <f aca="false">IF(L34="","",IFERROR(INDEX(Catalogo_TIMSS!$C$5:$C$105,MATCH(L34,Catalogo_TIMSS!$A$5:$A$105,0)),"?"))</f>
        <v>Ciencias de la Tierra</v>
      </c>
      <c r="P34" s="8" t="s">
        <v>460</v>
      </c>
      <c r="Q34" s="27" t="s">
        <v>547</v>
      </c>
      <c r="R34" s="27" t="s">
        <v>424</v>
      </c>
      <c r="S34" s="28" t="n">
        <f aca="false">IFERROR(ISNUMBER(SEARCH("Conocer",$R34))/(ISNUMBER(SEARCH("Conocer",$R34))+ISNUMBER(SEARCH("Aplicar",$R34))+ISNUMBER(SEARCH("Razonar",$R34))),0)</f>
        <v>0.5</v>
      </c>
      <c r="T34" s="28" t="n">
        <f aca="false">IFERROR(ISNUMBER(SEARCH("Aplicar",$R34))/(ISNUMBER(SEARCH("Conocer",$R34))+ISNUMBER(SEARCH("Aplicar",$R34))+ISNUMBER(SEARCH("Razonar",$R34))),0)</f>
        <v>0.5</v>
      </c>
      <c r="U34" s="28" t="n">
        <f aca="false">IFERROR(ISNUMBER(SEARCH("Razonar",$R34))/(ISNUMBER(SEARCH("Conocer",$R34))+ISNUMBER(SEARCH("Aplicar",$R34))+ISNUMBER(SEARCH("Razonar",$R34))),0)</f>
        <v>0</v>
      </c>
      <c r="V34" s="8" t="s">
        <v>44</v>
      </c>
      <c r="W34" s="8" t="s">
        <v>66</v>
      </c>
    </row>
    <row r="35" customFormat="false" ht="15" hidden="false" customHeight="false" outlineLevel="0" collapsed="false">
      <c r="A35" s="8" t="s">
        <v>548</v>
      </c>
      <c r="B35" s="8" t="n">
        <v>2</v>
      </c>
      <c r="C35" s="8" t="s">
        <v>411</v>
      </c>
      <c r="D35" s="8" t="s">
        <v>412</v>
      </c>
      <c r="E35" s="8" t="s">
        <v>519</v>
      </c>
      <c r="F35" s="8" t="n">
        <v>10</v>
      </c>
      <c r="G35" s="8" t="s">
        <v>520</v>
      </c>
      <c r="H35" s="8" t="s">
        <v>542</v>
      </c>
      <c r="I35" s="27" t="s">
        <v>549</v>
      </c>
      <c r="J35" s="8" t="s">
        <v>109</v>
      </c>
      <c r="K35" s="8" t="s">
        <v>177</v>
      </c>
      <c r="L35" s="8"/>
      <c r="M35" s="8" t="str">
        <f aca="false">IF(K35="FUERA","Fuera del marco",IF(K35="N/A","Sin marco",IFERROR(INDEX(Catalogo_TIMSS!$C$5:$C$105,MATCH(K35,Catalogo_TIMSS!$A$5:$A$105,0)),"Pendiente de clasificar")))</f>
        <v>Ciencias de la Tierra</v>
      </c>
      <c r="N35" s="8" t="str">
        <f aca="false">IF(K35="FUERA","Fuera del marco",IF(K35="N/A","Sin marco",IFERROR(INDEX(Catalogo_TIMSS!$F$5:$F$105,MATCH(K35,Catalogo_TIMSS!$A$5:$A$105,0)),"Pendiente de clasificar")))</f>
        <v>Tiempo atmosférico y clima</v>
      </c>
      <c r="O35" s="8" t="str">
        <f aca="false">IF(L35="","",IFERROR(INDEX(Catalogo_TIMSS!$C$5:$C$105,MATCH(L35,Catalogo_TIMSS!$A$5:$A$105,0)),"?"))</f>
        <v/>
      </c>
      <c r="P35" s="8" t="s">
        <v>418</v>
      </c>
      <c r="Q35" s="27" t="s">
        <v>550</v>
      </c>
      <c r="R35" s="27" t="s">
        <v>551</v>
      </c>
      <c r="S35" s="28" t="n">
        <f aca="false">IFERROR(ISNUMBER(SEARCH("Conocer",$R35))/(ISNUMBER(SEARCH("Conocer",$R35))+ISNUMBER(SEARCH("Aplicar",$R35))+ISNUMBER(SEARCH("Razonar",$R35))),0)</f>
        <v>0</v>
      </c>
      <c r="T35" s="28" t="n">
        <f aca="false">IFERROR(ISNUMBER(SEARCH("Aplicar",$R35))/(ISNUMBER(SEARCH("Conocer",$R35))+ISNUMBER(SEARCH("Aplicar",$R35))+ISNUMBER(SEARCH("Razonar",$R35))),0)</f>
        <v>0</v>
      </c>
      <c r="U35" s="28" t="n">
        <f aca="false">IFERROR(ISNUMBER(SEARCH("Razonar",$R35))/(ISNUMBER(SEARCH("Conocer",$R35))+ISNUMBER(SEARCH("Aplicar",$R35))+ISNUMBER(SEARCH("Razonar",$R35))),0)</f>
        <v>1</v>
      </c>
      <c r="V35" s="8" t="s">
        <v>44</v>
      </c>
      <c r="W35" s="8" t="s">
        <v>66</v>
      </c>
    </row>
    <row r="36" customFormat="false" ht="15" hidden="false" customHeight="false" outlineLevel="0" collapsed="false">
      <c r="A36" s="8" t="s">
        <v>552</v>
      </c>
      <c r="B36" s="8" t="n">
        <v>2</v>
      </c>
      <c r="C36" s="8" t="s">
        <v>411</v>
      </c>
      <c r="D36" s="8" t="s">
        <v>412</v>
      </c>
      <c r="E36" s="8" t="s">
        <v>553</v>
      </c>
      <c r="F36" s="8" t="n">
        <v>3</v>
      </c>
      <c r="G36" s="8" t="s">
        <v>554</v>
      </c>
      <c r="H36" s="8" t="s">
        <v>555</v>
      </c>
      <c r="I36" s="27" t="s">
        <v>556</v>
      </c>
      <c r="J36" s="8" t="s">
        <v>109</v>
      </c>
      <c r="K36" s="8" t="s">
        <v>108</v>
      </c>
      <c r="L36" s="8"/>
      <c r="M36" s="8" t="str">
        <f aca="false">IF(K36="FUERA","Fuera del marco",IF(K36="N/A","Sin marco",IFERROR(INDEX(Catalogo_TIMSS!$C$5:$C$105,MATCH(K36,Catalogo_TIMSS!$A$5:$A$105,0)),"Pendiente de clasificar")))</f>
        <v>Ciencias de la vida</v>
      </c>
      <c r="N36" s="8" t="str">
        <f aca="false">IF(K36="FUERA","Fuera del marco",IF(K36="N/A","Sin marco",IFERROR(INDEX(Catalogo_TIMSS!$F$5:$F$105,MATCH(K36,Catalogo_TIMSS!$A$5:$A$105,0)),"Pendiente de clasificar")))</f>
        <v>Características y procesos vitales de los organismos</v>
      </c>
      <c r="O36" s="8" t="str">
        <f aca="false">IF(L36="","",IFERROR(INDEX(Catalogo_TIMSS!$C$5:$C$105,MATCH(L36,Catalogo_TIMSS!$A$5:$A$105,0)),"?"))</f>
        <v/>
      </c>
      <c r="P36" s="8" t="s">
        <v>418</v>
      </c>
      <c r="Q36" s="27" t="s">
        <v>557</v>
      </c>
      <c r="R36" s="27" t="s">
        <v>433</v>
      </c>
      <c r="S36" s="28" t="n">
        <f aca="false">IFERROR(ISNUMBER(SEARCH("Conocer",$R36))/(ISNUMBER(SEARCH("Conocer",$R36))+ISNUMBER(SEARCH("Aplicar",$R36))+ISNUMBER(SEARCH("Razonar",$R36))),0)</f>
        <v>0.5</v>
      </c>
      <c r="T36" s="28" t="n">
        <f aca="false">IFERROR(ISNUMBER(SEARCH("Aplicar",$R36))/(ISNUMBER(SEARCH("Conocer",$R36))+ISNUMBER(SEARCH("Aplicar",$R36))+ISNUMBER(SEARCH("Razonar",$R36))),0)</f>
        <v>0.5</v>
      </c>
      <c r="U36" s="28" t="n">
        <f aca="false">IFERROR(ISNUMBER(SEARCH("Razonar",$R36))/(ISNUMBER(SEARCH("Conocer",$R36))+ISNUMBER(SEARCH("Aplicar",$R36))+ISNUMBER(SEARCH("Razonar",$R36))),0)</f>
        <v>0</v>
      </c>
      <c r="V36" s="8" t="s">
        <v>44</v>
      </c>
      <c r="W36" s="8" t="s">
        <v>66</v>
      </c>
    </row>
    <row r="37" customFormat="false" ht="15" hidden="false" customHeight="false" outlineLevel="0" collapsed="false">
      <c r="A37" s="8" t="s">
        <v>558</v>
      </c>
      <c r="B37" s="8" t="n">
        <v>2</v>
      </c>
      <c r="C37" s="8" t="s">
        <v>411</v>
      </c>
      <c r="D37" s="8" t="s">
        <v>412</v>
      </c>
      <c r="E37" s="8" t="s">
        <v>553</v>
      </c>
      <c r="F37" s="8" t="n">
        <v>4</v>
      </c>
      <c r="G37" s="8" t="s">
        <v>554</v>
      </c>
      <c r="H37" s="8" t="s">
        <v>559</v>
      </c>
      <c r="I37" s="27" t="s">
        <v>560</v>
      </c>
      <c r="J37" s="8" t="s">
        <v>109</v>
      </c>
      <c r="K37" s="8" t="s">
        <v>124</v>
      </c>
      <c r="L37" s="8"/>
      <c r="M37" s="8" t="str">
        <f aca="false">IF(K37="FUERA","Fuera del marco",IF(K37="N/A","Sin marco",IFERROR(INDEX(Catalogo_TIMSS!$C$5:$C$105,MATCH(K37,Catalogo_TIMSS!$A$5:$A$105,0)),"Pendiente de clasificar")))</f>
        <v>Ciencias de la vida</v>
      </c>
      <c r="N37" s="8" t="str">
        <f aca="false">IF(K37="FUERA","Fuera del marco",IF(K37="N/A","Sin marco",IFERROR(INDEX(Catalogo_TIMSS!$F$5:$F$105,MATCH(K37,Catalogo_TIMSS!$A$5:$A$105,0)),"Pendiente de clasificar")))</f>
        <v>Organismos, ambiente y sus interacciones</v>
      </c>
      <c r="O37" s="8" t="str">
        <f aca="false">IF(L37="","",IFERROR(INDEX(Catalogo_TIMSS!$C$5:$C$105,MATCH(L37,Catalogo_TIMSS!$A$5:$A$105,0)),"?"))</f>
        <v/>
      </c>
      <c r="P37" s="8" t="s">
        <v>460</v>
      </c>
      <c r="Q37" s="27" t="s">
        <v>561</v>
      </c>
      <c r="R37" s="27" t="s">
        <v>562</v>
      </c>
      <c r="S37" s="28" t="n">
        <f aca="false">IFERROR(ISNUMBER(SEARCH("Conocer",$R37))/(ISNUMBER(SEARCH("Conocer",$R37))+ISNUMBER(SEARCH("Aplicar",$R37))+ISNUMBER(SEARCH("Razonar",$R37))),0)</f>
        <v>0</v>
      </c>
      <c r="T37" s="28" t="n">
        <f aca="false">IFERROR(ISNUMBER(SEARCH("Aplicar",$R37))/(ISNUMBER(SEARCH("Conocer",$R37))+ISNUMBER(SEARCH("Aplicar",$R37))+ISNUMBER(SEARCH("Razonar",$R37))),0)</f>
        <v>0.5</v>
      </c>
      <c r="U37" s="28" t="n">
        <f aca="false">IFERROR(ISNUMBER(SEARCH("Razonar",$R37))/(ISNUMBER(SEARCH("Conocer",$R37))+ISNUMBER(SEARCH("Aplicar",$R37))+ISNUMBER(SEARCH("Razonar",$R37))),0)</f>
        <v>0.5</v>
      </c>
      <c r="V37" s="8" t="s">
        <v>44</v>
      </c>
      <c r="W37" s="8" t="s">
        <v>66</v>
      </c>
    </row>
    <row r="38" customFormat="false" ht="15" hidden="false" customHeight="false" outlineLevel="0" collapsed="false">
      <c r="A38" s="8" t="s">
        <v>563</v>
      </c>
      <c r="B38" s="8" t="n">
        <v>2</v>
      </c>
      <c r="C38" s="8" t="s">
        <v>411</v>
      </c>
      <c r="D38" s="8" t="s">
        <v>412</v>
      </c>
      <c r="E38" s="8" t="s">
        <v>553</v>
      </c>
      <c r="F38" s="8" t="n">
        <v>5</v>
      </c>
      <c r="G38" s="8" t="s">
        <v>554</v>
      </c>
      <c r="H38" s="8" t="s">
        <v>559</v>
      </c>
      <c r="I38" s="27" t="s">
        <v>564</v>
      </c>
      <c r="J38" s="8" t="s">
        <v>109</v>
      </c>
      <c r="K38" s="8" t="s">
        <v>116</v>
      </c>
      <c r="L38" s="8"/>
      <c r="M38" s="8" t="str">
        <f aca="false">IF(K38="FUERA","Fuera del marco",IF(K38="N/A","Sin marco",IFERROR(INDEX(Catalogo_TIMSS!$C$5:$C$105,MATCH(K38,Catalogo_TIMSS!$A$5:$A$105,0)),"Pendiente de clasificar")))</f>
        <v>Ciencias de la vida</v>
      </c>
      <c r="N38" s="8" t="str">
        <f aca="false">IF(K38="FUERA","Fuera del marco",IF(K38="N/A","Sin marco",IFERROR(INDEX(Catalogo_TIMSS!$F$5:$F$105,MATCH(K38,Catalogo_TIMSS!$A$5:$A$105,0)),"Pendiente de clasificar")))</f>
        <v>Ciclos de vida, reproducción y herencia</v>
      </c>
      <c r="O38" s="8" t="str">
        <f aca="false">IF(L38="","",IFERROR(INDEX(Catalogo_TIMSS!$C$5:$C$105,MATCH(L38,Catalogo_TIMSS!$A$5:$A$105,0)),"?"))</f>
        <v/>
      </c>
      <c r="P38" s="8" t="s">
        <v>418</v>
      </c>
      <c r="Q38" s="27" t="s">
        <v>565</v>
      </c>
      <c r="R38" s="27" t="s">
        <v>566</v>
      </c>
      <c r="S38" s="28" t="n">
        <f aca="false">IFERROR(ISNUMBER(SEARCH("Conocer",$R38))/(ISNUMBER(SEARCH("Conocer",$R38))+ISNUMBER(SEARCH("Aplicar",$R38))+ISNUMBER(SEARCH("Razonar",$R38))),0)</f>
        <v>0</v>
      </c>
      <c r="T38" s="28" t="n">
        <f aca="false">IFERROR(ISNUMBER(SEARCH("Aplicar",$R38))/(ISNUMBER(SEARCH("Conocer",$R38))+ISNUMBER(SEARCH("Aplicar",$R38))+ISNUMBER(SEARCH("Razonar",$R38))),0)</f>
        <v>0.5</v>
      </c>
      <c r="U38" s="28" t="n">
        <f aca="false">IFERROR(ISNUMBER(SEARCH("Razonar",$R38))/(ISNUMBER(SEARCH("Conocer",$R38))+ISNUMBER(SEARCH("Aplicar",$R38))+ISNUMBER(SEARCH("Razonar",$R38))),0)</f>
        <v>0.5</v>
      </c>
      <c r="V38" s="8" t="s">
        <v>44</v>
      </c>
      <c r="W38" s="8" t="s">
        <v>66</v>
      </c>
    </row>
    <row r="39" customFormat="false" ht="15" hidden="false" customHeight="false" outlineLevel="0" collapsed="false">
      <c r="A39" s="8" t="s">
        <v>567</v>
      </c>
      <c r="B39" s="8" t="n">
        <v>2</v>
      </c>
      <c r="C39" s="8" t="s">
        <v>411</v>
      </c>
      <c r="D39" s="8" t="s">
        <v>412</v>
      </c>
      <c r="E39" s="8" t="s">
        <v>553</v>
      </c>
      <c r="F39" s="8" t="n">
        <v>6</v>
      </c>
      <c r="G39" s="8" t="s">
        <v>554</v>
      </c>
      <c r="H39" s="8" t="s">
        <v>568</v>
      </c>
      <c r="I39" s="27" t="s">
        <v>569</v>
      </c>
      <c r="J39" s="8" t="s">
        <v>109</v>
      </c>
      <c r="K39" s="8" t="s">
        <v>128</v>
      </c>
      <c r="L39" s="8" t="s">
        <v>108</v>
      </c>
      <c r="M39" s="8" t="str">
        <f aca="false">IF(K39="FUERA","Fuera del marco",IF(K39="N/A","Sin marco",IFERROR(INDEX(Catalogo_TIMSS!$C$5:$C$105,MATCH(K39,Catalogo_TIMSS!$A$5:$A$105,0)),"Pendiente de clasificar")))</f>
        <v>Ciencias de la vida</v>
      </c>
      <c r="N39" s="8" t="str">
        <f aca="false">IF(K39="FUERA","Fuera del marco",IF(K39="N/A","Sin marco",IFERROR(INDEX(Catalogo_TIMSS!$F$5:$F$105,MATCH(K39,Catalogo_TIMSS!$A$5:$A$105,0)),"Pendiente de clasificar")))</f>
        <v>Ecosistemas</v>
      </c>
      <c r="O39" s="8" t="str">
        <f aca="false">IF(L39="","",IFERROR(INDEX(Catalogo_TIMSS!$C$5:$C$105,MATCH(L39,Catalogo_TIMSS!$A$5:$A$105,0)),"?"))</f>
        <v>Ciencias de la vida</v>
      </c>
      <c r="P39" s="8" t="s">
        <v>460</v>
      </c>
      <c r="Q39" s="27" t="s">
        <v>570</v>
      </c>
      <c r="R39" s="27" t="s">
        <v>451</v>
      </c>
      <c r="S39" s="28" t="n">
        <f aca="false">IFERROR(ISNUMBER(SEARCH("Conocer",$R39))/(ISNUMBER(SEARCH("Conocer",$R39))+ISNUMBER(SEARCH("Aplicar",$R39))+ISNUMBER(SEARCH("Razonar",$R39))),0)</f>
        <v>0</v>
      </c>
      <c r="T39" s="28" t="n">
        <f aca="false">IFERROR(ISNUMBER(SEARCH("Aplicar",$R39))/(ISNUMBER(SEARCH("Conocer",$R39))+ISNUMBER(SEARCH("Aplicar",$R39))+ISNUMBER(SEARCH("Razonar",$R39))),0)</f>
        <v>1</v>
      </c>
      <c r="U39" s="28" t="n">
        <f aca="false">IFERROR(ISNUMBER(SEARCH("Razonar",$R39))/(ISNUMBER(SEARCH("Conocer",$R39))+ISNUMBER(SEARCH("Aplicar",$R39))+ISNUMBER(SEARCH("Razonar",$R39))),0)</f>
        <v>0</v>
      </c>
      <c r="V39" s="8" t="s">
        <v>44</v>
      </c>
      <c r="W39" s="8" t="s">
        <v>66</v>
      </c>
    </row>
    <row r="40" customFormat="false" ht="15" hidden="false" customHeight="false" outlineLevel="0" collapsed="false">
      <c r="A40" s="8" t="s">
        <v>571</v>
      </c>
      <c r="B40" s="8" t="n">
        <v>2</v>
      </c>
      <c r="C40" s="8" t="s">
        <v>411</v>
      </c>
      <c r="D40" s="8" t="s">
        <v>412</v>
      </c>
      <c r="E40" s="8" t="s">
        <v>553</v>
      </c>
      <c r="F40" s="8" t="n">
        <v>7</v>
      </c>
      <c r="G40" s="8" t="s">
        <v>554</v>
      </c>
      <c r="H40" s="8" t="s">
        <v>572</v>
      </c>
      <c r="I40" s="27" t="s">
        <v>573</v>
      </c>
      <c r="J40" s="8" t="s">
        <v>109</v>
      </c>
      <c r="K40" s="8" t="s">
        <v>112</v>
      </c>
      <c r="L40" s="8"/>
      <c r="M40" s="8" t="str">
        <f aca="false">IF(K40="FUERA","Fuera del marco",IF(K40="N/A","Sin marco",IFERROR(INDEX(Catalogo_TIMSS!$C$5:$C$105,MATCH(K40,Catalogo_TIMSS!$A$5:$A$105,0)),"Pendiente de clasificar")))</f>
        <v>Ciencias de la vida</v>
      </c>
      <c r="N40" s="8" t="str">
        <f aca="false">IF(K40="FUERA","Fuera del marco",IF(K40="N/A","Sin marco",IFERROR(INDEX(Catalogo_TIMSS!$F$5:$F$105,MATCH(K40,Catalogo_TIMSS!$A$5:$A$105,0)),"Pendiente de clasificar")))</f>
        <v>Características y procesos vitales de los organismos</v>
      </c>
      <c r="O40" s="8" t="str">
        <f aca="false">IF(L40="","",IFERROR(INDEX(Catalogo_TIMSS!$C$5:$C$105,MATCH(L40,Catalogo_TIMSS!$A$5:$A$105,0)),"?"))</f>
        <v/>
      </c>
      <c r="P40" s="8" t="s">
        <v>460</v>
      </c>
      <c r="Q40" s="27" t="s">
        <v>574</v>
      </c>
      <c r="R40" s="27" t="s">
        <v>575</v>
      </c>
      <c r="S40" s="28" t="n">
        <f aca="false">IFERROR(ISNUMBER(SEARCH("Conocer",$R40))/(ISNUMBER(SEARCH("Conocer",$R40))+ISNUMBER(SEARCH("Aplicar",$R40))+ISNUMBER(SEARCH("Razonar",$R40))),0)</f>
        <v>1</v>
      </c>
      <c r="T40" s="28" t="n">
        <f aca="false">IFERROR(ISNUMBER(SEARCH("Aplicar",$R40))/(ISNUMBER(SEARCH("Conocer",$R40))+ISNUMBER(SEARCH("Aplicar",$R40))+ISNUMBER(SEARCH("Razonar",$R40))),0)</f>
        <v>0</v>
      </c>
      <c r="U40" s="28" t="n">
        <f aca="false">IFERROR(ISNUMBER(SEARCH("Razonar",$R40))/(ISNUMBER(SEARCH("Conocer",$R40))+ISNUMBER(SEARCH("Aplicar",$R40))+ISNUMBER(SEARCH("Razonar",$R40))),0)</f>
        <v>0</v>
      </c>
      <c r="V40" s="8" t="s">
        <v>44</v>
      </c>
      <c r="W40" s="8" t="s">
        <v>66</v>
      </c>
    </row>
    <row r="41" customFormat="false" ht="15" hidden="false" customHeight="false" outlineLevel="0" collapsed="false">
      <c r="A41" s="8" t="s">
        <v>576</v>
      </c>
      <c r="B41" s="8" t="n">
        <v>2</v>
      </c>
      <c r="C41" s="8" t="s">
        <v>411</v>
      </c>
      <c r="D41" s="8" t="s">
        <v>412</v>
      </c>
      <c r="E41" s="8" t="s">
        <v>553</v>
      </c>
      <c r="F41" s="8" t="n">
        <v>8</v>
      </c>
      <c r="G41" s="8" t="s">
        <v>554</v>
      </c>
      <c r="H41" s="8" t="s">
        <v>572</v>
      </c>
      <c r="I41" s="27" t="s">
        <v>577</v>
      </c>
      <c r="J41" s="8" t="s">
        <v>109</v>
      </c>
      <c r="K41" s="8" t="s">
        <v>112</v>
      </c>
      <c r="L41" s="8"/>
      <c r="M41" s="8" t="str">
        <f aca="false">IF(K41="FUERA","Fuera del marco",IF(K41="N/A","Sin marco",IFERROR(INDEX(Catalogo_TIMSS!$C$5:$C$105,MATCH(K41,Catalogo_TIMSS!$A$5:$A$105,0)),"Pendiente de clasificar")))</f>
        <v>Ciencias de la vida</v>
      </c>
      <c r="N41" s="8" t="str">
        <f aca="false">IF(K41="FUERA","Fuera del marco",IF(K41="N/A","Sin marco",IFERROR(INDEX(Catalogo_TIMSS!$F$5:$F$105,MATCH(K41,Catalogo_TIMSS!$A$5:$A$105,0)),"Pendiente de clasificar")))</f>
        <v>Características y procesos vitales de los organismos</v>
      </c>
      <c r="O41" s="8" t="str">
        <f aca="false">IF(L41="","",IFERROR(INDEX(Catalogo_TIMSS!$C$5:$C$105,MATCH(L41,Catalogo_TIMSS!$A$5:$A$105,0)),"?"))</f>
        <v/>
      </c>
      <c r="P41" s="8" t="s">
        <v>418</v>
      </c>
      <c r="Q41" s="27" t="s">
        <v>578</v>
      </c>
      <c r="R41" s="27" t="s">
        <v>429</v>
      </c>
      <c r="S41" s="28" t="n">
        <f aca="false">IFERROR(ISNUMBER(SEARCH("Conocer",$R41))/(ISNUMBER(SEARCH("Conocer",$R41))+ISNUMBER(SEARCH("Aplicar",$R41))+ISNUMBER(SEARCH("Razonar",$R41))),0)</f>
        <v>0</v>
      </c>
      <c r="T41" s="28" t="n">
        <f aca="false">IFERROR(ISNUMBER(SEARCH("Aplicar",$R41))/(ISNUMBER(SEARCH("Conocer",$R41))+ISNUMBER(SEARCH("Aplicar",$R41))+ISNUMBER(SEARCH("Razonar",$R41))),0)</f>
        <v>1</v>
      </c>
      <c r="U41" s="28" t="n">
        <f aca="false">IFERROR(ISNUMBER(SEARCH("Razonar",$R41))/(ISNUMBER(SEARCH("Conocer",$R41))+ISNUMBER(SEARCH("Aplicar",$R41))+ISNUMBER(SEARCH("Razonar",$R41))),0)</f>
        <v>0</v>
      </c>
      <c r="V41" s="8" t="s">
        <v>44</v>
      </c>
      <c r="W41" s="8" t="s">
        <v>66</v>
      </c>
    </row>
    <row r="42" customFormat="false" ht="15" hidden="false" customHeight="false" outlineLevel="0" collapsed="false">
      <c r="A42" s="8" t="s">
        <v>579</v>
      </c>
      <c r="B42" s="8" t="n">
        <v>2</v>
      </c>
      <c r="C42" s="8" t="s">
        <v>411</v>
      </c>
      <c r="D42" s="8" t="s">
        <v>412</v>
      </c>
      <c r="E42" s="8" t="s">
        <v>553</v>
      </c>
      <c r="F42" s="8" t="n">
        <v>9</v>
      </c>
      <c r="G42" s="8" t="s">
        <v>554</v>
      </c>
      <c r="H42" s="8" t="s">
        <v>580</v>
      </c>
      <c r="I42" s="27" t="s">
        <v>581</v>
      </c>
      <c r="J42" s="8" t="s">
        <v>109</v>
      </c>
      <c r="K42" s="8" t="s">
        <v>114</v>
      </c>
      <c r="L42" s="8" t="s">
        <v>108</v>
      </c>
      <c r="M42" s="8" t="str">
        <f aca="false">IF(K42="FUERA","Fuera del marco",IF(K42="N/A","Sin marco",IFERROR(INDEX(Catalogo_TIMSS!$C$5:$C$105,MATCH(K42,Catalogo_TIMSS!$A$5:$A$105,0)),"Pendiente de clasificar")))</f>
        <v>Ciencias de la vida</v>
      </c>
      <c r="N42" s="8" t="str">
        <f aca="false">IF(K42="FUERA","Fuera del marco",IF(K42="N/A","Sin marco",IFERROR(INDEX(Catalogo_TIMSS!$F$5:$F$105,MATCH(K42,Catalogo_TIMSS!$A$5:$A$105,0)),"Pendiente de clasificar")))</f>
        <v>Características y procesos vitales de los organismos</v>
      </c>
      <c r="O42" s="8" t="str">
        <f aca="false">IF(L42="","",IFERROR(INDEX(Catalogo_TIMSS!$C$5:$C$105,MATCH(L42,Catalogo_TIMSS!$A$5:$A$105,0)),"?"))</f>
        <v>Ciencias de la vida</v>
      </c>
      <c r="P42" s="8" t="s">
        <v>418</v>
      </c>
      <c r="Q42" s="27" t="s">
        <v>582</v>
      </c>
      <c r="R42" s="27" t="s">
        <v>583</v>
      </c>
      <c r="S42" s="28" t="n">
        <f aca="false">IFERROR(ISNUMBER(SEARCH("Conocer",$R42))/(ISNUMBER(SEARCH("Conocer",$R42))+ISNUMBER(SEARCH("Aplicar",$R42))+ISNUMBER(SEARCH("Razonar",$R42))),0)</f>
        <v>0.5</v>
      </c>
      <c r="T42" s="28" t="n">
        <f aca="false">IFERROR(ISNUMBER(SEARCH("Aplicar",$R42))/(ISNUMBER(SEARCH("Conocer",$R42))+ISNUMBER(SEARCH("Aplicar",$R42))+ISNUMBER(SEARCH("Razonar",$R42))),0)</f>
        <v>0.5</v>
      </c>
      <c r="U42" s="28" t="n">
        <f aca="false">IFERROR(ISNUMBER(SEARCH("Razonar",$R42))/(ISNUMBER(SEARCH("Conocer",$R42))+ISNUMBER(SEARCH("Aplicar",$R42))+ISNUMBER(SEARCH("Razonar",$R42))),0)</f>
        <v>0</v>
      </c>
      <c r="V42" s="8" t="s">
        <v>44</v>
      </c>
      <c r="W42" s="8" t="s">
        <v>66</v>
      </c>
    </row>
    <row r="43" customFormat="false" ht="15" hidden="false" customHeight="false" outlineLevel="0" collapsed="false">
      <c r="A43" s="8" t="s">
        <v>584</v>
      </c>
      <c r="B43" s="8" t="n">
        <v>2</v>
      </c>
      <c r="C43" s="8" t="s">
        <v>411</v>
      </c>
      <c r="D43" s="8" t="s">
        <v>412</v>
      </c>
      <c r="E43" s="8" t="s">
        <v>553</v>
      </c>
      <c r="F43" s="8" t="n">
        <v>10</v>
      </c>
      <c r="G43" s="8" t="s">
        <v>554</v>
      </c>
      <c r="H43" s="8" t="s">
        <v>580</v>
      </c>
      <c r="I43" s="27" t="s">
        <v>585</v>
      </c>
      <c r="J43" s="8" t="s">
        <v>109</v>
      </c>
      <c r="K43" s="8" t="s">
        <v>128</v>
      </c>
      <c r="L43" s="8"/>
      <c r="M43" s="8" t="str">
        <f aca="false">IF(K43="FUERA","Fuera del marco",IF(K43="N/A","Sin marco",IFERROR(INDEX(Catalogo_TIMSS!$C$5:$C$105,MATCH(K43,Catalogo_TIMSS!$A$5:$A$105,0)),"Pendiente de clasificar")))</f>
        <v>Ciencias de la vida</v>
      </c>
      <c r="N43" s="8" t="str">
        <f aca="false">IF(K43="FUERA","Fuera del marco",IF(K43="N/A","Sin marco",IFERROR(INDEX(Catalogo_TIMSS!$F$5:$F$105,MATCH(K43,Catalogo_TIMSS!$A$5:$A$105,0)),"Pendiente de clasificar")))</f>
        <v>Ecosistemas</v>
      </c>
      <c r="O43" s="8" t="str">
        <f aca="false">IF(L43="","",IFERROR(INDEX(Catalogo_TIMSS!$C$5:$C$105,MATCH(L43,Catalogo_TIMSS!$A$5:$A$105,0)),"?"))</f>
        <v/>
      </c>
      <c r="P43" s="8" t="s">
        <v>513</v>
      </c>
      <c r="Q43" s="27" t="s">
        <v>586</v>
      </c>
      <c r="R43" s="27" t="s">
        <v>587</v>
      </c>
      <c r="S43" s="28" t="n">
        <f aca="false">IFERROR(ISNUMBER(SEARCH("Conocer",$R43))/(ISNUMBER(SEARCH("Conocer",$R43))+ISNUMBER(SEARCH("Aplicar",$R43))+ISNUMBER(SEARCH("Razonar",$R43))),0)</f>
        <v>0</v>
      </c>
      <c r="T43" s="28" t="n">
        <f aca="false">IFERROR(ISNUMBER(SEARCH("Aplicar",$R43))/(ISNUMBER(SEARCH("Conocer",$R43))+ISNUMBER(SEARCH("Aplicar",$R43))+ISNUMBER(SEARCH("Razonar",$R43))),0)</f>
        <v>1</v>
      </c>
      <c r="U43" s="28" t="n">
        <f aca="false">IFERROR(ISNUMBER(SEARCH("Razonar",$R43))/(ISNUMBER(SEARCH("Conocer",$R43))+ISNUMBER(SEARCH("Aplicar",$R43))+ISNUMBER(SEARCH("Razonar",$R43))),0)</f>
        <v>0</v>
      </c>
      <c r="V43" s="8" t="s">
        <v>44</v>
      </c>
      <c r="W43" s="8" t="s">
        <v>66</v>
      </c>
    </row>
    <row r="44" customFormat="false" ht="15" hidden="false" customHeight="false" outlineLevel="0" collapsed="false">
      <c r="A44" s="8" t="s">
        <v>588</v>
      </c>
      <c r="B44" s="8" t="n">
        <v>2</v>
      </c>
      <c r="C44" s="8" t="s">
        <v>411</v>
      </c>
      <c r="D44" s="8" t="s">
        <v>412</v>
      </c>
      <c r="E44" s="8" t="s">
        <v>553</v>
      </c>
      <c r="F44" s="8" t="n">
        <v>11</v>
      </c>
      <c r="G44" s="8" t="s">
        <v>554</v>
      </c>
      <c r="H44" s="8" t="s">
        <v>589</v>
      </c>
      <c r="I44" s="27" t="s">
        <v>590</v>
      </c>
      <c r="J44" s="8" t="s">
        <v>109</v>
      </c>
      <c r="K44" s="8" t="s">
        <v>168</v>
      </c>
      <c r="L44" s="8"/>
      <c r="M44" s="8" t="str">
        <f aca="false">IF(K44="FUERA","Fuera del marco",IF(K44="N/A","Sin marco",IFERROR(INDEX(Catalogo_TIMSS!$C$5:$C$105,MATCH(K44,Catalogo_TIMSS!$A$5:$A$105,0)),"Pendiente de clasificar")))</f>
        <v>Ciencias de la Tierra</v>
      </c>
      <c r="N44" s="8" t="str">
        <f aca="false">IF(K44="FUERA","Fuera del marco",IF(K44="N/A","Sin marco",IFERROR(INDEX(Catalogo_TIMSS!$F$5:$F$105,MATCH(K44,Catalogo_TIMSS!$A$5:$A$105,0)),"Pendiente de clasificar")))</f>
        <v>Características físicas, recursos e historia de la Tierra</v>
      </c>
      <c r="O44" s="8" t="str">
        <f aca="false">IF(L44="","",IFERROR(INDEX(Catalogo_TIMSS!$C$5:$C$105,MATCH(L44,Catalogo_TIMSS!$A$5:$A$105,0)),"?"))</f>
        <v/>
      </c>
      <c r="P44" s="8" t="s">
        <v>460</v>
      </c>
      <c r="Q44" s="27" t="s">
        <v>591</v>
      </c>
      <c r="R44" s="27" t="s">
        <v>429</v>
      </c>
      <c r="S44" s="28" t="n">
        <f aca="false">IFERROR(ISNUMBER(SEARCH("Conocer",$R44))/(ISNUMBER(SEARCH("Conocer",$R44))+ISNUMBER(SEARCH("Aplicar",$R44))+ISNUMBER(SEARCH("Razonar",$R44))),0)</f>
        <v>0</v>
      </c>
      <c r="T44" s="28" t="n">
        <f aca="false">IFERROR(ISNUMBER(SEARCH("Aplicar",$R44))/(ISNUMBER(SEARCH("Conocer",$R44))+ISNUMBER(SEARCH("Aplicar",$R44))+ISNUMBER(SEARCH("Razonar",$R44))),0)</f>
        <v>1</v>
      </c>
      <c r="U44" s="28" t="n">
        <f aca="false">IFERROR(ISNUMBER(SEARCH("Razonar",$R44))/(ISNUMBER(SEARCH("Conocer",$R44))+ISNUMBER(SEARCH("Aplicar",$R44))+ISNUMBER(SEARCH("Razonar",$R44))),0)</f>
        <v>0</v>
      </c>
      <c r="V44" s="8" t="s">
        <v>44</v>
      </c>
      <c r="W44" s="8" t="s">
        <v>66</v>
      </c>
    </row>
    <row r="45" customFormat="false" ht="15" hidden="false" customHeight="false" outlineLevel="0" collapsed="false">
      <c r="A45" s="8" t="s">
        <v>592</v>
      </c>
      <c r="B45" s="8" t="n">
        <v>2</v>
      </c>
      <c r="C45" s="8" t="s">
        <v>411</v>
      </c>
      <c r="D45" s="8" t="s">
        <v>412</v>
      </c>
      <c r="E45" s="8" t="s">
        <v>553</v>
      </c>
      <c r="F45" s="8" t="n">
        <v>12</v>
      </c>
      <c r="G45" s="8" t="s">
        <v>554</v>
      </c>
      <c r="H45" s="8" t="s">
        <v>589</v>
      </c>
      <c r="I45" s="27" t="s">
        <v>593</v>
      </c>
      <c r="J45" s="8" t="s">
        <v>109</v>
      </c>
      <c r="K45" s="8" t="s">
        <v>168</v>
      </c>
      <c r="L45" s="8"/>
      <c r="M45" s="8" t="str">
        <f aca="false">IF(K45="FUERA","Fuera del marco",IF(K45="N/A","Sin marco",IFERROR(INDEX(Catalogo_TIMSS!$C$5:$C$105,MATCH(K45,Catalogo_TIMSS!$A$5:$A$105,0)),"Pendiente de clasificar")))</f>
        <v>Ciencias de la Tierra</v>
      </c>
      <c r="N45" s="8" t="str">
        <f aca="false">IF(K45="FUERA","Fuera del marco",IF(K45="N/A","Sin marco",IFERROR(INDEX(Catalogo_TIMSS!$F$5:$F$105,MATCH(K45,Catalogo_TIMSS!$A$5:$A$105,0)),"Pendiente de clasificar")))</f>
        <v>Características físicas, recursos e historia de la Tierra</v>
      </c>
      <c r="O45" s="8" t="str">
        <f aca="false">IF(L45="","",IFERROR(INDEX(Catalogo_TIMSS!$C$5:$C$105,MATCH(L45,Catalogo_TIMSS!$A$5:$A$105,0)),"?"))</f>
        <v/>
      </c>
      <c r="P45" s="8" t="s">
        <v>513</v>
      </c>
      <c r="Q45" s="27" t="s">
        <v>594</v>
      </c>
      <c r="R45" s="27" t="s">
        <v>595</v>
      </c>
      <c r="S45" s="28" t="n">
        <f aca="false">IFERROR(ISNUMBER(SEARCH("Conocer",$R45))/(ISNUMBER(SEARCH("Conocer",$R45))+ISNUMBER(SEARCH("Aplicar",$R45))+ISNUMBER(SEARCH("Razonar",$R45))),0)</f>
        <v>0</v>
      </c>
      <c r="T45" s="28" t="n">
        <f aca="false">IFERROR(ISNUMBER(SEARCH("Aplicar",$R45))/(ISNUMBER(SEARCH("Conocer",$R45))+ISNUMBER(SEARCH("Aplicar",$R45))+ISNUMBER(SEARCH("Razonar",$R45))),0)</f>
        <v>0.5</v>
      </c>
      <c r="U45" s="28" t="n">
        <f aca="false">IFERROR(ISNUMBER(SEARCH("Razonar",$R45))/(ISNUMBER(SEARCH("Conocer",$R45))+ISNUMBER(SEARCH("Aplicar",$R45))+ISNUMBER(SEARCH("Razonar",$R45))),0)</f>
        <v>0.5</v>
      </c>
      <c r="V45" s="8" t="s">
        <v>44</v>
      </c>
      <c r="W45" s="8" t="s">
        <v>66</v>
      </c>
    </row>
    <row r="46" customFormat="false" ht="15" hidden="false" customHeight="false" outlineLevel="0" collapsed="false">
      <c r="A46" s="8" t="s">
        <v>596</v>
      </c>
      <c r="B46" s="8" t="n">
        <v>2</v>
      </c>
      <c r="C46" s="8" t="s">
        <v>411</v>
      </c>
      <c r="D46" s="8" t="s">
        <v>412</v>
      </c>
      <c r="E46" s="8" t="s">
        <v>553</v>
      </c>
      <c r="F46" s="8" t="n">
        <v>13</v>
      </c>
      <c r="G46" s="8" t="s">
        <v>554</v>
      </c>
      <c r="H46" s="8" t="s">
        <v>597</v>
      </c>
      <c r="I46" s="27" t="s">
        <v>598</v>
      </c>
      <c r="J46" s="8" t="s">
        <v>109</v>
      </c>
      <c r="K46" s="8" t="s">
        <v>112</v>
      </c>
      <c r="L46" s="8"/>
      <c r="M46" s="8" t="str">
        <f aca="false">IF(K46="FUERA","Fuera del marco",IF(K46="N/A","Sin marco",IFERROR(INDEX(Catalogo_TIMSS!$C$5:$C$105,MATCH(K46,Catalogo_TIMSS!$A$5:$A$105,0)),"Pendiente de clasificar")))</f>
        <v>Ciencias de la vida</v>
      </c>
      <c r="N46" s="8" t="str">
        <f aca="false">IF(K46="FUERA","Fuera del marco",IF(K46="N/A","Sin marco",IFERROR(INDEX(Catalogo_TIMSS!$F$5:$F$105,MATCH(K46,Catalogo_TIMSS!$A$5:$A$105,0)),"Pendiente de clasificar")))</f>
        <v>Características y procesos vitales de los organismos</v>
      </c>
      <c r="O46" s="8" t="str">
        <f aca="false">IF(L46="","",IFERROR(INDEX(Catalogo_TIMSS!$C$5:$C$105,MATCH(L46,Catalogo_TIMSS!$A$5:$A$105,0)),"?"))</f>
        <v/>
      </c>
      <c r="P46" s="8" t="s">
        <v>418</v>
      </c>
      <c r="Q46" s="27" t="s">
        <v>599</v>
      </c>
      <c r="R46" s="27" t="s">
        <v>600</v>
      </c>
      <c r="S46" s="28" t="n">
        <f aca="false">IFERROR(ISNUMBER(SEARCH("Conocer",$R46))/(ISNUMBER(SEARCH("Conocer",$R46))+ISNUMBER(SEARCH("Aplicar",$R46))+ISNUMBER(SEARCH("Razonar",$R46))),0)</f>
        <v>0.5</v>
      </c>
      <c r="T46" s="28" t="n">
        <f aca="false">IFERROR(ISNUMBER(SEARCH("Aplicar",$R46))/(ISNUMBER(SEARCH("Conocer",$R46))+ISNUMBER(SEARCH("Aplicar",$R46))+ISNUMBER(SEARCH("Razonar",$R46))),0)</f>
        <v>0.5</v>
      </c>
      <c r="U46" s="28" t="n">
        <f aca="false">IFERROR(ISNUMBER(SEARCH("Razonar",$R46))/(ISNUMBER(SEARCH("Conocer",$R46))+ISNUMBER(SEARCH("Aplicar",$R46))+ISNUMBER(SEARCH("Razonar",$R46))),0)</f>
        <v>0</v>
      </c>
      <c r="V46" s="8" t="s">
        <v>44</v>
      </c>
      <c r="W46" s="8" t="s">
        <v>66</v>
      </c>
    </row>
    <row r="47" customFormat="false" ht="15" hidden="false" customHeight="false" outlineLevel="0" collapsed="false">
      <c r="A47" s="8" t="s">
        <v>601</v>
      </c>
      <c r="B47" s="8" t="n">
        <v>2</v>
      </c>
      <c r="C47" s="8" t="s">
        <v>411</v>
      </c>
      <c r="D47" s="8" t="s">
        <v>412</v>
      </c>
      <c r="E47" s="8" t="s">
        <v>553</v>
      </c>
      <c r="F47" s="8" t="n">
        <v>14</v>
      </c>
      <c r="G47" s="8" t="s">
        <v>554</v>
      </c>
      <c r="H47" s="8" t="s">
        <v>597</v>
      </c>
      <c r="I47" s="27" t="s">
        <v>602</v>
      </c>
      <c r="J47" s="8" t="s">
        <v>109</v>
      </c>
      <c r="K47" s="8" t="s">
        <v>121</v>
      </c>
      <c r="L47" s="8" t="s">
        <v>114</v>
      </c>
      <c r="M47" s="8" t="str">
        <f aca="false">IF(K47="FUERA","Fuera del marco",IF(K47="N/A","Sin marco",IFERROR(INDEX(Catalogo_TIMSS!$C$5:$C$105,MATCH(K47,Catalogo_TIMSS!$A$5:$A$105,0)),"Pendiente de clasificar")))</f>
        <v>Ciencias de la vida</v>
      </c>
      <c r="N47" s="8" t="str">
        <f aca="false">IF(K47="FUERA","Fuera del marco",IF(K47="N/A","Sin marco",IFERROR(INDEX(Catalogo_TIMSS!$F$5:$F$105,MATCH(K47,Catalogo_TIMSS!$A$5:$A$105,0)),"Pendiente de clasificar")))</f>
        <v>Organismos, ambiente y sus interacciones</v>
      </c>
      <c r="O47" s="8" t="str">
        <f aca="false">IF(L47="","",IFERROR(INDEX(Catalogo_TIMSS!$C$5:$C$105,MATCH(L47,Catalogo_TIMSS!$A$5:$A$105,0)),"?"))</f>
        <v>Ciencias de la vida</v>
      </c>
      <c r="P47" s="8" t="s">
        <v>418</v>
      </c>
      <c r="Q47" s="27" t="s">
        <v>603</v>
      </c>
      <c r="R47" s="27" t="s">
        <v>604</v>
      </c>
      <c r="S47" s="28" t="n">
        <f aca="false">IFERROR(ISNUMBER(SEARCH("Conocer",$R47))/(ISNUMBER(SEARCH("Conocer",$R47))+ISNUMBER(SEARCH("Aplicar",$R47))+ISNUMBER(SEARCH("Razonar",$R47))),0)</f>
        <v>0</v>
      </c>
      <c r="T47" s="28" t="n">
        <f aca="false">IFERROR(ISNUMBER(SEARCH("Aplicar",$R47))/(ISNUMBER(SEARCH("Conocer",$R47))+ISNUMBER(SEARCH("Aplicar",$R47))+ISNUMBER(SEARCH("Razonar",$R47))),0)</f>
        <v>0.5</v>
      </c>
      <c r="U47" s="28" t="n">
        <f aca="false">IFERROR(ISNUMBER(SEARCH("Razonar",$R47))/(ISNUMBER(SEARCH("Conocer",$R47))+ISNUMBER(SEARCH("Aplicar",$R47))+ISNUMBER(SEARCH("Razonar",$R47))),0)</f>
        <v>0.5</v>
      </c>
      <c r="V47" s="8" t="s">
        <v>44</v>
      </c>
      <c r="W47" s="8" t="s">
        <v>66</v>
      </c>
    </row>
    <row r="48" customFormat="false" ht="15" hidden="false" customHeight="false" outlineLevel="0" collapsed="false">
      <c r="A48" s="8" t="s">
        <v>605</v>
      </c>
      <c r="B48" s="8" t="n">
        <v>2</v>
      </c>
      <c r="C48" s="8" t="s">
        <v>411</v>
      </c>
      <c r="D48" s="8" t="s">
        <v>412</v>
      </c>
      <c r="E48" s="8" t="s">
        <v>553</v>
      </c>
      <c r="F48" s="8" t="n">
        <v>15</v>
      </c>
      <c r="G48" s="8" t="s">
        <v>554</v>
      </c>
      <c r="H48" s="8" t="s">
        <v>597</v>
      </c>
      <c r="I48" s="27" t="s">
        <v>606</v>
      </c>
      <c r="J48" s="8" t="s">
        <v>109</v>
      </c>
      <c r="K48" s="8" t="s">
        <v>112</v>
      </c>
      <c r="L48" s="8"/>
      <c r="M48" s="8" t="str">
        <f aca="false">IF(K48="FUERA","Fuera del marco",IF(K48="N/A","Sin marco",IFERROR(INDEX(Catalogo_TIMSS!$C$5:$C$105,MATCH(K48,Catalogo_TIMSS!$A$5:$A$105,0)),"Pendiente de clasificar")))</f>
        <v>Ciencias de la vida</v>
      </c>
      <c r="N48" s="8" t="str">
        <f aca="false">IF(K48="FUERA","Fuera del marco",IF(K48="N/A","Sin marco",IFERROR(INDEX(Catalogo_TIMSS!$F$5:$F$105,MATCH(K48,Catalogo_TIMSS!$A$5:$A$105,0)),"Pendiente de clasificar")))</f>
        <v>Características y procesos vitales de los organismos</v>
      </c>
      <c r="O48" s="8" t="str">
        <f aca="false">IF(L48="","",IFERROR(INDEX(Catalogo_TIMSS!$C$5:$C$105,MATCH(L48,Catalogo_TIMSS!$A$5:$A$105,0)),"?"))</f>
        <v/>
      </c>
      <c r="P48" s="8" t="s">
        <v>418</v>
      </c>
      <c r="Q48" s="27" t="s">
        <v>607</v>
      </c>
      <c r="R48" s="27" t="s">
        <v>429</v>
      </c>
      <c r="S48" s="28" t="n">
        <f aca="false">IFERROR(ISNUMBER(SEARCH("Conocer",$R48))/(ISNUMBER(SEARCH("Conocer",$R48))+ISNUMBER(SEARCH("Aplicar",$R48))+ISNUMBER(SEARCH("Razonar",$R48))),0)</f>
        <v>0</v>
      </c>
      <c r="T48" s="28" t="n">
        <f aca="false">IFERROR(ISNUMBER(SEARCH("Aplicar",$R48))/(ISNUMBER(SEARCH("Conocer",$R48))+ISNUMBER(SEARCH("Aplicar",$R48))+ISNUMBER(SEARCH("Razonar",$R48))),0)</f>
        <v>1</v>
      </c>
      <c r="U48" s="28" t="n">
        <f aca="false">IFERROR(ISNUMBER(SEARCH("Razonar",$R48))/(ISNUMBER(SEARCH("Conocer",$R48))+ISNUMBER(SEARCH("Aplicar",$R48))+ISNUMBER(SEARCH("Razonar",$R48))),0)</f>
        <v>0</v>
      </c>
      <c r="V48" s="8" t="s">
        <v>44</v>
      </c>
      <c r="W48" s="8" t="s">
        <v>66</v>
      </c>
    </row>
    <row r="49" customFormat="false" ht="15" hidden="false" customHeight="false" outlineLevel="0" collapsed="false">
      <c r="A49" s="8" t="s">
        <v>608</v>
      </c>
      <c r="B49" s="8" t="n">
        <v>2</v>
      </c>
      <c r="C49" s="8" t="s">
        <v>411</v>
      </c>
      <c r="D49" s="8" t="s">
        <v>412</v>
      </c>
      <c r="E49" s="8" t="s">
        <v>553</v>
      </c>
      <c r="F49" s="8" t="n">
        <v>16</v>
      </c>
      <c r="G49" s="8" t="s">
        <v>554</v>
      </c>
      <c r="H49" s="8" t="s">
        <v>609</v>
      </c>
      <c r="I49" s="27" t="s">
        <v>610</v>
      </c>
      <c r="J49" s="8" t="s">
        <v>109</v>
      </c>
      <c r="K49" s="8" t="s">
        <v>168</v>
      </c>
      <c r="L49" s="8"/>
      <c r="M49" s="8" t="str">
        <f aca="false">IF(K49="FUERA","Fuera del marco",IF(K49="N/A","Sin marco",IFERROR(INDEX(Catalogo_TIMSS!$C$5:$C$105,MATCH(K49,Catalogo_TIMSS!$A$5:$A$105,0)),"Pendiente de clasificar")))</f>
        <v>Ciencias de la Tierra</v>
      </c>
      <c r="N49" s="8" t="str">
        <f aca="false">IF(K49="FUERA","Fuera del marco",IF(K49="N/A","Sin marco",IFERROR(INDEX(Catalogo_TIMSS!$F$5:$F$105,MATCH(K49,Catalogo_TIMSS!$A$5:$A$105,0)),"Pendiente de clasificar")))</f>
        <v>Características físicas, recursos e historia de la Tierra</v>
      </c>
      <c r="O49" s="8" t="str">
        <f aca="false">IF(L49="","",IFERROR(INDEX(Catalogo_TIMSS!$C$5:$C$105,MATCH(L49,Catalogo_TIMSS!$A$5:$A$105,0)),"?"))</f>
        <v/>
      </c>
      <c r="P49" s="8" t="s">
        <v>460</v>
      </c>
      <c r="Q49" s="27" t="s">
        <v>611</v>
      </c>
      <c r="R49" s="27" t="s">
        <v>451</v>
      </c>
      <c r="S49" s="28" t="n">
        <f aca="false">IFERROR(ISNUMBER(SEARCH("Conocer",$R49))/(ISNUMBER(SEARCH("Conocer",$R49))+ISNUMBER(SEARCH("Aplicar",$R49))+ISNUMBER(SEARCH("Razonar",$R49))),0)</f>
        <v>0</v>
      </c>
      <c r="T49" s="28" t="n">
        <f aca="false">IFERROR(ISNUMBER(SEARCH("Aplicar",$R49))/(ISNUMBER(SEARCH("Conocer",$R49))+ISNUMBER(SEARCH("Aplicar",$R49))+ISNUMBER(SEARCH("Razonar",$R49))),0)</f>
        <v>1</v>
      </c>
      <c r="U49" s="28" t="n">
        <f aca="false">IFERROR(ISNUMBER(SEARCH("Razonar",$R49))/(ISNUMBER(SEARCH("Conocer",$R49))+ISNUMBER(SEARCH("Aplicar",$R49))+ISNUMBER(SEARCH("Razonar",$R49))),0)</f>
        <v>0</v>
      </c>
      <c r="V49" s="8" t="s">
        <v>44</v>
      </c>
      <c r="W49" s="8" t="s">
        <v>66</v>
      </c>
    </row>
    <row r="50" customFormat="false" ht="15" hidden="false" customHeight="false" outlineLevel="0" collapsed="false">
      <c r="A50" s="8" t="s">
        <v>612</v>
      </c>
      <c r="B50" s="8" t="n">
        <v>2</v>
      </c>
      <c r="C50" s="8" t="s">
        <v>411</v>
      </c>
      <c r="D50" s="8" t="s">
        <v>412</v>
      </c>
      <c r="E50" s="8" t="s">
        <v>553</v>
      </c>
      <c r="F50" s="8" t="n">
        <v>17</v>
      </c>
      <c r="G50" s="8" t="s">
        <v>554</v>
      </c>
      <c r="H50" s="8" t="s">
        <v>609</v>
      </c>
      <c r="I50" s="27" t="s">
        <v>613</v>
      </c>
      <c r="J50" s="8" t="s">
        <v>109</v>
      </c>
      <c r="K50" s="8" t="s">
        <v>128</v>
      </c>
      <c r="L50" s="8"/>
      <c r="M50" s="8" t="str">
        <f aca="false">IF(K50="FUERA","Fuera del marco",IF(K50="N/A","Sin marco",IFERROR(INDEX(Catalogo_TIMSS!$C$5:$C$105,MATCH(K50,Catalogo_TIMSS!$A$5:$A$105,0)),"Pendiente de clasificar")))</f>
        <v>Ciencias de la vida</v>
      </c>
      <c r="N50" s="8" t="str">
        <f aca="false">IF(K50="FUERA","Fuera del marco",IF(K50="N/A","Sin marco",IFERROR(INDEX(Catalogo_TIMSS!$F$5:$F$105,MATCH(K50,Catalogo_TIMSS!$A$5:$A$105,0)),"Pendiente de clasificar")))</f>
        <v>Ecosistemas</v>
      </c>
      <c r="O50" s="8" t="str">
        <f aca="false">IF(L50="","",IFERROR(INDEX(Catalogo_TIMSS!$C$5:$C$105,MATCH(L50,Catalogo_TIMSS!$A$5:$A$105,0)),"?"))</f>
        <v/>
      </c>
      <c r="P50" s="8" t="s">
        <v>513</v>
      </c>
      <c r="Q50" s="27" t="s">
        <v>614</v>
      </c>
      <c r="R50" s="27" t="s">
        <v>587</v>
      </c>
      <c r="S50" s="28" t="n">
        <f aca="false">IFERROR(ISNUMBER(SEARCH("Conocer",$R50))/(ISNUMBER(SEARCH("Conocer",$R50))+ISNUMBER(SEARCH("Aplicar",$R50))+ISNUMBER(SEARCH("Razonar",$R50))),0)</f>
        <v>0</v>
      </c>
      <c r="T50" s="28" t="n">
        <f aca="false">IFERROR(ISNUMBER(SEARCH("Aplicar",$R50))/(ISNUMBER(SEARCH("Conocer",$R50))+ISNUMBER(SEARCH("Aplicar",$R50))+ISNUMBER(SEARCH("Razonar",$R50))),0)</f>
        <v>1</v>
      </c>
      <c r="U50" s="28" t="n">
        <f aca="false">IFERROR(ISNUMBER(SEARCH("Razonar",$R50))/(ISNUMBER(SEARCH("Conocer",$R50))+ISNUMBER(SEARCH("Aplicar",$R50))+ISNUMBER(SEARCH("Razonar",$R50))),0)</f>
        <v>0</v>
      </c>
      <c r="V50" s="8" t="s">
        <v>44</v>
      </c>
      <c r="W50" s="8" t="s">
        <v>66</v>
      </c>
    </row>
    <row r="51" customFormat="false" ht="15" hidden="false" customHeight="false" outlineLevel="0" collapsed="false">
      <c r="A51" s="8" t="s">
        <v>615</v>
      </c>
      <c r="B51" s="8" t="n">
        <v>2</v>
      </c>
      <c r="C51" s="8" t="s">
        <v>411</v>
      </c>
      <c r="D51" s="8" t="s">
        <v>412</v>
      </c>
      <c r="E51" s="8" t="s">
        <v>553</v>
      </c>
      <c r="F51" s="8" t="n">
        <v>18</v>
      </c>
      <c r="G51" s="8" t="s">
        <v>554</v>
      </c>
      <c r="H51" s="8" t="s">
        <v>609</v>
      </c>
      <c r="I51" s="27" t="s">
        <v>616</v>
      </c>
      <c r="J51" s="8" t="s">
        <v>109</v>
      </c>
      <c r="K51" s="8" t="s">
        <v>126</v>
      </c>
      <c r="L51" s="8"/>
      <c r="M51" s="8" t="str">
        <f aca="false">IF(K51="FUERA","Fuera del marco",IF(K51="N/A","Sin marco",IFERROR(INDEX(Catalogo_TIMSS!$C$5:$C$105,MATCH(K51,Catalogo_TIMSS!$A$5:$A$105,0)),"Pendiente de clasificar")))</f>
        <v>Ciencias de la vida</v>
      </c>
      <c r="N51" s="8" t="str">
        <f aca="false">IF(K51="FUERA","Fuera del marco",IF(K51="N/A","Sin marco",IFERROR(INDEX(Catalogo_TIMSS!$F$5:$F$105,MATCH(K51,Catalogo_TIMSS!$A$5:$A$105,0)),"Pendiente de clasificar")))</f>
        <v>Organismos, ambiente y sus interacciones</v>
      </c>
      <c r="O51" s="8" t="str">
        <f aca="false">IF(L51="","",IFERROR(INDEX(Catalogo_TIMSS!$C$5:$C$105,MATCH(L51,Catalogo_TIMSS!$A$5:$A$105,0)),"?"))</f>
        <v/>
      </c>
      <c r="P51" s="8" t="s">
        <v>418</v>
      </c>
      <c r="Q51" s="27" t="s">
        <v>617</v>
      </c>
      <c r="R51" s="27" t="s">
        <v>618</v>
      </c>
      <c r="S51" s="28" t="n">
        <f aca="false">IFERROR(ISNUMBER(SEARCH("Conocer",$R51))/(ISNUMBER(SEARCH("Conocer",$R51))+ISNUMBER(SEARCH("Aplicar",$R51))+ISNUMBER(SEARCH("Razonar",$R51))),0)</f>
        <v>0</v>
      </c>
      <c r="T51" s="28" t="n">
        <f aca="false">IFERROR(ISNUMBER(SEARCH("Aplicar",$R51))/(ISNUMBER(SEARCH("Conocer",$R51))+ISNUMBER(SEARCH("Aplicar",$R51))+ISNUMBER(SEARCH("Razonar",$R51))),0)</f>
        <v>0</v>
      </c>
      <c r="U51" s="28" t="n">
        <f aca="false">IFERROR(ISNUMBER(SEARCH("Razonar",$R51))/(ISNUMBER(SEARCH("Conocer",$R51))+ISNUMBER(SEARCH("Aplicar",$R51))+ISNUMBER(SEARCH("Razonar",$R51))),0)</f>
        <v>1</v>
      </c>
      <c r="V51" s="8" t="s">
        <v>44</v>
      </c>
      <c r="W51" s="8" t="s">
        <v>66</v>
      </c>
    </row>
    <row r="52" customFormat="false" ht="15" hidden="false" customHeight="false" outlineLevel="0" collapsed="false">
      <c r="A52" s="8" t="s">
        <v>619</v>
      </c>
      <c r="B52" s="8" t="n">
        <v>2</v>
      </c>
      <c r="C52" s="8" t="s">
        <v>411</v>
      </c>
      <c r="D52" s="8" t="s">
        <v>412</v>
      </c>
      <c r="E52" s="8" t="s">
        <v>553</v>
      </c>
      <c r="F52" s="8" t="n">
        <v>19</v>
      </c>
      <c r="G52" s="8" t="s">
        <v>554</v>
      </c>
      <c r="H52" s="8" t="s">
        <v>620</v>
      </c>
      <c r="I52" s="27" t="s">
        <v>621</v>
      </c>
      <c r="J52" s="8" t="s">
        <v>109</v>
      </c>
      <c r="K52" s="8" t="s">
        <v>112</v>
      </c>
      <c r="L52" s="8" t="s">
        <v>138</v>
      </c>
      <c r="M52" s="8" t="str">
        <f aca="false">IF(K52="FUERA","Fuera del marco",IF(K52="N/A","Sin marco",IFERROR(INDEX(Catalogo_TIMSS!$C$5:$C$105,MATCH(K52,Catalogo_TIMSS!$A$5:$A$105,0)),"Pendiente de clasificar")))</f>
        <v>Ciencias de la vida</v>
      </c>
      <c r="N52" s="8" t="str">
        <f aca="false">IF(K52="FUERA","Fuera del marco",IF(K52="N/A","Sin marco",IFERROR(INDEX(Catalogo_TIMSS!$F$5:$F$105,MATCH(K52,Catalogo_TIMSS!$A$5:$A$105,0)),"Pendiente de clasificar")))</f>
        <v>Características y procesos vitales de los organismos</v>
      </c>
      <c r="O52" s="8" t="str">
        <f aca="false">IF(L52="","",IFERROR(INDEX(Catalogo_TIMSS!$C$5:$C$105,MATCH(L52,Catalogo_TIMSS!$A$5:$A$105,0)),"?"))</f>
        <v>Ciencias de la vida</v>
      </c>
      <c r="P52" s="8" t="s">
        <v>460</v>
      </c>
      <c r="Q52" s="27" t="s">
        <v>622</v>
      </c>
      <c r="R52" s="27" t="s">
        <v>446</v>
      </c>
      <c r="S52" s="28" t="n">
        <f aca="false">IFERROR(ISNUMBER(SEARCH("Conocer",$R52))/(ISNUMBER(SEARCH("Conocer",$R52))+ISNUMBER(SEARCH("Aplicar",$R52))+ISNUMBER(SEARCH("Razonar",$R52))),0)</f>
        <v>0</v>
      </c>
      <c r="T52" s="28" t="n">
        <f aca="false">IFERROR(ISNUMBER(SEARCH("Aplicar",$R52))/(ISNUMBER(SEARCH("Conocer",$R52))+ISNUMBER(SEARCH("Aplicar",$R52))+ISNUMBER(SEARCH("Razonar",$R52))),0)</f>
        <v>0</v>
      </c>
      <c r="U52" s="28" t="n">
        <f aca="false">IFERROR(ISNUMBER(SEARCH("Razonar",$R52))/(ISNUMBER(SEARCH("Conocer",$R52))+ISNUMBER(SEARCH("Aplicar",$R52))+ISNUMBER(SEARCH("Razonar",$R52))),0)</f>
        <v>1</v>
      </c>
      <c r="V52" s="8" t="s">
        <v>44</v>
      </c>
      <c r="W52" s="8" t="s">
        <v>66</v>
      </c>
    </row>
    <row r="53" customFormat="false" ht="15" hidden="false" customHeight="false" outlineLevel="0" collapsed="false">
      <c r="A53" s="8" t="s">
        <v>623</v>
      </c>
      <c r="B53" s="8" t="n">
        <v>2</v>
      </c>
      <c r="C53" s="8" t="s">
        <v>411</v>
      </c>
      <c r="D53" s="8" t="s">
        <v>412</v>
      </c>
      <c r="E53" s="8" t="s">
        <v>553</v>
      </c>
      <c r="F53" s="8" t="n">
        <v>20</v>
      </c>
      <c r="G53" s="8" t="s">
        <v>554</v>
      </c>
      <c r="H53" s="8" t="s">
        <v>624</v>
      </c>
      <c r="I53" s="27" t="s">
        <v>625</v>
      </c>
      <c r="J53" s="8" t="s">
        <v>109</v>
      </c>
      <c r="K53" s="8" t="s">
        <v>112</v>
      </c>
      <c r="L53" s="8" t="s">
        <v>128</v>
      </c>
      <c r="M53" s="8" t="str">
        <f aca="false">IF(K53="FUERA","Fuera del marco",IF(K53="N/A","Sin marco",IFERROR(INDEX(Catalogo_TIMSS!$C$5:$C$105,MATCH(K53,Catalogo_TIMSS!$A$5:$A$105,0)),"Pendiente de clasificar")))</f>
        <v>Ciencias de la vida</v>
      </c>
      <c r="N53" s="8" t="str">
        <f aca="false">IF(K53="FUERA","Fuera del marco",IF(K53="N/A","Sin marco",IFERROR(INDEX(Catalogo_TIMSS!$F$5:$F$105,MATCH(K53,Catalogo_TIMSS!$A$5:$A$105,0)),"Pendiente de clasificar")))</f>
        <v>Características y procesos vitales de los organismos</v>
      </c>
      <c r="O53" s="8" t="str">
        <f aca="false">IF(L53="","",IFERROR(INDEX(Catalogo_TIMSS!$C$5:$C$105,MATCH(L53,Catalogo_TIMSS!$A$5:$A$105,0)),"?"))</f>
        <v>Ciencias de la vida</v>
      </c>
      <c r="P53" s="8" t="s">
        <v>418</v>
      </c>
      <c r="Q53" s="27" t="s">
        <v>626</v>
      </c>
      <c r="R53" s="27" t="s">
        <v>424</v>
      </c>
      <c r="S53" s="28" t="n">
        <f aca="false">IFERROR(ISNUMBER(SEARCH("Conocer",$R53))/(ISNUMBER(SEARCH("Conocer",$R53))+ISNUMBER(SEARCH("Aplicar",$R53))+ISNUMBER(SEARCH("Razonar",$R53))),0)</f>
        <v>0.5</v>
      </c>
      <c r="T53" s="28" t="n">
        <f aca="false">IFERROR(ISNUMBER(SEARCH("Aplicar",$R53))/(ISNUMBER(SEARCH("Conocer",$R53))+ISNUMBER(SEARCH("Aplicar",$R53))+ISNUMBER(SEARCH("Razonar",$R53))),0)</f>
        <v>0.5</v>
      </c>
      <c r="U53" s="28" t="n">
        <f aca="false">IFERROR(ISNUMBER(SEARCH("Razonar",$R53))/(ISNUMBER(SEARCH("Conocer",$R53))+ISNUMBER(SEARCH("Aplicar",$R53))+ISNUMBER(SEARCH("Razonar",$R53))),0)</f>
        <v>0</v>
      </c>
      <c r="V53" s="8" t="s">
        <v>44</v>
      </c>
      <c r="W53" s="8" t="s">
        <v>66</v>
      </c>
    </row>
    <row r="54" customFormat="false" ht="15" hidden="false" customHeight="false" outlineLevel="0" collapsed="false">
      <c r="A54" s="8" t="s">
        <v>627</v>
      </c>
      <c r="B54" s="8" t="n">
        <v>2</v>
      </c>
      <c r="C54" s="8" t="s">
        <v>411</v>
      </c>
      <c r="D54" s="8" t="s">
        <v>412</v>
      </c>
      <c r="E54" s="8" t="s">
        <v>628</v>
      </c>
      <c r="F54" s="8" t="n">
        <v>3</v>
      </c>
      <c r="G54" s="8" t="s">
        <v>629</v>
      </c>
      <c r="H54" s="8" t="s">
        <v>630</v>
      </c>
      <c r="I54" s="27" t="s">
        <v>631</v>
      </c>
      <c r="J54" s="8" t="s">
        <v>109</v>
      </c>
      <c r="K54" s="8" t="s">
        <v>417</v>
      </c>
      <c r="L54" s="8"/>
      <c r="M54" s="8" t="str">
        <f aca="false">IF(K54="FUERA","Fuera del marco",IF(K54="N/A","Sin marco",IFERROR(INDEX(Catalogo_TIMSS!$C$5:$C$105,MATCH(K54,Catalogo_TIMSS!$A$5:$A$105,0)),"Pendiente de clasificar")))</f>
        <v>Fuera del marco</v>
      </c>
      <c r="N54" s="8" t="str">
        <f aca="false">IF(K54="FUERA","Fuera del marco",IF(K54="N/A","Sin marco",IFERROR(INDEX(Catalogo_TIMSS!$F$5:$F$105,MATCH(K54,Catalogo_TIMSS!$A$5:$A$105,0)),"Pendiente de clasificar")))</f>
        <v>Fuera del marco</v>
      </c>
      <c r="O54" s="8" t="str">
        <f aca="false">IF(L54="","",IFERROR(INDEX(Catalogo_TIMSS!$C$5:$C$105,MATCH(L54,Catalogo_TIMSS!$A$5:$A$105,0)),"?"))</f>
        <v/>
      </c>
      <c r="P54" s="8" t="s">
        <v>460</v>
      </c>
      <c r="Q54" s="27" t="s">
        <v>632</v>
      </c>
      <c r="R54" s="27" t="s">
        <v>633</v>
      </c>
      <c r="S54" s="28" t="n">
        <f aca="false">IFERROR(ISNUMBER(SEARCH("Conocer",$R54))/(ISNUMBER(SEARCH("Conocer",$R54))+ISNUMBER(SEARCH("Aplicar",$R54))+ISNUMBER(SEARCH("Razonar",$R54))),0)</f>
        <v>0</v>
      </c>
      <c r="T54" s="28" t="n">
        <f aca="false">IFERROR(ISNUMBER(SEARCH("Aplicar",$R54))/(ISNUMBER(SEARCH("Conocer",$R54))+ISNUMBER(SEARCH("Aplicar",$R54))+ISNUMBER(SEARCH("Razonar",$R54))),0)</f>
        <v>1</v>
      </c>
      <c r="U54" s="28" t="n">
        <f aca="false">IFERROR(ISNUMBER(SEARCH("Razonar",$R54))/(ISNUMBER(SEARCH("Conocer",$R54))+ISNUMBER(SEARCH("Aplicar",$R54))+ISNUMBER(SEARCH("Razonar",$R54))),0)</f>
        <v>0</v>
      </c>
      <c r="V54" s="8" t="s">
        <v>44</v>
      </c>
      <c r="W54" s="8" t="s">
        <v>66</v>
      </c>
    </row>
    <row r="55" customFormat="false" ht="15" hidden="false" customHeight="false" outlineLevel="0" collapsed="false">
      <c r="A55" s="8" t="s">
        <v>634</v>
      </c>
      <c r="B55" s="8" t="n">
        <v>2</v>
      </c>
      <c r="C55" s="8" t="s">
        <v>411</v>
      </c>
      <c r="D55" s="8" t="s">
        <v>412</v>
      </c>
      <c r="E55" s="8" t="s">
        <v>628</v>
      </c>
      <c r="F55" s="8" t="n">
        <v>4</v>
      </c>
      <c r="G55" s="8" t="s">
        <v>629</v>
      </c>
      <c r="H55" s="8" t="s">
        <v>630</v>
      </c>
      <c r="I55" s="27" t="s">
        <v>635</v>
      </c>
      <c r="J55" s="8" t="s">
        <v>109</v>
      </c>
      <c r="K55" s="8" t="s">
        <v>417</v>
      </c>
      <c r="L55" s="8"/>
      <c r="M55" s="8" t="str">
        <f aca="false">IF(K55="FUERA","Fuera del marco",IF(K55="N/A","Sin marco",IFERROR(INDEX(Catalogo_TIMSS!$C$5:$C$105,MATCH(K55,Catalogo_TIMSS!$A$5:$A$105,0)),"Pendiente de clasificar")))</f>
        <v>Fuera del marco</v>
      </c>
      <c r="N55" s="8" t="str">
        <f aca="false">IF(K55="FUERA","Fuera del marco",IF(K55="N/A","Sin marco",IFERROR(INDEX(Catalogo_TIMSS!$F$5:$F$105,MATCH(K55,Catalogo_TIMSS!$A$5:$A$105,0)),"Pendiente de clasificar")))</f>
        <v>Fuera del marco</v>
      </c>
      <c r="O55" s="8" t="str">
        <f aca="false">IF(L55="","",IFERROR(INDEX(Catalogo_TIMSS!$C$5:$C$105,MATCH(L55,Catalogo_TIMSS!$A$5:$A$105,0)),"?"))</f>
        <v/>
      </c>
      <c r="P55" s="8" t="s">
        <v>418</v>
      </c>
      <c r="Q55" s="27" t="s">
        <v>636</v>
      </c>
      <c r="R55" s="27" t="s">
        <v>637</v>
      </c>
      <c r="S55" s="28" t="n">
        <f aca="false">IFERROR(ISNUMBER(SEARCH("Conocer",$R55))/(ISNUMBER(SEARCH("Conocer",$R55))+ISNUMBER(SEARCH("Aplicar",$R55))+ISNUMBER(SEARCH("Razonar",$R55))),0)</f>
        <v>0</v>
      </c>
      <c r="T55" s="28" t="n">
        <f aca="false">IFERROR(ISNUMBER(SEARCH("Aplicar",$R55))/(ISNUMBER(SEARCH("Conocer",$R55))+ISNUMBER(SEARCH("Aplicar",$R55))+ISNUMBER(SEARCH("Razonar",$R55))),0)</f>
        <v>0.5</v>
      </c>
      <c r="U55" s="28" t="n">
        <f aca="false">IFERROR(ISNUMBER(SEARCH("Razonar",$R55))/(ISNUMBER(SEARCH("Conocer",$R55))+ISNUMBER(SEARCH("Aplicar",$R55))+ISNUMBER(SEARCH("Razonar",$R55))),0)</f>
        <v>0.5</v>
      </c>
      <c r="V55" s="8" t="s">
        <v>44</v>
      </c>
      <c r="W55" s="8" t="s">
        <v>66</v>
      </c>
    </row>
    <row r="56" customFormat="false" ht="15" hidden="false" customHeight="false" outlineLevel="0" collapsed="false">
      <c r="A56" s="8" t="s">
        <v>638</v>
      </c>
      <c r="B56" s="8" t="n">
        <v>2</v>
      </c>
      <c r="C56" s="8" t="s">
        <v>411</v>
      </c>
      <c r="D56" s="8" t="s">
        <v>412</v>
      </c>
      <c r="E56" s="8" t="s">
        <v>628</v>
      </c>
      <c r="F56" s="8" t="n">
        <v>5</v>
      </c>
      <c r="G56" s="8" t="s">
        <v>629</v>
      </c>
      <c r="H56" s="8" t="s">
        <v>639</v>
      </c>
      <c r="I56" s="27" t="s">
        <v>640</v>
      </c>
      <c r="J56" s="8" t="s">
        <v>109</v>
      </c>
      <c r="K56" s="8" t="s">
        <v>417</v>
      </c>
      <c r="L56" s="8"/>
      <c r="M56" s="8" t="str">
        <f aca="false">IF(K56="FUERA","Fuera del marco",IF(K56="N/A","Sin marco",IFERROR(INDEX(Catalogo_TIMSS!$C$5:$C$105,MATCH(K56,Catalogo_TIMSS!$A$5:$A$105,0)),"Pendiente de clasificar")))</f>
        <v>Fuera del marco</v>
      </c>
      <c r="N56" s="8" t="str">
        <f aca="false">IF(K56="FUERA","Fuera del marco",IF(K56="N/A","Sin marco",IFERROR(INDEX(Catalogo_TIMSS!$F$5:$F$105,MATCH(K56,Catalogo_TIMSS!$A$5:$A$105,0)),"Pendiente de clasificar")))</f>
        <v>Fuera del marco</v>
      </c>
      <c r="O56" s="8" t="str">
        <f aca="false">IF(L56="","",IFERROR(INDEX(Catalogo_TIMSS!$C$5:$C$105,MATCH(L56,Catalogo_TIMSS!$A$5:$A$105,0)),"?"))</f>
        <v/>
      </c>
      <c r="P56" s="8" t="s">
        <v>418</v>
      </c>
      <c r="Q56" s="27" t="s">
        <v>641</v>
      </c>
      <c r="R56" s="27" t="s">
        <v>642</v>
      </c>
      <c r="S56" s="28" t="n">
        <f aca="false">IFERROR(ISNUMBER(SEARCH("Conocer",$R56))/(ISNUMBER(SEARCH("Conocer",$R56))+ISNUMBER(SEARCH("Aplicar",$R56))+ISNUMBER(SEARCH("Razonar",$R56))),0)</f>
        <v>0</v>
      </c>
      <c r="T56" s="28" t="n">
        <f aca="false">IFERROR(ISNUMBER(SEARCH("Aplicar",$R56))/(ISNUMBER(SEARCH("Conocer",$R56))+ISNUMBER(SEARCH("Aplicar",$R56))+ISNUMBER(SEARCH("Razonar",$R56))),0)</f>
        <v>1</v>
      </c>
      <c r="U56" s="28" t="n">
        <f aca="false">IFERROR(ISNUMBER(SEARCH("Razonar",$R56))/(ISNUMBER(SEARCH("Conocer",$R56))+ISNUMBER(SEARCH("Aplicar",$R56))+ISNUMBER(SEARCH("Razonar",$R56))),0)</f>
        <v>0</v>
      </c>
      <c r="V56" s="8" t="s">
        <v>44</v>
      </c>
      <c r="W56" s="8" t="s">
        <v>66</v>
      </c>
    </row>
    <row r="57" customFormat="false" ht="15" hidden="false" customHeight="false" outlineLevel="0" collapsed="false">
      <c r="A57" s="8" t="s">
        <v>643</v>
      </c>
      <c r="B57" s="8" t="n">
        <v>2</v>
      </c>
      <c r="C57" s="8" t="s">
        <v>411</v>
      </c>
      <c r="D57" s="8" t="s">
        <v>412</v>
      </c>
      <c r="E57" s="8" t="s">
        <v>628</v>
      </c>
      <c r="F57" s="8" t="n">
        <v>6</v>
      </c>
      <c r="G57" s="8" t="s">
        <v>629</v>
      </c>
      <c r="H57" s="8" t="s">
        <v>639</v>
      </c>
      <c r="I57" s="27" t="s">
        <v>644</v>
      </c>
      <c r="J57" s="8" t="s">
        <v>109</v>
      </c>
      <c r="K57" s="8" t="s">
        <v>417</v>
      </c>
      <c r="L57" s="8"/>
      <c r="M57" s="8" t="str">
        <f aca="false">IF(K57="FUERA","Fuera del marco",IF(K57="N/A","Sin marco",IFERROR(INDEX(Catalogo_TIMSS!$C$5:$C$105,MATCH(K57,Catalogo_TIMSS!$A$5:$A$105,0)),"Pendiente de clasificar")))</f>
        <v>Fuera del marco</v>
      </c>
      <c r="N57" s="8" t="str">
        <f aca="false">IF(K57="FUERA","Fuera del marco",IF(K57="N/A","Sin marco",IFERROR(INDEX(Catalogo_TIMSS!$F$5:$F$105,MATCH(K57,Catalogo_TIMSS!$A$5:$A$105,0)),"Pendiente de clasificar")))</f>
        <v>Fuera del marco</v>
      </c>
      <c r="O57" s="8" t="str">
        <f aca="false">IF(L57="","",IFERROR(INDEX(Catalogo_TIMSS!$C$5:$C$105,MATCH(L57,Catalogo_TIMSS!$A$5:$A$105,0)),"?"))</f>
        <v/>
      </c>
      <c r="P57" s="8" t="s">
        <v>418</v>
      </c>
      <c r="Q57" s="27" t="s">
        <v>645</v>
      </c>
      <c r="R57" s="27" t="s">
        <v>446</v>
      </c>
      <c r="S57" s="28" t="n">
        <f aca="false">IFERROR(ISNUMBER(SEARCH("Conocer",$R57))/(ISNUMBER(SEARCH("Conocer",$R57))+ISNUMBER(SEARCH("Aplicar",$R57))+ISNUMBER(SEARCH("Razonar",$R57))),0)</f>
        <v>0</v>
      </c>
      <c r="T57" s="28" t="n">
        <f aca="false">IFERROR(ISNUMBER(SEARCH("Aplicar",$R57))/(ISNUMBER(SEARCH("Conocer",$R57))+ISNUMBER(SEARCH("Aplicar",$R57))+ISNUMBER(SEARCH("Razonar",$R57))),0)</f>
        <v>0</v>
      </c>
      <c r="U57" s="28" t="n">
        <f aca="false">IFERROR(ISNUMBER(SEARCH("Razonar",$R57))/(ISNUMBER(SEARCH("Conocer",$R57))+ISNUMBER(SEARCH("Aplicar",$R57))+ISNUMBER(SEARCH("Razonar",$R57))),0)</f>
        <v>1</v>
      </c>
      <c r="V57" s="8" t="s">
        <v>44</v>
      </c>
      <c r="W57" s="8" t="s">
        <v>66</v>
      </c>
    </row>
    <row r="58" customFormat="false" ht="15" hidden="false" customHeight="false" outlineLevel="0" collapsed="false">
      <c r="A58" s="8" t="s">
        <v>646</v>
      </c>
      <c r="B58" s="8" t="n">
        <v>2</v>
      </c>
      <c r="C58" s="8" t="s">
        <v>411</v>
      </c>
      <c r="D58" s="8" t="s">
        <v>412</v>
      </c>
      <c r="E58" s="8" t="s">
        <v>628</v>
      </c>
      <c r="F58" s="8" t="n">
        <v>7</v>
      </c>
      <c r="G58" s="8" t="s">
        <v>629</v>
      </c>
      <c r="H58" s="8" t="s">
        <v>647</v>
      </c>
      <c r="I58" s="27" t="s">
        <v>648</v>
      </c>
      <c r="J58" s="8" t="s">
        <v>109</v>
      </c>
      <c r="K58" s="8" t="s">
        <v>151</v>
      </c>
      <c r="L58" s="8"/>
      <c r="M58" s="8" t="str">
        <f aca="false">IF(K58="FUERA","Fuera del marco",IF(K58="N/A","Sin marco",IFERROR(INDEX(Catalogo_TIMSS!$C$5:$C$105,MATCH(K58,Catalogo_TIMSS!$A$5:$A$105,0)),"Pendiente de clasificar")))</f>
        <v>Ciencias físicas</v>
      </c>
      <c r="N58" s="8" t="str">
        <f aca="false">IF(K58="FUERA","Fuera del marco",IF(K58="N/A","Sin marco",IFERROR(INDEX(Catalogo_TIMSS!$F$5:$F$105,MATCH(K58,Catalogo_TIMSS!$A$5:$A$105,0)),"Pendiente de clasificar")))</f>
        <v>Formas de energía y transferencia de energía</v>
      </c>
      <c r="O58" s="8" t="str">
        <f aca="false">IF(L58="","",IFERROR(INDEX(Catalogo_TIMSS!$C$5:$C$105,MATCH(L58,Catalogo_TIMSS!$A$5:$A$105,0)),"?"))</f>
        <v/>
      </c>
      <c r="P58" s="8" t="s">
        <v>460</v>
      </c>
      <c r="Q58" s="27" t="s">
        <v>649</v>
      </c>
      <c r="R58" s="27" t="s">
        <v>451</v>
      </c>
      <c r="S58" s="28" t="n">
        <f aca="false">IFERROR(ISNUMBER(SEARCH("Conocer",$R58))/(ISNUMBER(SEARCH("Conocer",$R58))+ISNUMBER(SEARCH("Aplicar",$R58))+ISNUMBER(SEARCH("Razonar",$R58))),0)</f>
        <v>0</v>
      </c>
      <c r="T58" s="28" t="n">
        <f aca="false">IFERROR(ISNUMBER(SEARCH("Aplicar",$R58))/(ISNUMBER(SEARCH("Conocer",$R58))+ISNUMBER(SEARCH("Aplicar",$R58))+ISNUMBER(SEARCH("Razonar",$R58))),0)</f>
        <v>1</v>
      </c>
      <c r="U58" s="28" t="n">
        <f aca="false">IFERROR(ISNUMBER(SEARCH("Razonar",$R58))/(ISNUMBER(SEARCH("Conocer",$R58))+ISNUMBER(SEARCH("Aplicar",$R58))+ISNUMBER(SEARCH("Razonar",$R58))),0)</f>
        <v>0</v>
      </c>
      <c r="V58" s="8" t="s">
        <v>44</v>
      </c>
      <c r="W58" s="8" t="s">
        <v>66</v>
      </c>
    </row>
    <row r="59" customFormat="false" ht="15" hidden="false" customHeight="false" outlineLevel="0" collapsed="false">
      <c r="A59" s="8" t="s">
        <v>650</v>
      </c>
      <c r="B59" s="8" t="n">
        <v>2</v>
      </c>
      <c r="C59" s="8" t="s">
        <v>411</v>
      </c>
      <c r="D59" s="8" t="s">
        <v>412</v>
      </c>
      <c r="E59" s="8" t="s">
        <v>628</v>
      </c>
      <c r="F59" s="8" t="n">
        <v>8</v>
      </c>
      <c r="G59" s="8" t="s">
        <v>629</v>
      </c>
      <c r="H59" s="8" t="s">
        <v>647</v>
      </c>
      <c r="I59" s="27" t="s">
        <v>651</v>
      </c>
      <c r="J59" s="8" t="s">
        <v>109</v>
      </c>
      <c r="K59" s="8" t="s">
        <v>417</v>
      </c>
      <c r="L59" s="8"/>
      <c r="M59" s="8" t="str">
        <f aca="false">IF(K59="FUERA","Fuera del marco",IF(K59="N/A","Sin marco",IFERROR(INDEX(Catalogo_TIMSS!$C$5:$C$105,MATCH(K59,Catalogo_TIMSS!$A$5:$A$105,0)),"Pendiente de clasificar")))</f>
        <v>Fuera del marco</v>
      </c>
      <c r="N59" s="8" t="str">
        <f aca="false">IF(K59="FUERA","Fuera del marco",IF(K59="N/A","Sin marco",IFERROR(INDEX(Catalogo_TIMSS!$F$5:$F$105,MATCH(K59,Catalogo_TIMSS!$A$5:$A$105,0)),"Pendiente de clasificar")))</f>
        <v>Fuera del marco</v>
      </c>
      <c r="O59" s="8" t="str">
        <f aca="false">IF(L59="","",IFERROR(INDEX(Catalogo_TIMSS!$C$5:$C$105,MATCH(L59,Catalogo_TIMSS!$A$5:$A$105,0)),"?"))</f>
        <v/>
      </c>
      <c r="P59" s="8" t="s">
        <v>460</v>
      </c>
      <c r="Q59" s="27" t="s">
        <v>652</v>
      </c>
      <c r="R59" s="27" t="s">
        <v>653</v>
      </c>
      <c r="S59" s="28" t="n">
        <f aca="false">IFERROR(ISNUMBER(SEARCH("Conocer",$R59))/(ISNUMBER(SEARCH("Conocer",$R59))+ISNUMBER(SEARCH("Aplicar",$R59))+ISNUMBER(SEARCH("Razonar",$R59))),0)</f>
        <v>0</v>
      </c>
      <c r="T59" s="28" t="n">
        <f aca="false">IFERROR(ISNUMBER(SEARCH("Aplicar",$R59))/(ISNUMBER(SEARCH("Conocer",$R59))+ISNUMBER(SEARCH("Aplicar",$R59))+ISNUMBER(SEARCH("Razonar",$R59))),0)</f>
        <v>0</v>
      </c>
      <c r="U59" s="28" t="n">
        <f aca="false">IFERROR(ISNUMBER(SEARCH("Razonar",$R59))/(ISNUMBER(SEARCH("Conocer",$R59))+ISNUMBER(SEARCH("Aplicar",$R59))+ISNUMBER(SEARCH("Razonar",$R59))),0)</f>
        <v>1</v>
      </c>
      <c r="V59" s="8" t="s">
        <v>44</v>
      </c>
      <c r="W59" s="8" t="s">
        <v>66</v>
      </c>
    </row>
    <row r="60" customFormat="false" ht="15" hidden="false" customHeight="false" outlineLevel="0" collapsed="false">
      <c r="A60" s="8" t="s">
        <v>654</v>
      </c>
      <c r="B60" s="8" t="n">
        <v>2</v>
      </c>
      <c r="C60" s="8" t="s">
        <v>411</v>
      </c>
      <c r="D60" s="8" t="s">
        <v>412</v>
      </c>
      <c r="E60" s="8" t="s">
        <v>628</v>
      </c>
      <c r="F60" s="8" t="n">
        <v>9</v>
      </c>
      <c r="G60" s="8" t="s">
        <v>629</v>
      </c>
      <c r="H60" s="8" t="s">
        <v>655</v>
      </c>
      <c r="I60" s="27" t="s">
        <v>656</v>
      </c>
      <c r="J60" s="8" t="s">
        <v>109</v>
      </c>
      <c r="K60" s="8" t="s">
        <v>108</v>
      </c>
      <c r="L60" s="8"/>
      <c r="M60" s="8" t="str">
        <f aca="false">IF(K60="FUERA","Fuera del marco",IF(K60="N/A","Sin marco",IFERROR(INDEX(Catalogo_TIMSS!$C$5:$C$105,MATCH(K60,Catalogo_TIMSS!$A$5:$A$105,0)),"Pendiente de clasificar")))</f>
        <v>Ciencias de la vida</v>
      </c>
      <c r="N60" s="8" t="str">
        <f aca="false">IF(K60="FUERA","Fuera del marco",IF(K60="N/A","Sin marco",IFERROR(INDEX(Catalogo_TIMSS!$F$5:$F$105,MATCH(K60,Catalogo_TIMSS!$A$5:$A$105,0)),"Pendiente de clasificar")))</f>
        <v>Características y procesos vitales de los organismos</v>
      </c>
      <c r="O60" s="8" t="str">
        <f aca="false">IF(L60="","",IFERROR(INDEX(Catalogo_TIMSS!$C$5:$C$105,MATCH(L60,Catalogo_TIMSS!$A$5:$A$105,0)),"?"))</f>
        <v/>
      </c>
      <c r="P60" s="8" t="s">
        <v>513</v>
      </c>
      <c r="Q60" s="27" t="s">
        <v>657</v>
      </c>
      <c r="R60" s="27" t="s">
        <v>451</v>
      </c>
      <c r="S60" s="28" t="n">
        <f aca="false">IFERROR(ISNUMBER(SEARCH("Conocer",$R60))/(ISNUMBER(SEARCH("Conocer",$R60))+ISNUMBER(SEARCH("Aplicar",$R60))+ISNUMBER(SEARCH("Razonar",$R60))),0)</f>
        <v>0</v>
      </c>
      <c r="T60" s="28" t="n">
        <f aca="false">IFERROR(ISNUMBER(SEARCH("Aplicar",$R60))/(ISNUMBER(SEARCH("Conocer",$R60))+ISNUMBER(SEARCH("Aplicar",$R60))+ISNUMBER(SEARCH("Razonar",$R60))),0)</f>
        <v>1</v>
      </c>
      <c r="U60" s="28" t="n">
        <f aca="false">IFERROR(ISNUMBER(SEARCH("Razonar",$R60))/(ISNUMBER(SEARCH("Conocer",$R60))+ISNUMBER(SEARCH("Aplicar",$R60))+ISNUMBER(SEARCH("Razonar",$R60))),0)</f>
        <v>0</v>
      </c>
      <c r="V60" s="8" t="s">
        <v>44</v>
      </c>
      <c r="W60" s="8" t="s">
        <v>66</v>
      </c>
    </row>
    <row r="61" customFormat="false" ht="15" hidden="false" customHeight="false" outlineLevel="0" collapsed="false">
      <c r="A61" s="8" t="s">
        <v>658</v>
      </c>
      <c r="B61" s="8" t="n">
        <v>2</v>
      </c>
      <c r="C61" s="8" t="s">
        <v>411</v>
      </c>
      <c r="D61" s="8" t="s">
        <v>412</v>
      </c>
      <c r="E61" s="8" t="s">
        <v>628</v>
      </c>
      <c r="F61" s="8" t="n">
        <v>10</v>
      </c>
      <c r="G61" s="8" t="s">
        <v>629</v>
      </c>
      <c r="H61" s="8" t="s">
        <v>655</v>
      </c>
      <c r="I61" s="27" t="s">
        <v>659</v>
      </c>
      <c r="J61" s="8" t="s">
        <v>109</v>
      </c>
      <c r="K61" s="8" t="s">
        <v>126</v>
      </c>
      <c r="L61" s="8"/>
      <c r="M61" s="8" t="str">
        <f aca="false">IF(K61="FUERA","Fuera del marco",IF(K61="N/A","Sin marco",IFERROR(INDEX(Catalogo_TIMSS!$C$5:$C$105,MATCH(K61,Catalogo_TIMSS!$A$5:$A$105,0)),"Pendiente de clasificar")))</f>
        <v>Ciencias de la vida</v>
      </c>
      <c r="N61" s="8" t="str">
        <f aca="false">IF(K61="FUERA","Fuera del marco",IF(K61="N/A","Sin marco",IFERROR(INDEX(Catalogo_TIMSS!$F$5:$F$105,MATCH(K61,Catalogo_TIMSS!$A$5:$A$105,0)),"Pendiente de clasificar")))</f>
        <v>Organismos, ambiente y sus interacciones</v>
      </c>
      <c r="O61" s="8" t="str">
        <f aca="false">IF(L61="","",IFERROR(INDEX(Catalogo_TIMSS!$C$5:$C$105,MATCH(L61,Catalogo_TIMSS!$A$5:$A$105,0)),"?"))</f>
        <v/>
      </c>
      <c r="P61" s="8" t="s">
        <v>513</v>
      </c>
      <c r="Q61" s="27" t="s">
        <v>660</v>
      </c>
      <c r="R61" s="27" t="s">
        <v>661</v>
      </c>
      <c r="S61" s="28" t="n">
        <f aca="false">IFERROR(ISNUMBER(SEARCH("Conocer",$R61))/(ISNUMBER(SEARCH("Conocer",$R61))+ISNUMBER(SEARCH("Aplicar",$R61))+ISNUMBER(SEARCH("Razonar",$R61))),0)</f>
        <v>0</v>
      </c>
      <c r="T61" s="28" t="n">
        <f aca="false">IFERROR(ISNUMBER(SEARCH("Aplicar",$R61))/(ISNUMBER(SEARCH("Conocer",$R61))+ISNUMBER(SEARCH("Aplicar",$R61))+ISNUMBER(SEARCH("Razonar",$R61))),0)</f>
        <v>0</v>
      </c>
      <c r="U61" s="28" t="n">
        <f aca="false">IFERROR(ISNUMBER(SEARCH("Razonar",$R61))/(ISNUMBER(SEARCH("Conocer",$R61))+ISNUMBER(SEARCH("Aplicar",$R61))+ISNUMBER(SEARCH("Razonar",$R61))),0)</f>
        <v>1</v>
      </c>
      <c r="V61" s="8" t="s">
        <v>44</v>
      </c>
      <c r="W61" s="8" t="s">
        <v>66</v>
      </c>
    </row>
    <row r="62" customFormat="false" ht="15" hidden="false" customHeight="false" outlineLevel="0" collapsed="false">
      <c r="A62" s="8" t="s">
        <v>662</v>
      </c>
      <c r="B62" s="8" t="n">
        <v>2</v>
      </c>
      <c r="C62" s="8" t="s">
        <v>411</v>
      </c>
      <c r="D62" s="8" t="s">
        <v>412</v>
      </c>
      <c r="E62" s="8" t="s">
        <v>628</v>
      </c>
      <c r="F62" s="8" t="n">
        <v>11</v>
      </c>
      <c r="G62" s="8" t="s">
        <v>629</v>
      </c>
      <c r="H62" s="8" t="s">
        <v>655</v>
      </c>
      <c r="I62" s="27" t="s">
        <v>663</v>
      </c>
      <c r="J62" s="8" t="s">
        <v>109</v>
      </c>
      <c r="K62" s="8" t="s">
        <v>108</v>
      </c>
      <c r="L62" s="8" t="s">
        <v>128</v>
      </c>
      <c r="M62" s="8" t="str">
        <f aca="false">IF(K62="FUERA","Fuera del marco",IF(K62="N/A","Sin marco",IFERROR(INDEX(Catalogo_TIMSS!$C$5:$C$105,MATCH(K62,Catalogo_TIMSS!$A$5:$A$105,0)),"Pendiente de clasificar")))</f>
        <v>Ciencias de la vida</v>
      </c>
      <c r="N62" s="8" t="str">
        <f aca="false">IF(K62="FUERA","Fuera del marco",IF(K62="N/A","Sin marco",IFERROR(INDEX(Catalogo_TIMSS!$F$5:$F$105,MATCH(K62,Catalogo_TIMSS!$A$5:$A$105,0)),"Pendiente de clasificar")))</f>
        <v>Características y procesos vitales de los organismos</v>
      </c>
      <c r="O62" s="8" t="str">
        <f aca="false">IF(L62="","",IFERROR(INDEX(Catalogo_TIMSS!$C$5:$C$105,MATCH(L62,Catalogo_TIMSS!$A$5:$A$105,0)),"?"))</f>
        <v>Ciencias de la vida</v>
      </c>
      <c r="P62" s="8" t="s">
        <v>460</v>
      </c>
      <c r="Q62" s="27" t="s">
        <v>664</v>
      </c>
      <c r="R62" s="27" t="s">
        <v>665</v>
      </c>
      <c r="S62" s="28" t="n">
        <f aca="false">IFERROR(ISNUMBER(SEARCH("Conocer",$R62))/(ISNUMBER(SEARCH("Conocer",$R62))+ISNUMBER(SEARCH("Aplicar",$R62))+ISNUMBER(SEARCH("Razonar",$R62))),0)</f>
        <v>0</v>
      </c>
      <c r="T62" s="28" t="n">
        <f aca="false">IFERROR(ISNUMBER(SEARCH("Aplicar",$R62))/(ISNUMBER(SEARCH("Conocer",$R62))+ISNUMBER(SEARCH("Aplicar",$R62))+ISNUMBER(SEARCH("Razonar",$R62))),0)</f>
        <v>0</v>
      </c>
      <c r="U62" s="28" t="n">
        <f aca="false">IFERROR(ISNUMBER(SEARCH("Razonar",$R62))/(ISNUMBER(SEARCH("Conocer",$R62))+ISNUMBER(SEARCH("Aplicar",$R62))+ISNUMBER(SEARCH("Razonar",$R62))),0)</f>
        <v>1</v>
      </c>
      <c r="V62" s="8" t="s">
        <v>44</v>
      </c>
      <c r="W62" s="8" t="s">
        <v>66</v>
      </c>
    </row>
    <row r="63" customFormat="false" ht="15" hidden="false" customHeight="false" outlineLevel="0" collapsed="false">
      <c r="A63" s="8" t="s">
        <v>666</v>
      </c>
      <c r="B63" s="8" t="n">
        <v>2</v>
      </c>
      <c r="C63" s="8" t="s">
        <v>411</v>
      </c>
      <c r="D63" s="8" t="s">
        <v>412</v>
      </c>
      <c r="E63" s="8" t="s">
        <v>667</v>
      </c>
      <c r="F63" s="8" t="n">
        <v>3</v>
      </c>
      <c r="G63" s="8" t="s">
        <v>668</v>
      </c>
      <c r="H63" s="8" t="s">
        <v>669</v>
      </c>
      <c r="I63" s="27" t="s">
        <v>670</v>
      </c>
      <c r="J63" s="8" t="s">
        <v>109</v>
      </c>
      <c r="K63" s="8" t="s">
        <v>417</v>
      </c>
      <c r="L63" s="8"/>
      <c r="M63" s="8" t="str">
        <f aca="false">IF(K63="FUERA","Fuera del marco",IF(K63="N/A","Sin marco",IFERROR(INDEX(Catalogo_TIMSS!$C$5:$C$105,MATCH(K63,Catalogo_TIMSS!$A$5:$A$105,0)),"Pendiente de clasificar")))</f>
        <v>Fuera del marco</v>
      </c>
      <c r="N63" s="8" t="str">
        <f aca="false">IF(K63="FUERA","Fuera del marco",IF(K63="N/A","Sin marco",IFERROR(INDEX(Catalogo_TIMSS!$F$5:$F$105,MATCH(K63,Catalogo_TIMSS!$A$5:$A$105,0)),"Pendiente de clasificar")))</f>
        <v>Fuera del marco</v>
      </c>
      <c r="O63" s="8" t="str">
        <f aca="false">IF(L63="","",IFERROR(INDEX(Catalogo_TIMSS!$C$5:$C$105,MATCH(L63,Catalogo_TIMSS!$A$5:$A$105,0)),"?"))</f>
        <v/>
      </c>
      <c r="P63" s="8" t="s">
        <v>418</v>
      </c>
      <c r="Q63" s="27" t="s">
        <v>671</v>
      </c>
      <c r="R63" s="27" t="s">
        <v>451</v>
      </c>
      <c r="S63" s="28" t="n">
        <f aca="false">IFERROR(ISNUMBER(SEARCH("Conocer",$R63))/(ISNUMBER(SEARCH("Conocer",$R63))+ISNUMBER(SEARCH("Aplicar",$R63))+ISNUMBER(SEARCH("Razonar",$R63))),0)</f>
        <v>0</v>
      </c>
      <c r="T63" s="28" t="n">
        <f aca="false">IFERROR(ISNUMBER(SEARCH("Aplicar",$R63))/(ISNUMBER(SEARCH("Conocer",$R63))+ISNUMBER(SEARCH("Aplicar",$R63))+ISNUMBER(SEARCH("Razonar",$R63))),0)</f>
        <v>1</v>
      </c>
      <c r="U63" s="28" t="n">
        <f aca="false">IFERROR(ISNUMBER(SEARCH("Razonar",$R63))/(ISNUMBER(SEARCH("Conocer",$R63))+ISNUMBER(SEARCH("Aplicar",$R63))+ISNUMBER(SEARCH("Razonar",$R63))),0)</f>
        <v>0</v>
      </c>
      <c r="V63" s="8" t="s">
        <v>44</v>
      </c>
      <c r="W63" s="8" t="s">
        <v>66</v>
      </c>
    </row>
    <row r="64" customFormat="false" ht="15" hidden="false" customHeight="false" outlineLevel="0" collapsed="false">
      <c r="A64" s="8" t="s">
        <v>672</v>
      </c>
      <c r="B64" s="8" t="n">
        <v>2</v>
      </c>
      <c r="C64" s="8" t="s">
        <v>411</v>
      </c>
      <c r="D64" s="8" t="s">
        <v>412</v>
      </c>
      <c r="E64" s="8" t="s">
        <v>667</v>
      </c>
      <c r="F64" s="8" t="n">
        <v>4</v>
      </c>
      <c r="G64" s="8" t="s">
        <v>668</v>
      </c>
      <c r="H64" s="8" t="s">
        <v>669</v>
      </c>
      <c r="I64" s="27" t="s">
        <v>673</v>
      </c>
      <c r="J64" s="8" t="s">
        <v>109</v>
      </c>
      <c r="K64" s="8" t="s">
        <v>417</v>
      </c>
      <c r="L64" s="8"/>
      <c r="M64" s="8" t="str">
        <f aca="false">IF(K64="FUERA","Fuera del marco",IF(K64="N/A","Sin marco",IFERROR(INDEX(Catalogo_TIMSS!$C$5:$C$105,MATCH(K64,Catalogo_TIMSS!$A$5:$A$105,0)),"Pendiente de clasificar")))</f>
        <v>Fuera del marco</v>
      </c>
      <c r="N64" s="8" t="str">
        <f aca="false">IF(K64="FUERA","Fuera del marco",IF(K64="N/A","Sin marco",IFERROR(INDEX(Catalogo_TIMSS!$F$5:$F$105,MATCH(K64,Catalogo_TIMSS!$A$5:$A$105,0)),"Pendiente de clasificar")))</f>
        <v>Fuera del marco</v>
      </c>
      <c r="O64" s="8" t="str">
        <f aca="false">IF(L64="","",IFERROR(INDEX(Catalogo_TIMSS!$C$5:$C$105,MATCH(L64,Catalogo_TIMSS!$A$5:$A$105,0)),"?"))</f>
        <v/>
      </c>
      <c r="P64" s="8" t="s">
        <v>418</v>
      </c>
      <c r="Q64" s="27" t="s">
        <v>674</v>
      </c>
      <c r="R64" s="27" t="s">
        <v>675</v>
      </c>
      <c r="S64" s="28" t="n">
        <f aca="false">IFERROR(ISNUMBER(SEARCH("Conocer",$R64))/(ISNUMBER(SEARCH("Conocer",$R64))+ISNUMBER(SEARCH("Aplicar",$R64))+ISNUMBER(SEARCH("Razonar",$R64))),0)</f>
        <v>0</v>
      </c>
      <c r="T64" s="28" t="n">
        <f aca="false">IFERROR(ISNUMBER(SEARCH("Aplicar",$R64))/(ISNUMBER(SEARCH("Conocer",$R64))+ISNUMBER(SEARCH("Aplicar",$R64))+ISNUMBER(SEARCH("Razonar",$R64))),0)</f>
        <v>1</v>
      </c>
      <c r="U64" s="28" t="n">
        <f aca="false">IFERROR(ISNUMBER(SEARCH("Razonar",$R64))/(ISNUMBER(SEARCH("Conocer",$R64))+ISNUMBER(SEARCH("Aplicar",$R64))+ISNUMBER(SEARCH("Razonar",$R64))),0)</f>
        <v>0</v>
      </c>
      <c r="V64" s="8" t="s">
        <v>44</v>
      </c>
      <c r="W64" s="8" t="s">
        <v>66</v>
      </c>
    </row>
    <row r="65" customFormat="false" ht="15" hidden="false" customHeight="false" outlineLevel="0" collapsed="false">
      <c r="A65" s="8" t="s">
        <v>676</v>
      </c>
      <c r="B65" s="8" t="n">
        <v>2</v>
      </c>
      <c r="C65" s="8" t="s">
        <v>411</v>
      </c>
      <c r="D65" s="8" t="s">
        <v>412</v>
      </c>
      <c r="E65" s="8" t="s">
        <v>667</v>
      </c>
      <c r="F65" s="8" t="n">
        <v>5</v>
      </c>
      <c r="G65" s="8" t="s">
        <v>668</v>
      </c>
      <c r="H65" s="8" t="s">
        <v>677</v>
      </c>
      <c r="I65" s="27" t="s">
        <v>678</v>
      </c>
      <c r="J65" s="8" t="s">
        <v>109</v>
      </c>
      <c r="K65" s="8" t="s">
        <v>417</v>
      </c>
      <c r="L65" s="8"/>
      <c r="M65" s="8" t="str">
        <f aca="false">IF(K65="FUERA","Fuera del marco",IF(K65="N/A","Sin marco",IFERROR(INDEX(Catalogo_TIMSS!$C$5:$C$105,MATCH(K65,Catalogo_TIMSS!$A$5:$A$105,0)),"Pendiente de clasificar")))</f>
        <v>Fuera del marco</v>
      </c>
      <c r="N65" s="8" t="str">
        <f aca="false">IF(K65="FUERA","Fuera del marco",IF(K65="N/A","Sin marco",IFERROR(INDEX(Catalogo_TIMSS!$F$5:$F$105,MATCH(K65,Catalogo_TIMSS!$A$5:$A$105,0)),"Pendiente de clasificar")))</f>
        <v>Fuera del marco</v>
      </c>
      <c r="O65" s="8" t="str">
        <f aca="false">IF(L65="","",IFERROR(INDEX(Catalogo_TIMSS!$C$5:$C$105,MATCH(L65,Catalogo_TIMSS!$A$5:$A$105,0)),"?"))</f>
        <v/>
      </c>
      <c r="P65" s="8" t="s">
        <v>460</v>
      </c>
      <c r="Q65" s="27" t="s">
        <v>679</v>
      </c>
      <c r="R65" s="27" t="s">
        <v>680</v>
      </c>
      <c r="S65" s="28" t="n">
        <f aca="false">IFERROR(ISNUMBER(SEARCH("Conocer",$R65))/(ISNUMBER(SEARCH("Conocer",$R65))+ISNUMBER(SEARCH("Aplicar",$R65))+ISNUMBER(SEARCH("Razonar",$R65))),0)</f>
        <v>1</v>
      </c>
      <c r="T65" s="28" t="n">
        <f aca="false">IFERROR(ISNUMBER(SEARCH("Aplicar",$R65))/(ISNUMBER(SEARCH("Conocer",$R65))+ISNUMBER(SEARCH("Aplicar",$R65))+ISNUMBER(SEARCH("Razonar",$R65))),0)</f>
        <v>0</v>
      </c>
      <c r="U65" s="28" t="n">
        <f aca="false">IFERROR(ISNUMBER(SEARCH("Razonar",$R65))/(ISNUMBER(SEARCH("Conocer",$R65))+ISNUMBER(SEARCH("Aplicar",$R65))+ISNUMBER(SEARCH("Razonar",$R65))),0)</f>
        <v>0</v>
      </c>
      <c r="V65" s="8" t="s">
        <v>44</v>
      </c>
      <c r="W65" s="8" t="s">
        <v>66</v>
      </c>
    </row>
    <row r="66" customFormat="false" ht="15" hidden="false" customHeight="false" outlineLevel="0" collapsed="false">
      <c r="A66" s="8" t="s">
        <v>681</v>
      </c>
      <c r="B66" s="8" t="n">
        <v>2</v>
      </c>
      <c r="C66" s="8" t="s">
        <v>411</v>
      </c>
      <c r="D66" s="8" t="s">
        <v>412</v>
      </c>
      <c r="E66" s="8" t="s">
        <v>667</v>
      </c>
      <c r="F66" s="8" t="n">
        <v>6</v>
      </c>
      <c r="G66" s="8" t="s">
        <v>668</v>
      </c>
      <c r="H66" s="8" t="s">
        <v>677</v>
      </c>
      <c r="I66" s="27" t="s">
        <v>682</v>
      </c>
      <c r="J66" s="8" t="s">
        <v>109</v>
      </c>
      <c r="K66" s="8" t="s">
        <v>417</v>
      </c>
      <c r="L66" s="8"/>
      <c r="M66" s="8" t="str">
        <f aca="false">IF(K66="FUERA","Fuera del marco",IF(K66="N/A","Sin marco",IFERROR(INDEX(Catalogo_TIMSS!$C$5:$C$105,MATCH(K66,Catalogo_TIMSS!$A$5:$A$105,0)),"Pendiente de clasificar")))</f>
        <v>Fuera del marco</v>
      </c>
      <c r="N66" s="8" t="str">
        <f aca="false">IF(K66="FUERA","Fuera del marco",IF(K66="N/A","Sin marco",IFERROR(INDEX(Catalogo_TIMSS!$F$5:$F$105,MATCH(K66,Catalogo_TIMSS!$A$5:$A$105,0)),"Pendiente de clasificar")))</f>
        <v>Fuera del marco</v>
      </c>
      <c r="O66" s="8" t="str">
        <f aca="false">IF(L66="","",IFERROR(INDEX(Catalogo_TIMSS!$C$5:$C$105,MATCH(L66,Catalogo_TIMSS!$A$5:$A$105,0)),"?"))</f>
        <v/>
      </c>
      <c r="P66" s="8" t="s">
        <v>460</v>
      </c>
      <c r="Q66" s="27" t="s">
        <v>683</v>
      </c>
      <c r="R66" s="27" t="s">
        <v>429</v>
      </c>
      <c r="S66" s="28" t="n">
        <f aca="false">IFERROR(ISNUMBER(SEARCH("Conocer",$R66))/(ISNUMBER(SEARCH("Conocer",$R66))+ISNUMBER(SEARCH("Aplicar",$R66))+ISNUMBER(SEARCH("Razonar",$R66))),0)</f>
        <v>0</v>
      </c>
      <c r="T66" s="28" t="n">
        <f aca="false">IFERROR(ISNUMBER(SEARCH("Aplicar",$R66))/(ISNUMBER(SEARCH("Conocer",$R66))+ISNUMBER(SEARCH("Aplicar",$R66))+ISNUMBER(SEARCH("Razonar",$R66))),0)</f>
        <v>1</v>
      </c>
      <c r="U66" s="28" t="n">
        <f aca="false">IFERROR(ISNUMBER(SEARCH("Razonar",$R66))/(ISNUMBER(SEARCH("Conocer",$R66))+ISNUMBER(SEARCH("Aplicar",$R66))+ISNUMBER(SEARCH("Razonar",$R66))),0)</f>
        <v>0</v>
      </c>
      <c r="V66" s="8" t="s">
        <v>44</v>
      </c>
      <c r="W66" s="8" t="s">
        <v>66</v>
      </c>
    </row>
    <row r="67" customFormat="false" ht="15" hidden="false" customHeight="false" outlineLevel="0" collapsed="false">
      <c r="A67" s="8" t="s">
        <v>684</v>
      </c>
      <c r="B67" s="8" t="n">
        <v>2</v>
      </c>
      <c r="C67" s="8" t="s">
        <v>411</v>
      </c>
      <c r="D67" s="8" t="s">
        <v>412</v>
      </c>
      <c r="E67" s="8" t="s">
        <v>667</v>
      </c>
      <c r="F67" s="8" t="n">
        <v>7</v>
      </c>
      <c r="G67" s="8" t="s">
        <v>668</v>
      </c>
      <c r="H67" s="8" t="s">
        <v>677</v>
      </c>
      <c r="I67" s="27" t="s">
        <v>685</v>
      </c>
      <c r="J67" s="8" t="s">
        <v>109</v>
      </c>
      <c r="K67" s="8" t="s">
        <v>417</v>
      </c>
      <c r="L67" s="8"/>
      <c r="M67" s="8" t="str">
        <f aca="false">IF(K67="FUERA","Fuera del marco",IF(K67="N/A","Sin marco",IFERROR(INDEX(Catalogo_TIMSS!$C$5:$C$105,MATCH(K67,Catalogo_TIMSS!$A$5:$A$105,0)),"Pendiente de clasificar")))</f>
        <v>Fuera del marco</v>
      </c>
      <c r="N67" s="8" t="str">
        <f aca="false">IF(K67="FUERA","Fuera del marco",IF(K67="N/A","Sin marco",IFERROR(INDEX(Catalogo_TIMSS!$F$5:$F$105,MATCH(K67,Catalogo_TIMSS!$A$5:$A$105,0)),"Pendiente de clasificar")))</f>
        <v>Fuera del marco</v>
      </c>
      <c r="O67" s="8" t="str">
        <f aca="false">IF(L67="","",IFERROR(INDEX(Catalogo_TIMSS!$C$5:$C$105,MATCH(L67,Catalogo_TIMSS!$A$5:$A$105,0)),"?"))</f>
        <v/>
      </c>
      <c r="P67" s="8" t="s">
        <v>418</v>
      </c>
      <c r="Q67" s="27" t="s">
        <v>686</v>
      </c>
      <c r="R67" s="27" t="s">
        <v>687</v>
      </c>
      <c r="S67" s="28" t="n">
        <f aca="false">IFERROR(ISNUMBER(SEARCH("Conocer",$R67))/(ISNUMBER(SEARCH("Conocer",$R67))+ISNUMBER(SEARCH("Aplicar",$R67))+ISNUMBER(SEARCH("Razonar",$R67))),0)</f>
        <v>0</v>
      </c>
      <c r="T67" s="28" t="n">
        <f aca="false">IFERROR(ISNUMBER(SEARCH("Aplicar",$R67))/(ISNUMBER(SEARCH("Conocer",$R67))+ISNUMBER(SEARCH("Aplicar",$R67))+ISNUMBER(SEARCH("Razonar",$R67))),0)</f>
        <v>0.5</v>
      </c>
      <c r="U67" s="28" t="n">
        <f aca="false">IFERROR(ISNUMBER(SEARCH("Razonar",$R67))/(ISNUMBER(SEARCH("Conocer",$R67))+ISNUMBER(SEARCH("Aplicar",$R67))+ISNUMBER(SEARCH("Razonar",$R67))),0)</f>
        <v>0.5</v>
      </c>
      <c r="V67" s="8" t="s">
        <v>44</v>
      </c>
      <c r="W67" s="8" t="s">
        <v>66</v>
      </c>
    </row>
    <row r="68" customFormat="false" ht="15" hidden="false" customHeight="false" outlineLevel="0" collapsed="false">
      <c r="A68" s="8" t="s">
        <v>688</v>
      </c>
      <c r="B68" s="8" t="n">
        <v>2</v>
      </c>
      <c r="C68" s="8" t="s">
        <v>411</v>
      </c>
      <c r="D68" s="8" t="s">
        <v>412</v>
      </c>
      <c r="E68" s="8" t="s">
        <v>667</v>
      </c>
      <c r="F68" s="8" t="n">
        <v>8</v>
      </c>
      <c r="G68" s="8" t="s">
        <v>668</v>
      </c>
      <c r="H68" s="8" t="s">
        <v>689</v>
      </c>
      <c r="I68" s="27" t="s">
        <v>690</v>
      </c>
      <c r="J68" s="8" t="s">
        <v>109</v>
      </c>
      <c r="K68" s="8" t="s">
        <v>126</v>
      </c>
      <c r="L68" s="8"/>
      <c r="M68" s="8" t="str">
        <f aca="false">IF(K68="FUERA","Fuera del marco",IF(K68="N/A","Sin marco",IFERROR(INDEX(Catalogo_TIMSS!$C$5:$C$105,MATCH(K68,Catalogo_TIMSS!$A$5:$A$105,0)),"Pendiente de clasificar")))</f>
        <v>Ciencias de la vida</v>
      </c>
      <c r="N68" s="8" t="str">
        <f aca="false">IF(K68="FUERA","Fuera del marco",IF(K68="N/A","Sin marco",IFERROR(INDEX(Catalogo_TIMSS!$F$5:$F$105,MATCH(K68,Catalogo_TIMSS!$A$5:$A$105,0)),"Pendiente de clasificar")))</f>
        <v>Organismos, ambiente y sus interacciones</v>
      </c>
      <c r="O68" s="8" t="str">
        <f aca="false">IF(L68="","",IFERROR(INDEX(Catalogo_TIMSS!$C$5:$C$105,MATCH(L68,Catalogo_TIMSS!$A$5:$A$105,0)),"?"))</f>
        <v/>
      </c>
      <c r="P68" s="8" t="s">
        <v>418</v>
      </c>
      <c r="Q68" s="27" t="s">
        <v>691</v>
      </c>
      <c r="R68" s="27" t="s">
        <v>587</v>
      </c>
      <c r="S68" s="28" t="n">
        <f aca="false">IFERROR(ISNUMBER(SEARCH("Conocer",$R68))/(ISNUMBER(SEARCH("Conocer",$R68))+ISNUMBER(SEARCH("Aplicar",$R68))+ISNUMBER(SEARCH("Razonar",$R68))),0)</f>
        <v>0</v>
      </c>
      <c r="T68" s="28" t="n">
        <f aca="false">IFERROR(ISNUMBER(SEARCH("Aplicar",$R68))/(ISNUMBER(SEARCH("Conocer",$R68))+ISNUMBER(SEARCH("Aplicar",$R68))+ISNUMBER(SEARCH("Razonar",$R68))),0)</f>
        <v>1</v>
      </c>
      <c r="U68" s="28" t="n">
        <f aca="false">IFERROR(ISNUMBER(SEARCH("Razonar",$R68))/(ISNUMBER(SEARCH("Conocer",$R68))+ISNUMBER(SEARCH("Aplicar",$R68))+ISNUMBER(SEARCH("Razonar",$R68))),0)</f>
        <v>0</v>
      </c>
      <c r="V68" s="8" t="s">
        <v>44</v>
      </c>
      <c r="W68" s="8" t="s">
        <v>66</v>
      </c>
    </row>
    <row r="69" customFormat="false" ht="15" hidden="false" customHeight="false" outlineLevel="0" collapsed="false">
      <c r="A69" s="8" t="s">
        <v>692</v>
      </c>
      <c r="B69" s="8" t="n">
        <v>2</v>
      </c>
      <c r="C69" s="8" t="s">
        <v>411</v>
      </c>
      <c r="D69" s="8" t="s">
        <v>412</v>
      </c>
      <c r="E69" s="8" t="s">
        <v>667</v>
      </c>
      <c r="F69" s="8" t="n">
        <v>9</v>
      </c>
      <c r="G69" s="8" t="s">
        <v>668</v>
      </c>
      <c r="H69" s="8" t="s">
        <v>689</v>
      </c>
      <c r="I69" s="27" t="s">
        <v>693</v>
      </c>
      <c r="J69" s="8" t="s">
        <v>109</v>
      </c>
      <c r="K69" s="8" t="s">
        <v>168</v>
      </c>
      <c r="L69" s="8" t="s">
        <v>126</v>
      </c>
      <c r="M69" s="8" t="str">
        <f aca="false">IF(K69="FUERA","Fuera del marco",IF(K69="N/A","Sin marco",IFERROR(INDEX(Catalogo_TIMSS!$C$5:$C$105,MATCH(K69,Catalogo_TIMSS!$A$5:$A$105,0)),"Pendiente de clasificar")))</f>
        <v>Ciencias de la Tierra</v>
      </c>
      <c r="N69" s="8" t="str">
        <f aca="false">IF(K69="FUERA","Fuera del marco",IF(K69="N/A","Sin marco",IFERROR(INDEX(Catalogo_TIMSS!$F$5:$F$105,MATCH(K69,Catalogo_TIMSS!$A$5:$A$105,0)),"Pendiente de clasificar")))</f>
        <v>Características físicas, recursos e historia de la Tierra</v>
      </c>
      <c r="O69" s="8" t="str">
        <f aca="false">IF(L69="","",IFERROR(INDEX(Catalogo_TIMSS!$C$5:$C$105,MATCH(L69,Catalogo_TIMSS!$A$5:$A$105,0)),"?"))</f>
        <v>Ciencias de la vida</v>
      </c>
      <c r="P69" s="8" t="s">
        <v>460</v>
      </c>
      <c r="Q69" s="27" t="s">
        <v>694</v>
      </c>
      <c r="R69" s="27" t="s">
        <v>451</v>
      </c>
      <c r="S69" s="28" t="n">
        <f aca="false">IFERROR(ISNUMBER(SEARCH("Conocer",$R69))/(ISNUMBER(SEARCH("Conocer",$R69))+ISNUMBER(SEARCH("Aplicar",$R69))+ISNUMBER(SEARCH("Razonar",$R69))),0)</f>
        <v>0</v>
      </c>
      <c r="T69" s="28" t="n">
        <f aca="false">IFERROR(ISNUMBER(SEARCH("Aplicar",$R69))/(ISNUMBER(SEARCH("Conocer",$R69))+ISNUMBER(SEARCH("Aplicar",$R69))+ISNUMBER(SEARCH("Razonar",$R69))),0)</f>
        <v>1</v>
      </c>
      <c r="U69" s="28" t="n">
        <f aca="false">IFERROR(ISNUMBER(SEARCH("Razonar",$R69))/(ISNUMBER(SEARCH("Conocer",$R69))+ISNUMBER(SEARCH("Aplicar",$R69))+ISNUMBER(SEARCH("Razonar",$R69))),0)</f>
        <v>0</v>
      </c>
      <c r="V69" s="8" t="s">
        <v>44</v>
      </c>
      <c r="W69" s="8" t="s">
        <v>66</v>
      </c>
    </row>
    <row r="70" customFormat="false" ht="15" hidden="false" customHeight="false" outlineLevel="0" collapsed="false">
      <c r="A70" s="8" t="s">
        <v>695</v>
      </c>
      <c r="B70" s="8" t="n">
        <v>2</v>
      </c>
      <c r="C70" s="8" t="s">
        <v>411</v>
      </c>
      <c r="D70" s="8" t="s">
        <v>412</v>
      </c>
      <c r="E70" s="8" t="s">
        <v>667</v>
      </c>
      <c r="F70" s="8" t="n">
        <v>10</v>
      </c>
      <c r="G70" s="8" t="s">
        <v>668</v>
      </c>
      <c r="H70" s="8" t="s">
        <v>689</v>
      </c>
      <c r="I70" s="27" t="s">
        <v>696</v>
      </c>
      <c r="J70" s="8" t="s">
        <v>109</v>
      </c>
      <c r="K70" s="8" t="s">
        <v>126</v>
      </c>
      <c r="L70" s="8" t="s">
        <v>168</v>
      </c>
      <c r="M70" s="8" t="str">
        <f aca="false">IF(K70="FUERA","Fuera del marco",IF(K70="N/A","Sin marco",IFERROR(INDEX(Catalogo_TIMSS!$C$5:$C$105,MATCH(K70,Catalogo_TIMSS!$A$5:$A$105,0)),"Pendiente de clasificar")))</f>
        <v>Ciencias de la vida</v>
      </c>
      <c r="N70" s="8" t="str">
        <f aca="false">IF(K70="FUERA","Fuera del marco",IF(K70="N/A","Sin marco",IFERROR(INDEX(Catalogo_TIMSS!$F$5:$F$105,MATCH(K70,Catalogo_TIMSS!$A$5:$A$105,0)),"Pendiente de clasificar")))</f>
        <v>Organismos, ambiente y sus interacciones</v>
      </c>
      <c r="O70" s="8" t="str">
        <f aca="false">IF(L70="","",IFERROR(INDEX(Catalogo_TIMSS!$C$5:$C$105,MATCH(L70,Catalogo_TIMSS!$A$5:$A$105,0)),"?"))</f>
        <v>Ciencias de la Tierra</v>
      </c>
      <c r="P70" s="8" t="s">
        <v>460</v>
      </c>
      <c r="Q70" s="27" t="s">
        <v>697</v>
      </c>
      <c r="R70" s="27" t="s">
        <v>698</v>
      </c>
      <c r="S70" s="28" t="n">
        <f aca="false">IFERROR(ISNUMBER(SEARCH("Conocer",$R70))/(ISNUMBER(SEARCH("Conocer",$R70))+ISNUMBER(SEARCH("Aplicar",$R70))+ISNUMBER(SEARCH("Razonar",$R70))),0)</f>
        <v>0</v>
      </c>
      <c r="T70" s="28" t="n">
        <f aca="false">IFERROR(ISNUMBER(SEARCH("Aplicar",$R70))/(ISNUMBER(SEARCH("Conocer",$R70))+ISNUMBER(SEARCH("Aplicar",$R70))+ISNUMBER(SEARCH("Razonar",$R70))),0)</f>
        <v>0</v>
      </c>
      <c r="U70" s="28" t="n">
        <f aca="false">IFERROR(ISNUMBER(SEARCH("Razonar",$R70))/(ISNUMBER(SEARCH("Conocer",$R70))+ISNUMBER(SEARCH("Aplicar",$R70))+ISNUMBER(SEARCH("Razonar",$R70))),0)</f>
        <v>1</v>
      </c>
      <c r="V70" s="8" t="s">
        <v>44</v>
      </c>
      <c r="W70" s="8" t="s">
        <v>66</v>
      </c>
    </row>
    <row r="71" customFormat="false" ht="15" hidden="false" customHeight="false" outlineLevel="0" collapsed="false">
      <c r="A71" s="8" t="s">
        <v>699</v>
      </c>
      <c r="B71" s="8" t="n">
        <v>2</v>
      </c>
      <c r="C71" s="8" t="s">
        <v>411</v>
      </c>
      <c r="D71" s="8" t="s">
        <v>412</v>
      </c>
      <c r="E71" s="8" t="s">
        <v>667</v>
      </c>
      <c r="F71" s="8" t="n">
        <v>11</v>
      </c>
      <c r="G71" s="8" t="s">
        <v>668</v>
      </c>
      <c r="H71" s="8" t="s">
        <v>700</v>
      </c>
      <c r="I71" s="27" t="s">
        <v>701</v>
      </c>
      <c r="J71" s="8" t="s">
        <v>109</v>
      </c>
      <c r="K71" s="8" t="s">
        <v>138</v>
      </c>
      <c r="L71" s="8"/>
      <c r="M71" s="8" t="str">
        <f aca="false">IF(K71="FUERA","Fuera del marco",IF(K71="N/A","Sin marco",IFERROR(INDEX(Catalogo_TIMSS!$C$5:$C$105,MATCH(K71,Catalogo_TIMSS!$A$5:$A$105,0)),"Pendiente de clasificar")))</f>
        <v>Ciencias de la vida</v>
      </c>
      <c r="N71" s="8" t="str">
        <f aca="false">IF(K71="FUERA","Fuera del marco",IF(K71="N/A","Sin marco",IFERROR(INDEX(Catalogo_TIMSS!$F$5:$F$105,MATCH(K71,Catalogo_TIMSS!$A$5:$A$105,0)),"Pendiente de clasificar")))</f>
        <v>Salud humana</v>
      </c>
      <c r="O71" s="8" t="str">
        <f aca="false">IF(L71="","",IFERROR(INDEX(Catalogo_TIMSS!$C$5:$C$105,MATCH(L71,Catalogo_TIMSS!$A$5:$A$105,0)),"?"))</f>
        <v/>
      </c>
      <c r="P71" s="8" t="s">
        <v>418</v>
      </c>
      <c r="Q71" s="27" t="s">
        <v>702</v>
      </c>
      <c r="R71" s="27" t="s">
        <v>451</v>
      </c>
      <c r="S71" s="28" t="n">
        <f aca="false">IFERROR(ISNUMBER(SEARCH("Conocer",$R71))/(ISNUMBER(SEARCH("Conocer",$R71))+ISNUMBER(SEARCH("Aplicar",$R71))+ISNUMBER(SEARCH("Razonar",$R71))),0)</f>
        <v>0</v>
      </c>
      <c r="T71" s="28" t="n">
        <f aca="false">IFERROR(ISNUMBER(SEARCH("Aplicar",$R71))/(ISNUMBER(SEARCH("Conocer",$R71))+ISNUMBER(SEARCH("Aplicar",$R71))+ISNUMBER(SEARCH("Razonar",$R71))),0)</f>
        <v>1</v>
      </c>
      <c r="U71" s="28" t="n">
        <f aca="false">IFERROR(ISNUMBER(SEARCH("Razonar",$R71))/(ISNUMBER(SEARCH("Conocer",$R71))+ISNUMBER(SEARCH("Aplicar",$R71))+ISNUMBER(SEARCH("Razonar",$R71))),0)</f>
        <v>0</v>
      </c>
      <c r="V71" s="8" t="s">
        <v>44</v>
      </c>
      <c r="W71" s="8" t="s">
        <v>66</v>
      </c>
    </row>
    <row r="72" customFormat="false" ht="15" hidden="false" customHeight="false" outlineLevel="0" collapsed="false">
      <c r="A72" s="8" t="s">
        <v>703</v>
      </c>
      <c r="B72" s="8" t="n">
        <v>2</v>
      </c>
      <c r="C72" s="8" t="s">
        <v>411</v>
      </c>
      <c r="D72" s="8" t="s">
        <v>412</v>
      </c>
      <c r="E72" s="8" t="s">
        <v>667</v>
      </c>
      <c r="F72" s="8" t="n">
        <v>12</v>
      </c>
      <c r="G72" s="8" t="s">
        <v>668</v>
      </c>
      <c r="H72" s="8" t="s">
        <v>700</v>
      </c>
      <c r="I72" s="27" t="s">
        <v>704</v>
      </c>
      <c r="J72" s="8" t="s">
        <v>109</v>
      </c>
      <c r="K72" s="8" t="s">
        <v>138</v>
      </c>
      <c r="L72" s="8"/>
      <c r="M72" s="8" t="str">
        <f aca="false">IF(K72="FUERA","Fuera del marco",IF(K72="N/A","Sin marco",IFERROR(INDEX(Catalogo_TIMSS!$C$5:$C$105,MATCH(K72,Catalogo_TIMSS!$A$5:$A$105,0)),"Pendiente de clasificar")))</f>
        <v>Ciencias de la vida</v>
      </c>
      <c r="N72" s="8" t="str">
        <f aca="false">IF(K72="FUERA","Fuera del marco",IF(K72="N/A","Sin marco",IFERROR(INDEX(Catalogo_TIMSS!$F$5:$F$105,MATCH(K72,Catalogo_TIMSS!$A$5:$A$105,0)),"Pendiente de clasificar")))</f>
        <v>Salud humana</v>
      </c>
      <c r="O72" s="8" t="str">
        <f aca="false">IF(L72="","",IFERROR(INDEX(Catalogo_TIMSS!$C$5:$C$105,MATCH(L72,Catalogo_TIMSS!$A$5:$A$105,0)),"?"))</f>
        <v/>
      </c>
      <c r="P72" s="8" t="s">
        <v>418</v>
      </c>
      <c r="Q72" s="27" t="s">
        <v>705</v>
      </c>
      <c r="R72" s="27" t="s">
        <v>680</v>
      </c>
      <c r="S72" s="28" t="n">
        <f aca="false">IFERROR(ISNUMBER(SEARCH("Conocer",$R72))/(ISNUMBER(SEARCH("Conocer",$R72))+ISNUMBER(SEARCH("Aplicar",$R72))+ISNUMBER(SEARCH("Razonar",$R72))),0)</f>
        <v>1</v>
      </c>
      <c r="T72" s="28" t="n">
        <f aca="false">IFERROR(ISNUMBER(SEARCH("Aplicar",$R72))/(ISNUMBER(SEARCH("Conocer",$R72))+ISNUMBER(SEARCH("Aplicar",$R72))+ISNUMBER(SEARCH("Razonar",$R72))),0)</f>
        <v>0</v>
      </c>
      <c r="U72" s="28" t="n">
        <f aca="false">IFERROR(ISNUMBER(SEARCH("Razonar",$R72))/(ISNUMBER(SEARCH("Conocer",$R72))+ISNUMBER(SEARCH("Aplicar",$R72))+ISNUMBER(SEARCH("Razonar",$R72))),0)</f>
        <v>0</v>
      </c>
      <c r="V72" s="8" t="s">
        <v>44</v>
      </c>
      <c r="W72" s="8" t="s">
        <v>66</v>
      </c>
    </row>
    <row r="73" customFormat="false" ht="15" hidden="false" customHeight="false" outlineLevel="0" collapsed="false">
      <c r="A73" s="8" t="s">
        <v>706</v>
      </c>
      <c r="B73" s="8" t="n">
        <v>2</v>
      </c>
      <c r="C73" s="8" t="s">
        <v>411</v>
      </c>
      <c r="D73" s="8" t="s">
        <v>412</v>
      </c>
      <c r="E73" s="8" t="s">
        <v>667</v>
      </c>
      <c r="F73" s="8" t="n">
        <v>13</v>
      </c>
      <c r="G73" s="8" t="s">
        <v>668</v>
      </c>
      <c r="H73" s="8" t="s">
        <v>707</v>
      </c>
      <c r="I73" s="27" t="s">
        <v>708</v>
      </c>
      <c r="J73" s="8" t="s">
        <v>109</v>
      </c>
      <c r="K73" s="8" t="s">
        <v>138</v>
      </c>
      <c r="L73" s="8" t="s">
        <v>135</v>
      </c>
      <c r="M73" s="8" t="str">
        <f aca="false">IF(K73="FUERA","Fuera del marco",IF(K73="N/A","Sin marco",IFERROR(INDEX(Catalogo_TIMSS!$C$5:$C$105,MATCH(K73,Catalogo_TIMSS!$A$5:$A$105,0)),"Pendiente de clasificar")))</f>
        <v>Ciencias de la vida</v>
      </c>
      <c r="N73" s="8" t="str">
        <f aca="false">IF(K73="FUERA","Fuera del marco",IF(K73="N/A","Sin marco",IFERROR(INDEX(Catalogo_TIMSS!$F$5:$F$105,MATCH(K73,Catalogo_TIMSS!$A$5:$A$105,0)),"Pendiente de clasificar")))</f>
        <v>Salud humana</v>
      </c>
      <c r="O73" s="8" t="str">
        <f aca="false">IF(L73="","",IFERROR(INDEX(Catalogo_TIMSS!$C$5:$C$105,MATCH(L73,Catalogo_TIMSS!$A$5:$A$105,0)),"?"))</f>
        <v>Ciencias de la vida</v>
      </c>
      <c r="P73" s="8" t="s">
        <v>460</v>
      </c>
      <c r="Q73" s="27" t="s">
        <v>709</v>
      </c>
      <c r="R73" s="27" t="s">
        <v>451</v>
      </c>
      <c r="S73" s="28" t="n">
        <f aca="false">IFERROR(ISNUMBER(SEARCH("Conocer",$R73))/(ISNUMBER(SEARCH("Conocer",$R73))+ISNUMBER(SEARCH("Aplicar",$R73))+ISNUMBER(SEARCH("Razonar",$R73))),0)</f>
        <v>0</v>
      </c>
      <c r="T73" s="28" t="n">
        <f aca="false">IFERROR(ISNUMBER(SEARCH("Aplicar",$R73))/(ISNUMBER(SEARCH("Conocer",$R73))+ISNUMBER(SEARCH("Aplicar",$R73))+ISNUMBER(SEARCH("Razonar",$R73))),0)</f>
        <v>1</v>
      </c>
      <c r="U73" s="28" t="n">
        <f aca="false">IFERROR(ISNUMBER(SEARCH("Razonar",$R73))/(ISNUMBER(SEARCH("Conocer",$R73))+ISNUMBER(SEARCH("Aplicar",$R73))+ISNUMBER(SEARCH("Razonar",$R73))),0)</f>
        <v>0</v>
      </c>
      <c r="V73" s="8" t="s">
        <v>44</v>
      </c>
      <c r="W73" s="8" t="s">
        <v>66</v>
      </c>
    </row>
    <row r="74" customFormat="false" ht="15" hidden="false" customHeight="false" outlineLevel="0" collapsed="false">
      <c r="A74" s="8" t="s">
        <v>710</v>
      </c>
      <c r="B74" s="8" t="n">
        <v>2</v>
      </c>
      <c r="C74" s="8" t="s">
        <v>411</v>
      </c>
      <c r="D74" s="8" t="s">
        <v>412</v>
      </c>
      <c r="E74" s="8" t="s">
        <v>667</v>
      </c>
      <c r="F74" s="8" t="n">
        <v>14</v>
      </c>
      <c r="G74" s="8" t="s">
        <v>668</v>
      </c>
      <c r="H74" s="8" t="s">
        <v>707</v>
      </c>
      <c r="I74" s="27" t="s">
        <v>711</v>
      </c>
      <c r="J74" s="8" t="s">
        <v>109</v>
      </c>
      <c r="K74" s="8" t="s">
        <v>135</v>
      </c>
      <c r="L74" s="8"/>
      <c r="M74" s="8" t="str">
        <f aca="false">IF(K74="FUERA","Fuera del marco",IF(K74="N/A","Sin marco",IFERROR(INDEX(Catalogo_TIMSS!$C$5:$C$105,MATCH(K74,Catalogo_TIMSS!$A$5:$A$105,0)),"Pendiente de clasificar")))</f>
        <v>Ciencias de la vida</v>
      </c>
      <c r="N74" s="8" t="str">
        <f aca="false">IF(K74="FUERA","Fuera del marco",IF(K74="N/A","Sin marco",IFERROR(INDEX(Catalogo_TIMSS!$F$5:$F$105,MATCH(K74,Catalogo_TIMSS!$A$5:$A$105,0)),"Pendiente de clasificar")))</f>
        <v>Salud humana</v>
      </c>
      <c r="O74" s="8" t="str">
        <f aca="false">IF(L74="","",IFERROR(INDEX(Catalogo_TIMSS!$C$5:$C$105,MATCH(L74,Catalogo_TIMSS!$A$5:$A$105,0)),"?"))</f>
        <v/>
      </c>
      <c r="P74" s="8" t="s">
        <v>418</v>
      </c>
      <c r="Q74" s="27" t="s">
        <v>712</v>
      </c>
      <c r="R74" s="27" t="s">
        <v>618</v>
      </c>
      <c r="S74" s="28" t="n">
        <f aca="false">IFERROR(ISNUMBER(SEARCH("Conocer",$R74))/(ISNUMBER(SEARCH("Conocer",$R74))+ISNUMBER(SEARCH("Aplicar",$R74))+ISNUMBER(SEARCH("Razonar",$R74))),0)</f>
        <v>0</v>
      </c>
      <c r="T74" s="28" t="n">
        <f aca="false">IFERROR(ISNUMBER(SEARCH("Aplicar",$R74))/(ISNUMBER(SEARCH("Conocer",$R74))+ISNUMBER(SEARCH("Aplicar",$R74))+ISNUMBER(SEARCH("Razonar",$R74))),0)</f>
        <v>0</v>
      </c>
      <c r="U74" s="28" t="n">
        <f aca="false">IFERROR(ISNUMBER(SEARCH("Razonar",$R74))/(ISNUMBER(SEARCH("Conocer",$R74))+ISNUMBER(SEARCH("Aplicar",$R74))+ISNUMBER(SEARCH("Razonar",$R74))),0)</f>
        <v>1</v>
      </c>
      <c r="V74" s="8" t="s">
        <v>44</v>
      </c>
      <c r="W74" s="8" t="s">
        <v>66</v>
      </c>
    </row>
    <row r="75" customFormat="false" ht="15" hidden="false" customHeight="false" outlineLevel="0" collapsed="false">
      <c r="A75" s="8" t="s">
        <v>713</v>
      </c>
      <c r="B75" s="8" t="n">
        <v>3</v>
      </c>
      <c r="C75" s="8" t="s">
        <v>411</v>
      </c>
      <c r="D75" s="8" t="s">
        <v>714</v>
      </c>
      <c r="E75" s="8" t="s">
        <v>715</v>
      </c>
      <c r="F75" s="8" t="n">
        <v>3</v>
      </c>
      <c r="G75" s="8" t="s">
        <v>716</v>
      </c>
      <c r="H75" s="8" t="s">
        <v>717</v>
      </c>
      <c r="I75" s="27" t="s">
        <v>718</v>
      </c>
      <c r="J75" s="8" t="s">
        <v>109</v>
      </c>
      <c r="K75" s="8" t="s">
        <v>417</v>
      </c>
      <c r="L75" s="8"/>
      <c r="M75" s="8" t="str">
        <f aca="false">IF(K75="FUERA","Fuera del marco",IF(K75="N/A","Sin marco",IFERROR(INDEX(Catalogo_TIMSS!$C$5:$C$105,MATCH(K75,Catalogo_TIMSS!$A$5:$A$105,0)),"Pendiente de clasificar")))</f>
        <v>Fuera del marco</v>
      </c>
      <c r="N75" s="8" t="str">
        <f aca="false">IF(K75="FUERA","Fuera del marco",IF(K75="N/A","Sin marco",IFERROR(INDEX(Catalogo_TIMSS!$F$5:$F$105,MATCH(K75,Catalogo_TIMSS!$A$5:$A$105,0)),"Pendiente de clasificar")))</f>
        <v>Fuera del marco</v>
      </c>
      <c r="O75" s="8" t="str">
        <f aca="false">IF(L75="","",IFERROR(INDEX(Catalogo_TIMSS!$C$5:$C$105,MATCH(L75,Catalogo_TIMSS!$A$5:$A$105,0)),"?"))</f>
        <v/>
      </c>
      <c r="P75" s="8" t="s">
        <v>418</v>
      </c>
      <c r="Q75" s="27" t="s">
        <v>719</v>
      </c>
      <c r="R75" s="27" t="s">
        <v>720</v>
      </c>
      <c r="S75" s="28" t="n">
        <f aca="false">IFERROR(ISNUMBER(SEARCH("Conocer",$R75))/(ISNUMBER(SEARCH("Conocer",$R75))+ISNUMBER(SEARCH("Aplicar",$R75))+ISNUMBER(SEARCH("Razonar",$R75))),0)</f>
        <v>0</v>
      </c>
      <c r="T75" s="28" t="n">
        <f aca="false">IFERROR(ISNUMBER(SEARCH("Aplicar",$R75))/(ISNUMBER(SEARCH("Conocer",$R75))+ISNUMBER(SEARCH("Aplicar",$R75))+ISNUMBER(SEARCH("Razonar",$R75))),0)</f>
        <v>0.5</v>
      </c>
      <c r="U75" s="28" t="n">
        <f aca="false">IFERROR(ISNUMBER(SEARCH("Razonar",$R75))/(ISNUMBER(SEARCH("Conocer",$R75))+ISNUMBER(SEARCH("Aplicar",$R75))+ISNUMBER(SEARCH("Razonar",$R75))),0)</f>
        <v>0.5</v>
      </c>
      <c r="V75" s="8" t="s">
        <v>46</v>
      </c>
      <c r="W75" s="8" t="s">
        <v>66</v>
      </c>
    </row>
    <row r="76" customFormat="false" ht="15" hidden="false" customHeight="false" outlineLevel="0" collapsed="false">
      <c r="A76" s="8" t="s">
        <v>721</v>
      </c>
      <c r="B76" s="8" t="n">
        <v>3</v>
      </c>
      <c r="C76" s="8" t="s">
        <v>411</v>
      </c>
      <c r="D76" s="8" t="s">
        <v>714</v>
      </c>
      <c r="E76" s="8" t="s">
        <v>715</v>
      </c>
      <c r="F76" s="8" t="n">
        <v>4</v>
      </c>
      <c r="G76" s="8" t="s">
        <v>716</v>
      </c>
      <c r="H76" s="8" t="s">
        <v>717</v>
      </c>
      <c r="I76" s="27" t="s">
        <v>722</v>
      </c>
      <c r="J76" s="8" t="s">
        <v>109</v>
      </c>
      <c r="K76" s="8" t="s">
        <v>417</v>
      </c>
      <c r="L76" s="8"/>
      <c r="M76" s="8" t="str">
        <f aca="false">IF(K76="FUERA","Fuera del marco",IF(K76="N/A","Sin marco",IFERROR(INDEX(Catalogo_TIMSS!$C$5:$C$105,MATCH(K76,Catalogo_TIMSS!$A$5:$A$105,0)),"Pendiente de clasificar")))</f>
        <v>Fuera del marco</v>
      </c>
      <c r="N76" s="8" t="str">
        <f aca="false">IF(K76="FUERA","Fuera del marco",IF(K76="N/A","Sin marco",IFERROR(INDEX(Catalogo_TIMSS!$F$5:$F$105,MATCH(K76,Catalogo_TIMSS!$A$5:$A$105,0)),"Pendiente de clasificar")))</f>
        <v>Fuera del marco</v>
      </c>
      <c r="O76" s="8" t="str">
        <f aca="false">IF(L76="","",IFERROR(INDEX(Catalogo_TIMSS!$C$5:$C$105,MATCH(L76,Catalogo_TIMSS!$A$5:$A$105,0)),"?"))</f>
        <v/>
      </c>
      <c r="P76" s="8" t="s">
        <v>418</v>
      </c>
      <c r="Q76" s="27" t="s">
        <v>723</v>
      </c>
      <c r="R76" s="27" t="s">
        <v>724</v>
      </c>
      <c r="S76" s="28" t="n">
        <f aca="false">IFERROR(ISNUMBER(SEARCH("Conocer",$R76))/(ISNUMBER(SEARCH("Conocer",$R76))+ISNUMBER(SEARCH("Aplicar",$R76))+ISNUMBER(SEARCH("Razonar",$R76))),0)</f>
        <v>0</v>
      </c>
      <c r="T76" s="28" t="n">
        <f aca="false">IFERROR(ISNUMBER(SEARCH("Aplicar",$R76))/(ISNUMBER(SEARCH("Conocer",$R76))+ISNUMBER(SEARCH("Aplicar",$R76))+ISNUMBER(SEARCH("Razonar",$R76))),0)</f>
        <v>0.5</v>
      </c>
      <c r="U76" s="28" t="n">
        <f aca="false">IFERROR(ISNUMBER(SEARCH("Razonar",$R76))/(ISNUMBER(SEARCH("Conocer",$R76))+ISNUMBER(SEARCH("Aplicar",$R76))+ISNUMBER(SEARCH("Razonar",$R76))),0)</f>
        <v>0.5</v>
      </c>
      <c r="V76" s="8" t="s">
        <v>46</v>
      </c>
      <c r="W76" s="8" t="s">
        <v>66</v>
      </c>
    </row>
    <row r="77" customFormat="false" ht="15" hidden="false" customHeight="false" outlineLevel="0" collapsed="false">
      <c r="A77" s="8" t="s">
        <v>725</v>
      </c>
      <c r="B77" s="8" t="n">
        <v>3</v>
      </c>
      <c r="C77" s="8" t="s">
        <v>411</v>
      </c>
      <c r="D77" s="8" t="s">
        <v>714</v>
      </c>
      <c r="E77" s="8" t="s">
        <v>715</v>
      </c>
      <c r="F77" s="8" t="n">
        <v>5</v>
      </c>
      <c r="G77" s="8" t="s">
        <v>716</v>
      </c>
      <c r="H77" s="8" t="s">
        <v>726</v>
      </c>
      <c r="I77" s="27" t="s">
        <v>727</v>
      </c>
      <c r="J77" s="8" t="s">
        <v>109</v>
      </c>
      <c r="K77" s="8" t="s">
        <v>160</v>
      </c>
      <c r="L77" s="8"/>
      <c r="M77" s="8" t="str">
        <f aca="false">IF(K77="FUERA","Fuera del marco",IF(K77="N/A","Sin marco",IFERROR(INDEX(Catalogo_TIMSS!$C$5:$C$105,MATCH(K77,Catalogo_TIMSS!$A$5:$A$105,0)),"Pendiente de clasificar")))</f>
        <v>Ciencias físicas</v>
      </c>
      <c r="N77" s="8" t="str">
        <f aca="false">IF(K77="FUERA","Fuera del marco",IF(K77="N/A","Sin marco",IFERROR(INDEX(Catalogo_TIMSS!$F$5:$F$105,MATCH(K77,Catalogo_TIMSS!$A$5:$A$105,0)),"Pendiente de clasificar")))</f>
        <v>Fuerzas y movimiento</v>
      </c>
      <c r="O77" s="8" t="str">
        <f aca="false">IF(L77="","",IFERROR(INDEX(Catalogo_TIMSS!$C$5:$C$105,MATCH(L77,Catalogo_TIMSS!$A$5:$A$105,0)),"?"))</f>
        <v/>
      </c>
      <c r="P77" s="8" t="s">
        <v>418</v>
      </c>
      <c r="Q77" s="27" t="s">
        <v>728</v>
      </c>
      <c r="R77" s="27" t="s">
        <v>729</v>
      </c>
      <c r="S77" s="28" t="n">
        <f aca="false">IFERROR(ISNUMBER(SEARCH("Conocer",$R77))/(ISNUMBER(SEARCH("Conocer",$R77))+ISNUMBER(SEARCH("Aplicar",$R77))+ISNUMBER(SEARCH("Razonar",$R77))),0)</f>
        <v>0</v>
      </c>
      <c r="T77" s="28" t="n">
        <f aca="false">IFERROR(ISNUMBER(SEARCH("Aplicar",$R77))/(ISNUMBER(SEARCH("Conocer",$R77))+ISNUMBER(SEARCH("Aplicar",$R77))+ISNUMBER(SEARCH("Razonar",$R77))),0)</f>
        <v>0.5</v>
      </c>
      <c r="U77" s="28" t="n">
        <f aca="false">IFERROR(ISNUMBER(SEARCH("Razonar",$R77))/(ISNUMBER(SEARCH("Conocer",$R77))+ISNUMBER(SEARCH("Aplicar",$R77))+ISNUMBER(SEARCH("Razonar",$R77))),0)</f>
        <v>0.5</v>
      </c>
      <c r="V77" s="8" t="s">
        <v>46</v>
      </c>
      <c r="W77" s="8" t="s">
        <v>66</v>
      </c>
    </row>
    <row r="78" customFormat="false" ht="15" hidden="false" customHeight="false" outlineLevel="0" collapsed="false">
      <c r="A78" s="8" t="s">
        <v>730</v>
      </c>
      <c r="B78" s="8" t="n">
        <v>3</v>
      </c>
      <c r="C78" s="8" t="s">
        <v>411</v>
      </c>
      <c r="D78" s="8" t="s">
        <v>714</v>
      </c>
      <c r="E78" s="8" t="s">
        <v>715</v>
      </c>
      <c r="F78" s="8" t="n">
        <v>6</v>
      </c>
      <c r="G78" s="8" t="s">
        <v>716</v>
      </c>
      <c r="H78" s="8" t="s">
        <v>726</v>
      </c>
      <c r="I78" s="27" t="s">
        <v>731</v>
      </c>
      <c r="J78" s="8" t="s">
        <v>109</v>
      </c>
      <c r="K78" s="8" t="s">
        <v>145</v>
      </c>
      <c r="L78" s="8" t="s">
        <v>160</v>
      </c>
      <c r="M78" s="8" t="str">
        <f aca="false">IF(K78="FUERA","Fuera del marco",IF(K78="N/A","Sin marco",IFERROR(INDEX(Catalogo_TIMSS!$C$5:$C$105,MATCH(K78,Catalogo_TIMSS!$A$5:$A$105,0)),"Pendiente de clasificar")))</f>
        <v>Ciencias físicas</v>
      </c>
      <c r="N78" s="8" t="str">
        <f aca="false">IF(K78="FUERA","Fuera del marco",IF(K78="N/A","Sin marco",IFERROR(INDEX(Catalogo_TIMSS!$F$5:$F$105,MATCH(K78,Catalogo_TIMSS!$A$5:$A$105,0)),"Pendiente de clasificar")))</f>
        <v>Clasificación y propiedades de la materia y sus cambios</v>
      </c>
      <c r="O78" s="8" t="str">
        <f aca="false">IF(L78="","",IFERROR(INDEX(Catalogo_TIMSS!$C$5:$C$105,MATCH(L78,Catalogo_TIMSS!$A$5:$A$105,0)),"?"))</f>
        <v>Ciencias físicas</v>
      </c>
      <c r="P78" s="8" t="s">
        <v>418</v>
      </c>
      <c r="Q78" s="27" t="s">
        <v>732</v>
      </c>
      <c r="R78" s="27" t="s">
        <v>733</v>
      </c>
      <c r="S78" s="28" t="n">
        <f aca="false">IFERROR(ISNUMBER(SEARCH("Conocer",$R78))/(ISNUMBER(SEARCH("Conocer",$R78))+ISNUMBER(SEARCH("Aplicar",$R78))+ISNUMBER(SEARCH("Razonar",$R78))),0)</f>
        <v>0.5</v>
      </c>
      <c r="T78" s="28" t="n">
        <f aca="false">IFERROR(ISNUMBER(SEARCH("Aplicar",$R78))/(ISNUMBER(SEARCH("Conocer",$R78))+ISNUMBER(SEARCH("Aplicar",$R78))+ISNUMBER(SEARCH("Razonar",$R78))),0)</f>
        <v>0</v>
      </c>
      <c r="U78" s="28" t="n">
        <f aca="false">IFERROR(ISNUMBER(SEARCH("Razonar",$R78))/(ISNUMBER(SEARCH("Conocer",$R78))+ISNUMBER(SEARCH("Aplicar",$R78))+ISNUMBER(SEARCH("Razonar",$R78))),0)</f>
        <v>0.5</v>
      </c>
      <c r="V78" s="8" t="s">
        <v>46</v>
      </c>
      <c r="W78" s="8" t="s">
        <v>66</v>
      </c>
    </row>
    <row r="79" customFormat="false" ht="15" hidden="false" customHeight="false" outlineLevel="0" collapsed="false">
      <c r="A79" s="8" t="s">
        <v>734</v>
      </c>
      <c r="B79" s="8" t="n">
        <v>3</v>
      </c>
      <c r="C79" s="8" t="s">
        <v>411</v>
      </c>
      <c r="D79" s="8" t="s">
        <v>714</v>
      </c>
      <c r="E79" s="8" t="s">
        <v>715</v>
      </c>
      <c r="F79" s="8" t="n">
        <v>7</v>
      </c>
      <c r="G79" s="8" t="s">
        <v>716</v>
      </c>
      <c r="H79" s="8" t="s">
        <v>726</v>
      </c>
      <c r="I79" s="27" t="s">
        <v>735</v>
      </c>
      <c r="J79" s="8" t="s">
        <v>109</v>
      </c>
      <c r="K79" s="8" t="s">
        <v>160</v>
      </c>
      <c r="L79" s="8" t="s">
        <v>145</v>
      </c>
      <c r="M79" s="8" t="str">
        <f aca="false">IF(K79="FUERA","Fuera del marco",IF(K79="N/A","Sin marco",IFERROR(INDEX(Catalogo_TIMSS!$C$5:$C$105,MATCH(K79,Catalogo_TIMSS!$A$5:$A$105,0)),"Pendiente de clasificar")))</f>
        <v>Ciencias físicas</v>
      </c>
      <c r="N79" s="8" t="str">
        <f aca="false">IF(K79="FUERA","Fuera del marco",IF(K79="N/A","Sin marco",IFERROR(INDEX(Catalogo_TIMSS!$F$5:$F$105,MATCH(K79,Catalogo_TIMSS!$A$5:$A$105,0)),"Pendiente de clasificar")))</f>
        <v>Fuerzas y movimiento</v>
      </c>
      <c r="O79" s="8" t="str">
        <f aca="false">IF(L79="","",IFERROR(INDEX(Catalogo_TIMSS!$C$5:$C$105,MATCH(L79,Catalogo_TIMSS!$A$5:$A$105,0)),"?"))</f>
        <v>Ciencias físicas</v>
      </c>
      <c r="P79" s="8" t="s">
        <v>460</v>
      </c>
      <c r="Q79" s="27" t="s">
        <v>736</v>
      </c>
      <c r="R79" s="27" t="s">
        <v>737</v>
      </c>
      <c r="S79" s="28" t="n">
        <f aca="false">IFERROR(ISNUMBER(SEARCH("Conocer",$R79))/(ISNUMBER(SEARCH("Conocer",$R79))+ISNUMBER(SEARCH("Aplicar",$R79))+ISNUMBER(SEARCH("Razonar",$R79))),0)</f>
        <v>0</v>
      </c>
      <c r="T79" s="28" t="n">
        <f aca="false">IFERROR(ISNUMBER(SEARCH("Aplicar",$R79))/(ISNUMBER(SEARCH("Conocer",$R79))+ISNUMBER(SEARCH("Aplicar",$R79))+ISNUMBER(SEARCH("Razonar",$R79))),0)</f>
        <v>1</v>
      </c>
      <c r="U79" s="28" t="n">
        <f aca="false">IFERROR(ISNUMBER(SEARCH("Razonar",$R79))/(ISNUMBER(SEARCH("Conocer",$R79))+ISNUMBER(SEARCH("Aplicar",$R79))+ISNUMBER(SEARCH("Razonar",$R79))),0)</f>
        <v>0</v>
      </c>
      <c r="V79" s="8" t="s">
        <v>46</v>
      </c>
      <c r="W79" s="8" t="s">
        <v>66</v>
      </c>
    </row>
    <row r="80" customFormat="false" ht="15" hidden="false" customHeight="false" outlineLevel="0" collapsed="false">
      <c r="A80" s="8" t="s">
        <v>738</v>
      </c>
      <c r="B80" s="8" t="n">
        <v>3</v>
      </c>
      <c r="C80" s="8" t="s">
        <v>411</v>
      </c>
      <c r="D80" s="8" t="s">
        <v>714</v>
      </c>
      <c r="E80" s="8" t="s">
        <v>715</v>
      </c>
      <c r="F80" s="8" t="n">
        <v>8</v>
      </c>
      <c r="G80" s="8" t="s">
        <v>716</v>
      </c>
      <c r="H80" s="8" t="s">
        <v>739</v>
      </c>
      <c r="I80" s="27" t="s">
        <v>740</v>
      </c>
      <c r="J80" s="8" t="s">
        <v>109</v>
      </c>
      <c r="K80" s="8" t="s">
        <v>160</v>
      </c>
      <c r="L80" s="8"/>
      <c r="M80" s="8" t="str">
        <f aca="false">IF(K80="FUERA","Fuera del marco",IF(K80="N/A","Sin marco",IFERROR(INDEX(Catalogo_TIMSS!$C$5:$C$105,MATCH(K80,Catalogo_TIMSS!$A$5:$A$105,0)),"Pendiente de clasificar")))</f>
        <v>Ciencias físicas</v>
      </c>
      <c r="N80" s="8" t="str">
        <f aca="false">IF(K80="FUERA","Fuera del marco",IF(K80="N/A","Sin marco",IFERROR(INDEX(Catalogo_TIMSS!$F$5:$F$105,MATCH(K80,Catalogo_TIMSS!$A$5:$A$105,0)),"Pendiente de clasificar")))</f>
        <v>Fuerzas y movimiento</v>
      </c>
      <c r="O80" s="8" t="str">
        <f aca="false">IF(L80="","",IFERROR(INDEX(Catalogo_TIMSS!$C$5:$C$105,MATCH(L80,Catalogo_TIMSS!$A$5:$A$105,0)),"?"))</f>
        <v/>
      </c>
      <c r="P80" s="8" t="s">
        <v>418</v>
      </c>
      <c r="Q80" s="27" t="s">
        <v>741</v>
      </c>
      <c r="R80" s="27" t="s">
        <v>742</v>
      </c>
      <c r="S80" s="28" t="n">
        <f aca="false">IFERROR(ISNUMBER(SEARCH("Conocer",$R80))/(ISNUMBER(SEARCH("Conocer",$R80))+ISNUMBER(SEARCH("Aplicar",$R80))+ISNUMBER(SEARCH("Razonar",$R80))),0)</f>
        <v>0.5</v>
      </c>
      <c r="T80" s="28" t="n">
        <f aca="false">IFERROR(ISNUMBER(SEARCH("Aplicar",$R80))/(ISNUMBER(SEARCH("Conocer",$R80))+ISNUMBER(SEARCH("Aplicar",$R80))+ISNUMBER(SEARCH("Razonar",$R80))),0)</f>
        <v>0.5</v>
      </c>
      <c r="U80" s="28" t="n">
        <f aca="false">IFERROR(ISNUMBER(SEARCH("Razonar",$R80))/(ISNUMBER(SEARCH("Conocer",$R80))+ISNUMBER(SEARCH("Aplicar",$R80))+ISNUMBER(SEARCH("Razonar",$R80))),0)</f>
        <v>0</v>
      </c>
      <c r="V80" s="8" t="s">
        <v>46</v>
      </c>
      <c r="W80" s="8" t="s">
        <v>66</v>
      </c>
    </row>
    <row r="81" customFormat="false" ht="15" hidden="false" customHeight="false" outlineLevel="0" collapsed="false">
      <c r="A81" s="8" t="s">
        <v>743</v>
      </c>
      <c r="B81" s="8" t="n">
        <v>3</v>
      </c>
      <c r="C81" s="8" t="s">
        <v>411</v>
      </c>
      <c r="D81" s="8" t="s">
        <v>714</v>
      </c>
      <c r="E81" s="8" t="s">
        <v>744</v>
      </c>
      <c r="F81" s="8" t="n">
        <v>3</v>
      </c>
      <c r="G81" s="8" t="s">
        <v>745</v>
      </c>
      <c r="H81" s="8" t="s">
        <v>746</v>
      </c>
      <c r="I81" s="27" t="s">
        <v>747</v>
      </c>
      <c r="J81" s="8" t="s">
        <v>109</v>
      </c>
      <c r="K81" s="8" t="s">
        <v>149</v>
      </c>
      <c r="L81" s="8" t="s">
        <v>147</v>
      </c>
      <c r="M81" s="8" t="str">
        <f aca="false">IF(K81="FUERA","Fuera del marco",IF(K81="N/A","Sin marco",IFERROR(INDEX(Catalogo_TIMSS!$C$5:$C$105,MATCH(K81,Catalogo_TIMSS!$A$5:$A$105,0)),"Pendiente de clasificar")))</f>
        <v>Ciencias físicas</v>
      </c>
      <c r="N81" s="8" t="str">
        <f aca="false">IF(K81="FUERA","Fuera del marco",IF(K81="N/A","Sin marco",IFERROR(INDEX(Catalogo_TIMSS!$F$5:$F$105,MATCH(K81,Catalogo_TIMSS!$A$5:$A$105,0)),"Pendiente de clasificar")))</f>
        <v>Clasificación y propiedades de la materia y sus cambios</v>
      </c>
      <c r="O81" s="8" t="str">
        <f aca="false">IF(L81="","",IFERROR(INDEX(Catalogo_TIMSS!$C$5:$C$105,MATCH(L81,Catalogo_TIMSS!$A$5:$A$105,0)),"?"))</f>
        <v>Ciencias físicas</v>
      </c>
      <c r="P81" s="8" t="s">
        <v>418</v>
      </c>
      <c r="Q81" s="27" t="s">
        <v>748</v>
      </c>
      <c r="R81" s="27" t="s">
        <v>749</v>
      </c>
      <c r="S81" s="28" t="n">
        <f aca="false">IFERROR(ISNUMBER(SEARCH("Conocer",$R81))/(ISNUMBER(SEARCH("Conocer",$R81))+ISNUMBER(SEARCH("Aplicar",$R81))+ISNUMBER(SEARCH("Razonar",$R81))),0)</f>
        <v>0.5</v>
      </c>
      <c r="T81" s="28" t="n">
        <f aca="false">IFERROR(ISNUMBER(SEARCH("Aplicar",$R81))/(ISNUMBER(SEARCH("Conocer",$R81))+ISNUMBER(SEARCH("Aplicar",$R81))+ISNUMBER(SEARCH("Razonar",$R81))),0)</f>
        <v>0.5</v>
      </c>
      <c r="U81" s="28" t="n">
        <f aca="false">IFERROR(ISNUMBER(SEARCH("Razonar",$R81))/(ISNUMBER(SEARCH("Conocer",$R81))+ISNUMBER(SEARCH("Aplicar",$R81))+ISNUMBER(SEARCH("Razonar",$R81))),0)</f>
        <v>0</v>
      </c>
      <c r="V81" s="8" t="s">
        <v>46</v>
      </c>
      <c r="W81" s="8" t="s">
        <v>66</v>
      </c>
    </row>
    <row r="82" customFormat="false" ht="15" hidden="false" customHeight="false" outlineLevel="0" collapsed="false">
      <c r="A82" s="8" t="s">
        <v>750</v>
      </c>
      <c r="B82" s="8" t="n">
        <v>3</v>
      </c>
      <c r="C82" s="8" t="s">
        <v>411</v>
      </c>
      <c r="D82" s="8" t="s">
        <v>714</v>
      </c>
      <c r="E82" s="8" t="s">
        <v>744</v>
      </c>
      <c r="F82" s="8" t="n">
        <v>4</v>
      </c>
      <c r="G82" s="8" t="s">
        <v>745</v>
      </c>
      <c r="H82" s="8" t="s">
        <v>746</v>
      </c>
      <c r="I82" s="27" t="s">
        <v>751</v>
      </c>
      <c r="J82" s="8" t="s">
        <v>109</v>
      </c>
      <c r="K82" s="8" t="s">
        <v>149</v>
      </c>
      <c r="L82" s="8" t="s">
        <v>147</v>
      </c>
      <c r="M82" s="8" t="str">
        <f aca="false">IF(K82="FUERA","Fuera del marco",IF(K82="N/A","Sin marco",IFERROR(INDEX(Catalogo_TIMSS!$C$5:$C$105,MATCH(K82,Catalogo_TIMSS!$A$5:$A$105,0)),"Pendiente de clasificar")))</f>
        <v>Ciencias físicas</v>
      </c>
      <c r="N82" s="8" t="str">
        <f aca="false">IF(K82="FUERA","Fuera del marco",IF(K82="N/A","Sin marco",IFERROR(INDEX(Catalogo_TIMSS!$F$5:$F$105,MATCH(K82,Catalogo_TIMSS!$A$5:$A$105,0)),"Pendiente de clasificar")))</f>
        <v>Clasificación y propiedades de la materia y sus cambios</v>
      </c>
      <c r="O82" s="8" t="str">
        <f aca="false">IF(L82="","",IFERROR(INDEX(Catalogo_TIMSS!$C$5:$C$105,MATCH(L82,Catalogo_TIMSS!$A$5:$A$105,0)),"?"))</f>
        <v>Ciencias físicas</v>
      </c>
      <c r="P82" s="8" t="s">
        <v>418</v>
      </c>
      <c r="Q82" s="27" t="s">
        <v>752</v>
      </c>
      <c r="R82" s="27" t="s">
        <v>753</v>
      </c>
      <c r="S82" s="28" t="n">
        <f aca="false">IFERROR(ISNUMBER(SEARCH("Conocer",$R82))/(ISNUMBER(SEARCH("Conocer",$R82))+ISNUMBER(SEARCH("Aplicar",$R82))+ISNUMBER(SEARCH("Razonar",$R82))),0)</f>
        <v>0</v>
      </c>
      <c r="T82" s="28" t="n">
        <f aca="false">IFERROR(ISNUMBER(SEARCH("Aplicar",$R82))/(ISNUMBER(SEARCH("Conocer",$R82))+ISNUMBER(SEARCH("Aplicar",$R82))+ISNUMBER(SEARCH("Razonar",$R82))),0)</f>
        <v>0</v>
      </c>
      <c r="U82" s="28" t="n">
        <f aca="false">IFERROR(ISNUMBER(SEARCH("Razonar",$R82))/(ISNUMBER(SEARCH("Conocer",$R82))+ISNUMBER(SEARCH("Aplicar",$R82))+ISNUMBER(SEARCH("Razonar",$R82))),0)</f>
        <v>1</v>
      </c>
      <c r="V82" s="8" t="s">
        <v>46</v>
      </c>
      <c r="W82" s="8" t="s">
        <v>66</v>
      </c>
    </row>
    <row r="83" customFormat="false" ht="15" hidden="false" customHeight="false" outlineLevel="0" collapsed="false">
      <c r="A83" s="8" t="s">
        <v>754</v>
      </c>
      <c r="B83" s="8" t="n">
        <v>3</v>
      </c>
      <c r="C83" s="8" t="s">
        <v>411</v>
      </c>
      <c r="D83" s="8" t="s">
        <v>714</v>
      </c>
      <c r="E83" s="8" t="s">
        <v>744</v>
      </c>
      <c r="F83" s="8" t="n">
        <v>5</v>
      </c>
      <c r="G83" s="8" t="s">
        <v>745</v>
      </c>
      <c r="H83" s="8" t="s">
        <v>453</v>
      </c>
      <c r="I83" s="27" t="s">
        <v>755</v>
      </c>
      <c r="J83" s="8" t="s">
        <v>109</v>
      </c>
      <c r="K83" s="8" t="s">
        <v>143</v>
      </c>
      <c r="L83" s="8"/>
      <c r="M83" s="8" t="str">
        <f aca="false">IF(K83="FUERA","Fuera del marco",IF(K83="N/A","Sin marco",IFERROR(INDEX(Catalogo_TIMSS!$C$5:$C$105,MATCH(K83,Catalogo_TIMSS!$A$5:$A$105,0)),"Pendiente de clasificar")))</f>
        <v>Ciencias físicas</v>
      </c>
      <c r="N83" s="8" t="str">
        <f aca="false">IF(K83="FUERA","Fuera del marco",IF(K83="N/A","Sin marco",IFERROR(INDEX(Catalogo_TIMSS!$F$5:$F$105,MATCH(K83,Catalogo_TIMSS!$A$5:$A$105,0)),"Pendiente de clasificar")))</f>
        <v>Clasificación y propiedades de la materia y sus cambios</v>
      </c>
      <c r="O83" s="8" t="str">
        <f aca="false">IF(L83="","",IFERROR(INDEX(Catalogo_TIMSS!$C$5:$C$105,MATCH(L83,Catalogo_TIMSS!$A$5:$A$105,0)),"?"))</f>
        <v/>
      </c>
      <c r="P83" s="8" t="s">
        <v>418</v>
      </c>
      <c r="Q83" s="27" t="s">
        <v>756</v>
      </c>
      <c r="R83" s="27" t="s">
        <v>429</v>
      </c>
      <c r="S83" s="28" t="n">
        <f aca="false">IFERROR(ISNUMBER(SEARCH("Conocer",$R83))/(ISNUMBER(SEARCH("Conocer",$R83))+ISNUMBER(SEARCH("Aplicar",$R83))+ISNUMBER(SEARCH("Razonar",$R83))),0)</f>
        <v>0</v>
      </c>
      <c r="T83" s="28" t="n">
        <f aca="false">IFERROR(ISNUMBER(SEARCH("Aplicar",$R83))/(ISNUMBER(SEARCH("Conocer",$R83))+ISNUMBER(SEARCH("Aplicar",$R83))+ISNUMBER(SEARCH("Razonar",$R83))),0)</f>
        <v>1</v>
      </c>
      <c r="U83" s="28" t="n">
        <f aca="false">IFERROR(ISNUMBER(SEARCH("Razonar",$R83))/(ISNUMBER(SEARCH("Conocer",$R83))+ISNUMBER(SEARCH("Aplicar",$R83))+ISNUMBER(SEARCH("Razonar",$R83))),0)</f>
        <v>0</v>
      </c>
      <c r="V83" s="8" t="s">
        <v>46</v>
      </c>
      <c r="W83" s="8" t="s">
        <v>66</v>
      </c>
    </row>
    <row r="84" customFormat="false" ht="15" hidden="false" customHeight="false" outlineLevel="0" collapsed="false">
      <c r="A84" s="8" t="s">
        <v>757</v>
      </c>
      <c r="B84" s="8" t="n">
        <v>3</v>
      </c>
      <c r="C84" s="8" t="s">
        <v>411</v>
      </c>
      <c r="D84" s="8" t="s">
        <v>714</v>
      </c>
      <c r="E84" s="8" t="s">
        <v>744</v>
      </c>
      <c r="F84" s="8" t="n">
        <v>6</v>
      </c>
      <c r="G84" s="8" t="s">
        <v>745</v>
      </c>
      <c r="H84" s="8" t="s">
        <v>453</v>
      </c>
      <c r="I84" s="27" t="s">
        <v>758</v>
      </c>
      <c r="J84" s="8" t="s">
        <v>109</v>
      </c>
      <c r="K84" s="8" t="s">
        <v>143</v>
      </c>
      <c r="L84" s="8"/>
      <c r="M84" s="8" t="str">
        <f aca="false">IF(K84="FUERA","Fuera del marco",IF(K84="N/A","Sin marco",IFERROR(INDEX(Catalogo_TIMSS!$C$5:$C$105,MATCH(K84,Catalogo_TIMSS!$A$5:$A$105,0)),"Pendiente de clasificar")))</f>
        <v>Ciencias físicas</v>
      </c>
      <c r="N84" s="8" t="str">
        <f aca="false">IF(K84="FUERA","Fuera del marco",IF(K84="N/A","Sin marco",IFERROR(INDEX(Catalogo_TIMSS!$F$5:$F$105,MATCH(K84,Catalogo_TIMSS!$A$5:$A$105,0)),"Pendiente de clasificar")))</f>
        <v>Clasificación y propiedades de la materia y sus cambios</v>
      </c>
      <c r="O84" s="8" t="str">
        <f aca="false">IF(L84="","",IFERROR(INDEX(Catalogo_TIMSS!$C$5:$C$105,MATCH(L84,Catalogo_TIMSS!$A$5:$A$105,0)),"?"))</f>
        <v/>
      </c>
      <c r="P84" s="8" t="s">
        <v>418</v>
      </c>
      <c r="Q84" s="27" t="s">
        <v>759</v>
      </c>
      <c r="R84" s="27" t="s">
        <v>760</v>
      </c>
      <c r="S84" s="28" t="n">
        <f aca="false">IFERROR(ISNUMBER(SEARCH("Conocer",$R84))/(ISNUMBER(SEARCH("Conocer",$R84))+ISNUMBER(SEARCH("Aplicar",$R84))+ISNUMBER(SEARCH("Razonar",$R84))),0)</f>
        <v>0.5</v>
      </c>
      <c r="T84" s="28" t="n">
        <f aca="false">IFERROR(ISNUMBER(SEARCH("Aplicar",$R84))/(ISNUMBER(SEARCH("Conocer",$R84))+ISNUMBER(SEARCH("Aplicar",$R84))+ISNUMBER(SEARCH("Razonar",$R84))),0)</f>
        <v>0.5</v>
      </c>
      <c r="U84" s="28" t="n">
        <f aca="false">IFERROR(ISNUMBER(SEARCH("Razonar",$R84))/(ISNUMBER(SEARCH("Conocer",$R84))+ISNUMBER(SEARCH("Aplicar",$R84))+ISNUMBER(SEARCH("Razonar",$R84))),0)</f>
        <v>0</v>
      </c>
      <c r="V84" s="8" t="s">
        <v>46</v>
      </c>
      <c r="W84" s="8" t="s">
        <v>66</v>
      </c>
    </row>
    <row r="85" customFormat="false" ht="15" hidden="false" customHeight="false" outlineLevel="0" collapsed="false">
      <c r="A85" s="8" t="s">
        <v>761</v>
      </c>
      <c r="B85" s="8" t="n">
        <v>3</v>
      </c>
      <c r="C85" s="8" t="s">
        <v>411</v>
      </c>
      <c r="D85" s="8" t="s">
        <v>714</v>
      </c>
      <c r="E85" s="8" t="s">
        <v>744</v>
      </c>
      <c r="F85" s="8" t="n">
        <v>7</v>
      </c>
      <c r="G85" s="8" t="s">
        <v>745</v>
      </c>
      <c r="H85" s="8" t="s">
        <v>453</v>
      </c>
      <c r="I85" s="27" t="s">
        <v>762</v>
      </c>
      <c r="J85" s="8" t="s">
        <v>109</v>
      </c>
      <c r="K85" s="8" t="s">
        <v>143</v>
      </c>
      <c r="L85" s="8"/>
      <c r="M85" s="8" t="str">
        <f aca="false">IF(K85="FUERA","Fuera del marco",IF(K85="N/A","Sin marco",IFERROR(INDEX(Catalogo_TIMSS!$C$5:$C$105,MATCH(K85,Catalogo_TIMSS!$A$5:$A$105,0)),"Pendiente de clasificar")))</f>
        <v>Ciencias físicas</v>
      </c>
      <c r="N85" s="8" t="str">
        <f aca="false">IF(K85="FUERA","Fuera del marco",IF(K85="N/A","Sin marco",IFERROR(INDEX(Catalogo_TIMSS!$F$5:$F$105,MATCH(K85,Catalogo_TIMSS!$A$5:$A$105,0)),"Pendiente de clasificar")))</f>
        <v>Clasificación y propiedades de la materia y sus cambios</v>
      </c>
      <c r="O85" s="8" t="str">
        <f aca="false">IF(L85="","",IFERROR(INDEX(Catalogo_TIMSS!$C$5:$C$105,MATCH(L85,Catalogo_TIMSS!$A$5:$A$105,0)),"?"))</f>
        <v/>
      </c>
      <c r="P85" s="8" t="s">
        <v>418</v>
      </c>
      <c r="Q85" s="27" t="s">
        <v>763</v>
      </c>
      <c r="R85" s="27" t="s">
        <v>764</v>
      </c>
      <c r="S85" s="28" t="n">
        <f aca="false">IFERROR(ISNUMBER(SEARCH("Conocer",$R85))/(ISNUMBER(SEARCH("Conocer",$R85))+ISNUMBER(SEARCH("Aplicar",$R85))+ISNUMBER(SEARCH("Razonar",$R85))),0)</f>
        <v>0</v>
      </c>
      <c r="T85" s="28" t="n">
        <f aca="false">IFERROR(ISNUMBER(SEARCH("Aplicar",$R85))/(ISNUMBER(SEARCH("Conocer",$R85))+ISNUMBER(SEARCH("Aplicar",$R85))+ISNUMBER(SEARCH("Razonar",$R85))),0)</f>
        <v>0</v>
      </c>
      <c r="U85" s="28" t="n">
        <f aca="false">IFERROR(ISNUMBER(SEARCH("Razonar",$R85))/(ISNUMBER(SEARCH("Conocer",$R85))+ISNUMBER(SEARCH("Aplicar",$R85))+ISNUMBER(SEARCH("Razonar",$R85))),0)</f>
        <v>1</v>
      </c>
      <c r="V85" s="8" t="s">
        <v>46</v>
      </c>
      <c r="W85" s="8" t="s">
        <v>66</v>
      </c>
    </row>
    <row r="86" customFormat="false" ht="15" hidden="false" customHeight="false" outlineLevel="0" collapsed="false">
      <c r="A86" s="8" t="s">
        <v>765</v>
      </c>
      <c r="B86" s="8" t="n">
        <v>3</v>
      </c>
      <c r="C86" s="8" t="s">
        <v>411</v>
      </c>
      <c r="D86" s="8" t="s">
        <v>714</v>
      </c>
      <c r="E86" s="8" t="s">
        <v>744</v>
      </c>
      <c r="F86" s="8" t="n">
        <v>8</v>
      </c>
      <c r="G86" s="8" t="s">
        <v>745</v>
      </c>
      <c r="H86" s="8" t="s">
        <v>766</v>
      </c>
      <c r="I86" s="27" t="s">
        <v>767</v>
      </c>
      <c r="J86" s="8" t="s">
        <v>109</v>
      </c>
      <c r="K86" s="8" t="s">
        <v>168</v>
      </c>
      <c r="L86" s="8"/>
      <c r="M86" s="8" t="str">
        <f aca="false">IF(K86="FUERA","Fuera del marco",IF(K86="N/A","Sin marco",IFERROR(INDEX(Catalogo_TIMSS!$C$5:$C$105,MATCH(K86,Catalogo_TIMSS!$A$5:$A$105,0)),"Pendiente de clasificar")))</f>
        <v>Ciencias de la Tierra</v>
      </c>
      <c r="N86" s="8" t="str">
        <f aca="false">IF(K86="FUERA","Fuera del marco",IF(K86="N/A","Sin marco",IFERROR(INDEX(Catalogo_TIMSS!$F$5:$F$105,MATCH(K86,Catalogo_TIMSS!$A$5:$A$105,0)),"Pendiente de clasificar")))</f>
        <v>Características físicas, recursos e historia de la Tierra</v>
      </c>
      <c r="O86" s="8" t="str">
        <f aca="false">IF(L86="","",IFERROR(INDEX(Catalogo_TIMSS!$C$5:$C$105,MATCH(L86,Catalogo_TIMSS!$A$5:$A$105,0)),"?"))</f>
        <v/>
      </c>
      <c r="P86" s="8" t="s">
        <v>460</v>
      </c>
      <c r="Q86" s="27" t="s">
        <v>768</v>
      </c>
      <c r="R86" s="27" t="s">
        <v>769</v>
      </c>
      <c r="S86" s="28" t="n">
        <f aca="false">IFERROR(ISNUMBER(SEARCH("Conocer",$R86))/(ISNUMBER(SEARCH("Conocer",$R86))+ISNUMBER(SEARCH("Aplicar",$R86))+ISNUMBER(SEARCH("Razonar",$R86))),0)</f>
        <v>0.5</v>
      </c>
      <c r="T86" s="28" t="n">
        <f aca="false">IFERROR(ISNUMBER(SEARCH("Aplicar",$R86))/(ISNUMBER(SEARCH("Conocer",$R86))+ISNUMBER(SEARCH("Aplicar",$R86))+ISNUMBER(SEARCH("Razonar",$R86))),0)</f>
        <v>0.5</v>
      </c>
      <c r="U86" s="28" t="n">
        <f aca="false">IFERROR(ISNUMBER(SEARCH("Razonar",$R86))/(ISNUMBER(SEARCH("Conocer",$R86))+ISNUMBER(SEARCH("Aplicar",$R86))+ISNUMBER(SEARCH("Razonar",$R86))),0)</f>
        <v>0</v>
      </c>
      <c r="V86" s="8" t="s">
        <v>46</v>
      </c>
      <c r="W86" s="8" t="s">
        <v>66</v>
      </c>
    </row>
    <row r="87" customFormat="false" ht="15" hidden="false" customHeight="false" outlineLevel="0" collapsed="false">
      <c r="A87" s="8" t="s">
        <v>770</v>
      </c>
      <c r="B87" s="8" t="n">
        <v>3</v>
      </c>
      <c r="C87" s="8" t="s">
        <v>411</v>
      </c>
      <c r="D87" s="8" t="s">
        <v>714</v>
      </c>
      <c r="E87" s="8" t="s">
        <v>744</v>
      </c>
      <c r="F87" s="8" t="n">
        <v>9</v>
      </c>
      <c r="G87" s="8" t="s">
        <v>745</v>
      </c>
      <c r="H87" s="8" t="s">
        <v>766</v>
      </c>
      <c r="I87" s="27" t="s">
        <v>771</v>
      </c>
      <c r="J87" s="8" t="s">
        <v>109</v>
      </c>
      <c r="K87" s="8" t="s">
        <v>170</v>
      </c>
      <c r="L87" s="8"/>
      <c r="M87" s="8" t="str">
        <f aca="false">IF(K87="FUERA","Fuera del marco",IF(K87="N/A","Sin marco",IFERROR(INDEX(Catalogo_TIMSS!$C$5:$C$105,MATCH(K87,Catalogo_TIMSS!$A$5:$A$105,0)),"Pendiente de clasificar")))</f>
        <v>Ciencias de la Tierra</v>
      </c>
      <c r="N87" s="8" t="str">
        <f aca="false">IF(K87="FUERA","Fuera del marco",IF(K87="N/A","Sin marco",IFERROR(INDEX(Catalogo_TIMSS!$F$5:$F$105,MATCH(K87,Catalogo_TIMSS!$A$5:$A$105,0)),"Pendiente de clasificar")))</f>
        <v>Características físicas, recursos e historia de la Tierra</v>
      </c>
      <c r="O87" s="8" t="str">
        <f aca="false">IF(L87="","",IFERROR(INDEX(Catalogo_TIMSS!$C$5:$C$105,MATCH(L87,Catalogo_TIMSS!$A$5:$A$105,0)),"?"))</f>
        <v/>
      </c>
      <c r="P87" s="8" t="s">
        <v>513</v>
      </c>
      <c r="Q87" s="27" t="s">
        <v>772</v>
      </c>
      <c r="R87" s="27" t="s">
        <v>773</v>
      </c>
      <c r="S87" s="28" t="n">
        <f aca="false">IFERROR(ISNUMBER(SEARCH("Conocer",$R87))/(ISNUMBER(SEARCH("Conocer",$R87))+ISNUMBER(SEARCH("Aplicar",$R87))+ISNUMBER(SEARCH("Razonar",$R87))),0)</f>
        <v>0</v>
      </c>
      <c r="T87" s="28" t="n">
        <f aca="false">IFERROR(ISNUMBER(SEARCH("Aplicar",$R87))/(ISNUMBER(SEARCH("Conocer",$R87))+ISNUMBER(SEARCH("Aplicar",$R87))+ISNUMBER(SEARCH("Razonar",$R87))),0)</f>
        <v>1</v>
      </c>
      <c r="U87" s="28" t="n">
        <f aca="false">IFERROR(ISNUMBER(SEARCH("Razonar",$R87))/(ISNUMBER(SEARCH("Conocer",$R87))+ISNUMBER(SEARCH("Aplicar",$R87))+ISNUMBER(SEARCH("Razonar",$R87))),0)</f>
        <v>0</v>
      </c>
      <c r="V87" s="8" t="s">
        <v>46</v>
      </c>
      <c r="W87" s="8" t="s">
        <v>66</v>
      </c>
    </row>
    <row r="88" customFormat="false" ht="15" hidden="false" customHeight="false" outlineLevel="0" collapsed="false">
      <c r="A88" s="8" t="s">
        <v>774</v>
      </c>
      <c r="B88" s="8" t="n">
        <v>3</v>
      </c>
      <c r="C88" s="8" t="s">
        <v>411</v>
      </c>
      <c r="D88" s="8" t="s">
        <v>714</v>
      </c>
      <c r="E88" s="8" t="s">
        <v>744</v>
      </c>
      <c r="F88" s="8" t="n">
        <v>10</v>
      </c>
      <c r="G88" s="8" t="s">
        <v>745</v>
      </c>
      <c r="H88" s="8" t="s">
        <v>775</v>
      </c>
      <c r="I88" s="27" t="s">
        <v>776</v>
      </c>
      <c r="J88" s="8" t="s">
        <v>109</v>
      </c>
      <c r="K88" s="8" t="s">
        <v>170</v>
      </c>
      <c r="L88" s="8"/>
      <c r="M88" s="8" t="str">
        <f aca="false">IF(K88="FUERA","Fuera del marco",IF(K88="N/A","Sin marco",IFERROR(INDEX(Catalogo_TIMSS!$C$5:$C$105,MATCH(K88,Catalogo_TIMSS!$A$5:$A$105,0)),"Pendiente de clasificar")))</f>
        <v>Ciencias de la Tierra</v>
      </c>
      <c r="N88" s="8" t="str">
        <f aca="false">IF(K88="FUERA","Fuera del marco",IF(K88="N/A","Sin marco",IFERROR(INDEX(Catalogo_TIMSS!$F$5:$F$105,MATCH(K88,Catalogo_TIMSS!$A$5:$A$105,0)),"Pendiente de clasificar")))</f>
        <v>Características físicas, recursos e historia de la Tierra</v>
      </c>
      <c r="O88" s="8" t="str">
        <f aca="false">IF(L88="","",IFERROR(INDEX(Catalogo_TIMSS!$C$5:$C$105,MATCH(L88,Catalogo_TIMSS!$A$5:$A$105,0)),"?"))</f>
        <v/>
      </c>
      <c r="P88" s="8" t="s">
        <v>513</v>
      </c>
      <c r="Q88" s="27" t="s">
        <v>777</v>
      </c>
      <c r="R88" s="27" t="s">
        <v>778</v>
      </c>
      <c r="S88" s="28" t="n">
        <f aca="false">IFERROR(ISNUMBER(SEARCH("Conocer",$R88))/(ISNUMBER(SEARCH("Conocer",$R88))+ISNUMBER(SEARCH("Aplicar",$R88))+ISNUMBER(SEARCH("Razonar",$R88))),0)</f>
        <v>0.5</v>
      </c>
      <c r="T88" s="28" t="n">
        <f aca="false">IFERROR(ISNUMBER(SEARCH("Aplicar",$R88))/(ISNUMBER(SEARCH("Conocer",$R88))+ISNUMBER(SEARCH("Aplicar",$R88))+ISNUMBER(SEARCH("Razonar",$R88))),0)</f>
        <v>0.5</v>
      </c>
      <c r="U88" s="28" t="n">
        <f aca="false">IFERROR(ISNUMBER(SEARCH("Razonar",$R88))/(ISNUMBER(SEARCH("Conocer",$R88))+ISNUMBER(SEARCH("Aplicar",$R88))+ISNUMBER(SEARCH("Razonar",$R88))),0)</f>
        <v>0</v>
      </c>
      <c r="V88" s="8" t="s">
        <v>46</v>
      </c>
      <c r="W88" s="8" t="s">
        <v>66</v>
      </c>
    </row>
    <row r="89" customFormat="false" ht="15" hidden="false" customHeight="false" outlineLevel="0" collapsed="false">
      <c r="A89" s="8" t="s">
        <v>779</v>
      </c>
      <c r="B89" s="8" t="n">
        <v>3</v>
      </c>
      <c r="C89" s="8" t="s">
        <v>411</v>
      </c>
      <c r="D89" s="8" t="s">
        <v>714</v>
      </c>
      <c r="E89" s="8" t="s">
        <v>744</v>
      </c>
      <c r="F89" s="8" t="n">
        <v>11</v>
      </c>
      <c r="G89" s="8" t="s">
        <v>745</v>
      </c>
      <c r="H89" s="8" t="s">
        <v>775</v>
      </c>
      <c r="I89" s="27" t="s">
        <v>780</v>
      </c>
      <c r="J89" s="8" t="s">
        <v>109</v>
      </c>
      <c r="K89" s="8" t="s">
        <v>417</v>
      </c>
      <c r="L89" s="8"/>
      <c r="M89" s="8" t="str">
        <f aca="false">IF(K89="FUERA","Fuera del marco",IF(K89="N/A","Sin marco",IFERROR(INDEX(Catalogo_TIMSS!$C$5:$C$105,MATCH(K89,Catalogo_TIMSS!$A$5:$A$105,0)),"Pendiente de clasificar")))</f>
        <v>Fuera del marco</v>
      </c>
      <c r="N89" s="8" t="str">
        <f aca="false">IF(K89="FUERA","Fuera del marco",IF(K89="N/A","Sin marco",IFERROR(INDEX(Catalogo_TIMSS!$F$5:$F$105,MATCH(K89,Catalogo_TIMSS!$A$5:$A$105,0)),"Pendiente de clasificar")))</f>
        <v>Fuera del marco</v>
      </c>
      <c r="O89" s="8" t="str">
        <f aca="false">IF(L89="","",IFERROR(INDEX(Catalogo_TIMSS!$C$5:$C$105,MATCH(L89,Catalogo_TIMSS!$A$5:$A$105,0)),"?"))</f>
        <v/>
      </c>
      <c r="P89" s="8" t="s">
        <v>460</v>
      </c>
      <c r="Q89" s="27" t="s">
        <v>781</v>
      </c>
      <c r="R89" s="27" t="s">
        <v>782</v>
      </c>
      <c r="S89" s="28" t="n">
        <f aca="false">IFERROR(ISNUMBER(SEARCH("Conocer",$R89))/(ISNUMBER(SEARCH("Conocer",$R89))+ISNUMBER(SEARCH("Aplicar",$R89))+ISNUMBER(SEARCH("Razonar",$R89))),0)</f>
        <v>0</v>
      </c>
      <c r="T89" s="28" t="n">
        <f aca="false">IFERROR(ISNUMBER(SEARCH("Aplicar",$R89))/(ISNUMBER(SEARCH("Conocer",$R89))+ISNUMBER(SEARCH("Aplicar",$R89))+ISNUMBER(SEARCH("Razonar",$R89))),0)</f>
        <v>0.5</v>
      </c>
      <c r="U89" s="28" t="n">
        <f aca="false">IFERROR(ISNUMBER(SEARCH("Razonar",$R89))/(ISNUMBER(SEARCH("Conocer",$R89))+ISNUMBER(SEARCH("Aplicar",$R89))+ISNUMBER(SEARCH("Razonar",$R89))),0)</f>
        <v>0.5</v>
      </c>
      <c r="V89" s="8" t="s">
        <v>46</v>
      </c>
      <c r="W89" s="8" t="s">
        <v>66</v>
      </c>
    </row>
    <row r="90" customFormat="false" ht="15" hidden="false" customHeight="false" outlineLevel="0" collapsed="false">
      <c r="A90" s="8" t="s">
        <v>783</v>
      </c>
      <c r="B90" s="8" t="n">
        <v>3</v>
      </c>
      <c r="C90" s="8" t="s">
        <v>411</v>
      </c>
      <c r="D90" s="8" t="s">
        <v>714</v>
      </c>
      <c r="E90" s="8" t="s">
        <v>744</v>
      </c>
      <c r="F90" s="8" t="n">
        <v>12</v>
      </c>
      <c r="G90" s="8" t="s">
        <v>745</v>
      </c>
      <c r="H90" s="8" t="s">
        <v>784</v>
      </c>
      <c r="I90" s="27" t="s">
        <v>785</v>
      </c>
      <c r="J90" s="8" t="s">
        <v>109</v>
      </c>
      <c r="K90" s="8" t="s">
        <v>417</v>
      </c>
      <c r="L90" s="8"/>
      <c r="M90" s="8" t="str">
        <f aca="false">IF(K90="FUERA","Fuera del marco",IF(K90="N/A","Sin marco",IFERROR(INDEX(Catalogo_TIMSS!$C$5:$C$105,MATCH(K90,Catalogo_TIMSS!$A$5:$A$105,0)),"Pendiente de clasificar")))</f>
        <v>Fuera del marco</v>
      </c>
      <c r="N90" s="8" t="str">
        <f aca="false">IF(K90="FUERA","Fuera del marco",IF(K90="N/A","Sin marco",IFERROR(INDEX(Catalogo_TIMSS!$F$5:$F$105,MATCH(K90,Catalogo_TIMSS!$A$5:$A$105,0)),"Pendiente de clasificar")))</f>
        <v>Fuera del marco</v>
      </c>
      <c r="O90" s="8" t="str">
        <f aca="false">IF(L90="","",IFERROR(INDEX(Catalogo_TIMSS!$C$5:$C$105,MATCH(L90,Catalogo_TIMSS!$A$5:$A$105,0)),"?"))</f>
        <v/>
      </c>
      <c r="P90" s="8" t="s">
        <v>460</v>
      </c>
      <c r="Q90" s="27" t="s">
        <v>786</v>
      </c>
      <c r="R90" s="27" t="s">
        <v>429</v>
      </c>
      <c r="S90" s="28" t="n">
        <f aca="false">IFERROR(ISNUMBER(SEARCH("Conocer",$R90))/(ISNUMBER(SEARCH("Conocer",$R90))+ISNUMBER(SEARCH("Aplicar",$R90))+ISNUMBER(SEARCH("Razonar",$R90))),0)</f>
        <v>0</v>
      </c>
      <c r="T90" s="28" t="n">
        <f aca="false">IFERROR(ISNUMBER(SEARCH("Aplicar",$R90))/(ISNUMBER(SEARCH("Conocer",$R90))+ISNUMBER(SEARCH("Aplicar",$R90))+ISNUMBER(SEARCH("Razonar",$R90))),0)</f>
        <v>1</v>
      </c>
      <c r="U90" s="28" t="n">
        <f aca="false">IFERROR(ISNUMBER(SEARCH("Razonar",$R90))/(ISNUMBER(SEARCH("Conocer",$R90))+ISNUMBER(SEARCH("Aplicar",$R90))+ISNUMBER(SEARCH("Razonar",$R90))),0)</f>
        <v>0</v>
      </c>
      <c r="V90" s="8" t="s">
        <v>46</v>
      </c>
      <c r="W90" s="8" t="s">
        <v>66</v>
      </c>
    </row>
    <row r="91" customFormat="false" ht="15" hidden="false" customHeight="false" outlineLevel="0" collapsed="false">
      <c r="A91" s="8" t="s">
        <v>787</v>
      </c>
      <c r="B91" s="8" t="n">
        <v>3</v>
      </c>
      <c r="C91" s="8" t="s">
        <v>411</v>
      </c>
      <c r="D91" s="8" t="s">
        <v>714</v>
      </c>
      <c r="E91" s="8" t="s">
        <v>744</v>
      </c>
      <c r="F91" s="8" t="n">
        <v>13</v>
      </c>
      <c r="G91" s="8" t="s">
        <v>745</v>
      </c>
      <c r="H91" s="8" t="s">
        <v>784</v>
      </c>
      <c r="I91" s="27" t="s">
        <v>788</v>
      </c>
      <c r="J91" s="8" t="s">
        <v>109</v>
      </c>
      <c r="K91" s="8" t="s">
        <v>417</v>
      </c>
      <c r="L91" s="8"/>
      <c r="M91" s="8" t="str">
        <f aca="false">IF(K91="FUERA","Fuera del marco",IF(K91="N/A","Sin marco",IFERROR(INDEX(Catalogo_TIMSS!$C$5:$C$105,MATCH(K91,Catalogo_TIMSS!$A$5:$A$105,0)),"Pendiente de clasificar")))</f>
        <v>Fuera del marco</v>
      </c>
      <c r="N91" s="8" t="str">
        <f aca="false">IF(K91="FUERA","Fuera del marco",IF(K91="N/A","Sin marco",IFERROR(INDEX(Catalogo_TIMSS!$F$5:$F$105,MATCH(K91,Catalogo_TIMSS!$A$5:$A$105,0)),"Pendiente de clasificar")))</f>
        <v>Fuera del marco</v>
      </c>
      <c r="O91" s="8" t="str">
        <f aca="false">IF(L91="","",IFERROR(INDEX(Catalogo_TIMSS!$C$5:$C$105,MATCH(L91,Catalogo_TIMSS!$A$5:$A$105,0)),"?"))</f>
        <v/>
      </c>
      <c r="P91" s="8" t="s">
        <v>460</v>
      </c>
      <c r="Q91" s="27" t="s">
        <v>789</v>
      </c>
      <c r="R91" s="27" t="s">
        <v>600</v>
      </c>
      <c r="S91" s="28" t="n">
        <f aca="false">IFERROR(ISNUMBER(SEARCH("Conocer",$R91))/(ISNUMBER(SEARCH("Conocer",$R91))+ISNUMBER(SEARCH("Aplicar",$R91))+ISNUMBER(SEARCH("Razonar",$R91))),0)</f>
        <v>0.5</v>
      </c>
      <c r="T91" s="28" t="n">
        <f aca="false">IFERROR(ISNUMBER(SEARCH("Aplicar",$R91))/(ISNUMBER(SEARCH("Conocer",$R91))+ISNUMBER(SEARCH("Aplicar",$R91))+ISNUMBER(SEARCH("Razonar",$R91))),0)</f>
        <v>0.5</v>
      </c>
      <c r="U91" s="28" t="n">
        <f aca="false">IFERROR(ISNUMBER(SEARCH("Razonar",$R91))/(ISNUMBER(SEARCH("Conocer",$R91))+ISNUMBER(SEARCH("Aplicar",$R91))+ISNUMBER(SEARCH("Razonar",$R91))),0)</f>
        <v>0</v>
      </c>
      <c r="V91" s="8" t="s">
        <v>46</v>
      </c>
      <c r="W91" s="8" t="s">
        <v>66</v>
      </c>
    </row>
    <row r="92" customFormat="false" ht="15" hidden="false" customHeight="false" outlineLevel="0" collapsed="false">
      <c r="A92" s="8" t="s">
        <v>790</v>
      </c>
      <c r="B92" s="8" t="n">
        <v>3</v>
      </c>
      <c r="C92" s="8" t="s">
        <v>411</v>
      </c>
      <c r="D92" s="8" t="s">
        <v>714</v>
      </c>
      <c r="E92" s="8" t="s">
        <v>744</v>
      </c>
      <c r="F92" s="8" t="n">
        <v>14</v>
      </c>
      <c r="G92" s="8" t="s">
        <v>745</v>
      </c>
      <c r="H92" s="8" t="s">
        <v>791</v>
      </c>
      <c r="I92" s="27" t="s">
        <v>792</v>
      </c>
      <c r="J92" s="8" t="s">
        <v>109</v>
      </c>
      <c r="K92" s="8" t="s">
        <v>417</v>
      </c>
      <c r="L92" s="8"/>
      <c r="M92" s="8" t="str">
        <f aca="false">IF(K92="FUERA","Fuera del marco",IF(K92="N/A","Sin marco",IFERROR(INDEX(Catalogo_TIMSS!$C$5:$C$105,MATCH(K92,Catalogo_TIMSS!$A$5:$A$105,0)),"Pendiente de clasificar")))</f>
        <v>Fuera del marco</v>
      </c>
      <c r="N92" s="8" t="str">
        <f aca="false">IF(K92="FUERA","Fuera del marco",IF(K92="N/A","Sin marco",IFERROR(INDEX(Catalogo_TIMSS!$F$5:$F$105,MATCH(K92,Catalogo_TIMSS!$A$5:$A$105,0)),"Pendiente de clasificar")))</f>
        <v>Fuera del marco</v>
      </c>
      <c r="O92" s="8" t="str">
        <f aca="false">IF(L92="","",IFERROR(INDEX(Catalogo_TIMSS!$C$5:$C$105,MATCH(L92,Catalogo_TIMSS!$A$5:$A$105,0)),"?"))</f>
        <v/>
      </c>
      <c r="P92" s="8" t="s">
        <v>460</v>
      </c>
      <c r="Q92" s="27" t="s">
        <v>793</v>
      </c>
      <c r="R92" s="27" t="s">
        <v>794</v>
      </c>
      <c r="S92" s="28" t="n">
        <f aca="false">IFERROR(ISNUMBER(SEARCH("Conocer",$R92))/(ISNUMBER(SEARCH("Conocer",$R92))+ISNUMBER(SEARCH("Aplicar",$R92))+ISNUMBER(SEARCH("Razonar",$R92))),0)</f>
        <v>0</v>
      </c>
      <c r="T92" s="28" t="n">
        <f aca="false">IFERROR(ISNUMBER(SEARCH("Aplicar",$R92))/(ISNUMBER(SEARCH("Conocer",$R92))+ISNUMBER(SEARCH("Aplicar",$R92))+ISNUMBER(SEARCH("Razonar",$R92))),0)</f>
        <v>0.5</v>
      </c>
      <c r="U92" s="28" t="n">
        <f aca="false">IFERROR(ISNUMBER(SEARCH("Razonar",$R92))/(ISNUMBER(SEARCH("Conocer",$R92))+ISNUMBER(SEARCH("Aplicar",$R92))+ISNUMBER(SEARCH("Razonar",$R92))),0)</f>
        <v>0.5</v>
      </c>
      <c r="V92" s="8" t="s">
        <v>46</v>
      </c>
      <c r="W92" s="8" t="s">
        <v>66</v>
      </c>
    </row>
    <row r="93" customFormat="false" ht="15" hidden="false" customHeight="false" outlineLevel="0" collapsed="false">
      <c r="A93" s="8" t="s">
        <v>795</v>
      </c>
      <c r="B93" s="8" t="n">
        <v>3</v>
      </c>
      <c r="C93" s="8" t="s">
        <v>411</v>
      </c>
      <c r="D93" s="8" t="s">
        <v>714</v>
      </c>
      <c r="E93" s="8" t="s">
        <v>744</v>
      </c>
      <c r="F93" s="8" t="n">
        <v>15</v>
      </c>
      <c r="G93" s="8" t="s">
        <v>745</v>
      </c>
      <c r="H93" s="8" t="s">
        <v>791</v>
      </c>
      <c r="I93" s="27" t="s">
        <v>796</v>
      </c>
      <c r="J93" s="8" t="s">
        <v>109</v>
      </c>
      <c r="K93" s="8" t="s">
        <v>417</v>
      </c>
      <c r="L93" s="8"/>
      <c r="M93" s="8" t="str">
        <f aca="false">IF(K93="FUERA","Fuera del marco",IF(K93="N/A","Sin marco",IFERROR(INDEX(Catalogo_TIMSS!$C$5:$C$105,MATCH(K93,Catalogo_TIMSS!$A$5:$A$105,0)),"Pendiente de clasificar")))</f>
        <v>Fuera del marco</v>
      </c>
      <c r="N93" s="8" t="str">
        <f aca="false">IF(K93="FUERA","Fuera del marco",IF(K93="N/A","Sin marco",IFERROR(INDEX(Catalogo_TIMSS!$F$5:$F$105,MATCH(K93,Catalogo_TIMSS!$A$5:$A$105,0)),"Pendiente de clasificar")))</f>
        <v>Fuera del marco</v>
      </c>
      <c r="O93" s="8" t="str">
        <f aca="false">IF(L93="","",IFERROR(INDEX(Catalogo_TIMSS!$C$5:$C$105,MATCH(L93,Catalogo_TIMSS!$A$5:$A$105,0)),"?"))</f>
        <v/>
      </c>
      <c r="P93" s="8" t="s">
        <v>460</v>
      </c>
      <c r="Q93" s="27" t="s">
        <v>797</v>
      </c>
      <c r="R93" s="27" t="s">
        <v>642</v>
      </c>
      <c r="S93" s="28" t="n">
        <f aca="false">IFERROR(ISNUMBER(SEARCH("Conocer",$R93))/(ISNUMBER(SEARCH("Conocer",$R93))+ISNUMBER(SEARCH("Aplicar",$R93))+ISNUMBER(SEARCH("Razonar",$R93))),0)</f>
        <v>0</v>
      </c>
      <c r="T93" s="28" t="n">
        <f aca="false">IFERROR(ISNUMBER(SEARCH("Aplicar",$R93))/(ISNUMBER(SEARCH("Conocer",$R93))+ISNUMBER(SEARCH("Aplicar",$R93))+ISNUMBER(SEARCH("Razonar",$R93))),0)</f>
        <v>1</v>
      </c>
      <c r="U93" s="28" t="n">
        <f aca="false">IFERROR(ISNUMBER(SEARCH("Razonar",$R93))/(ISNUMBER(SEARCH("Conocer",$R93))+ISNUMBER(SEARCH("Aplicar",$R93))+ISNUMBER(SEARCH("Razonar",$R93))),0)</f>
        <v>0</v>
      </c>
      <c r="V93" s="8" t="s">
        <v>46</v>
      </c>
      <c r="W93" s="8" t="s">
        <v>66</v>
      </c>
    </row>
    <row r="94" customFormat="false" ht="15" hidden="false" customHeight="false" outlineLevel="0" collapsed="false">
      <c r="A94" s="8" t="s">
        <v>798</v>
      </c>
      <c r="B94" s="8" t="n">
        <v>3</v>
      </c>
      <c r="C94" s="8" t="s">
        <v>411</v>
      </c>
      <c r="D94" s="8" t="s">
        <v>714</v>
      </c>
      <c r="E94" s="8" t="s">
        <v>744</v>
      </c>
      <c r="F94" s="8" t="n">
        <v>16</v>
      </c>
      <c r="G94" s="8" t="s">
        <v>745</v>
      </c>
      <c r="H94" s="8" t="s">
        <v>799</v>
      </c>
      <c r="I94" s="27" t="s">
        <v>800</v>
      </c>
      <c r="J94" s="8" t="s">
        <v>109</v>
      </c>
      <c r="K94" s="8" t="s">
        <v>168</v>
      </c>
      <c r="L94" s="8" t="s">
        <v>108</v>
      </c>
      <c r="M94" s="8" t="str">
        <f aca="false">IF(K94="FUERA","Fuera del marco",IF(K94="N/A","Sin marco",IFERROR(INDEX(Catalogo_TIMSS!$C$5:$C$105,MATCH(K94,Catalogo_TIMSS!$A$5:$A$105,0)),"Pendiente de clasificar")))</f>
        <v>Ciencias de la Tierra</v>
      </c>
      <c r="N94" s="8" t="str">
        <f aca="false">IF(K94="FUERA","Fuera del marco",IF(K94="N/A","Sin marco",IFERROR(INDEX(Catalogo_TIMSS!$F$5:$F$105,MATCH(K94,Catalogo_TIMSS!$A$5:$A$105,0)),"Pendiente de clasificar")))</f>
        <v>Características físicas, recursos e historia de la Tierra</v>
      </c>
      <c r="O94" s="8" t="str">
        <f aca="false">IF(L94="","",IFERROR(INDEX(Catalogo_TIMSS!$C$5:$C$105,MATCH(L94,Catalogo_TIMSS!$A$5:$A$105,0)),"?"))</f>
        <v>Ciencias de la vida</v>
      </c>
      <c r="P94" s="8" t="s">
        <v>513</v>
      </c>
      <c r="Q94" s="27" t="s">
        <v>801</v>
      </c>
      <c r="R94" s="27" t="s">
        <v>604</v>
      </c>
      <c r="S94" s="28" t="n">
        <f aca="false">IFERROR(ISNUMBER(SEARCH("Conocer",$R94))/(ISNUMBER(SEARCH("Conocer",$R94))+ISNUMBER(SEARCH("Aplicar",$R94))+ISNUMBER(SEARCH("Razonar",$R94))),0)</f>
        <v>0</v>
      </c>
      <c r="T94" s="28" t="n">
        <f aca="false">IFERROR(ISNUMBER(SEARCH("Aplicar",$R94))/(ISNUMBER(SEARCH("Conocer",$R94))+ISNUMBER(SEARCH("Aplicar",$R94))+ISNUMBER(SEARCH("Razonar",$R94))),0)</f>
        <v>0.5</v>
      </c>
      <c r="U94" s="28" t="n">
        <f aca="false">IFERROR(ISNUMBER(SEARCH("Razonar",$R94))/(ISNUMBER(SEARCH("Conocer",$R94))+ISNUMBER(SEARCH("Aplicar",$R94))+ISNUMBER(SEARCH("Razonar",$R94))),0)</f>
        <v>0.5</v>
      </c>
      <c r="V94" s="8" t="s">
        <v>46</v>
      </c>
      <c r="W94" s="8" t="s">
        <v>66</v>
      </c>
    </row>
    <row r="95" customFormat="false" ht="15" hidden="false" customHeight="false" outlineLevel="0" collapsed="false">
      <c r="A95" s="8" t="s">
        <v>802</v>
      </c>
      <c r="B95" s="8" t="n">
        <v>3</v>
      </c>
      <c r="C95" s="8" t="s">
        <v>411</v>
      </c>
      <c r="D95" s="8" t="s">
        <v>714</v>
      </c>
      <c r="E95" s="8" t="s">
        <v>744</v>
      </c>
      <c r="F95" s="8" t="n">
        <v>17</v>
      </c>
      <c r="G95" s="8" t="s">
        <v>745</v>
      </c>
      <c r="H95" s="8" t="s">
        <v>799</v>
      </c>
      <c r="I95" s="27" t="s">
        <v>803</v>
      </c>
      <c r="J95" s="8" t="s">
        <v>109</v>
      </c>
      <c r="K95" s="8" t="s">
        <v>417</v>
      </c>
      <c r="L95" s="8"/>
      <c r="M95" s="8" t="str">
        <f aca="false">IF(K95="FUERA","Fuera del marco",IF(K95="N/A","Sin marco",IFERROR(INDEX(Catalogo_TIMSS!$C$5:$C$105,MATCH(K95,Catalogo_TIMSS!$A$5:$A$105,0)),"Pendiente de clasificar")))</f>
        <v>Fuera del marco</v>
      </c>
      <c r="N95" s="8" t="str">
        <f aca="false">IF(K95="FUERA","Fuera del marco",IF(K95="N/A","Sin marco",IFERROR(INDEX(Catalogo_TIMSS!$F$5:$F$105,MATCH(K95,Catalogo_TIMSS!$A$5:$A$105,0)),"Pendiente de clasificar")))</f>
        <v>Fuera del marco</v>
      </c>
      <c r="O95" s="8" t="str">
        <f aca="false">IF(L95="","",IFERROR(INDEX(Catalogo_TIMSS!$C$5:$C$105,MATCH(L95,Catalogo_TIMSS!$A$5:$A$105,0)),"?"))</f>
        <v/>
      </c>
      <c r="P95" s="8" t="s">
        <v>460</v>
      </c>
      <c r="Q95" s="27" t="s">
        <v>804</v>
      </c>
      <c r="R95" s="27" t="s">
        <v>805</v>
      </c>
      <c r="S95" s="28" t="n">
        <f aca="false">IFERROR(ISNUMBER(SEARCH("Conocer",$R95))/(ISNUMBER(SEARCH("Conocer",$R95))+ISNUMBER(SEARCH("Aplicar",$R95))+ISNUMBER(SEARCH("Razonar",$R95))),0)</f>
        <v>0.5</v>
      </c>
      <c r="T95" s="28" t="n">
        <f aca="false">IFERROR(ISNUMBER(SEARCH("Aplicar",$R95))/(ISNUMBER(SEARCH("Conocer",$R95))+ISNUMBER(SEARCH("Aplicar",$R95))+ISNUMBER(SEARCH("Razonar",$R95))),0)</f>
        <v>0.5</v>
      </c>
      <c r="U95" s="28" t="n">
        <f aca="false">IFERROR(ISNUMBER(SEARCH("Razonar",$R95))/(ISNUMBER(SEARCH("Conocer",$R95))+ISNUMBER(SEARCH("Aplicar",$R95))+ISNUMBER(SEARCH("Razonar",$R95))),0)</f>
        <v>0</v>
      </c>
      <c r="V95" s="8" t="s">
        <v>46</v>
      </c>
      <c r="W95" s="8" t="s">
        <v>66</v>
      </c>
    </row>
    <row r="96" customFormat="false" ht="15" hidden="false" customHeight="false" outlineLevel="0" collapsed="false">
      <c r="A96" s="8" t="s">
        <v>806</v>
      </c>
      <c r="B96" s="8" t="n">
        <v>3</v>
      </c>
      <c r="C96" s="8" t="s">
        <v>411</v>
      </c>
      <c r="D96" s="8" t="s">
        <v>714</v>
      </c>
      <c r="E96" s="8" t="s">
        <v>807</v>
      </c>
      <c r="F96" s="8" t="n">
        <v>3</v>
      </c>
      <c r="G96" s="8" t="s">
        <v>808</v>
      </c>
      <c r="H96" s="8" t="s">
        <v>809</v>
      </c>
      <c r="I96" s="27" t="s">
        <v>810</v>
      </c>
      <c r="J96" s="8" t="s">
        <v>109</v>
      </c>
      <c r="K96" s="8" t="s">
        <v>165</v>
      </c>
      <c r="L96" s="8"/>
      <c r="M96" s="8" t="str">
        <f aca="false">IF(K96="FUERA","Fuera del marco",IF(K96="N/A","Sin marco",IFERROR(INDEX(Catalogo_TIMSS!$C$5:$C$105,MATCH(K96,Catalogo_TIMSS!$A$5:$A$105,0)),"Pendiente de clasificar")))</f>
        <v>Ciencias de la Tierra</v>
      </c>
      <c r="N96" s="8" t="str">
        <f aca="false">IF(K96="FUERA","Fuera del marco",IF(K96="N/A","Sin marco",IFERROR(INDEX(Catalogo_TIMSS!$F$5:$F$105,MATCH(K96,Catalogo_TIMSS!$A$5:$A$105,0)),"Pendiente de clasificar")))</f>
        <v>Características físicas, recursos e historia de la Tierra</v>
      </c>
      <c r="O96" s="8" t="str">
        <f aca="false">IF(L96="","",IFERROR(INDEX(Catalogo_TIMSS!$C$5:$C$105,MATCH(L96,Catalogo_TIMSS!$A$5:$A$105,0)),"?"))</f>
        <v/>
      </c>
      <c r="P96" s="8" t="s">
        <v>418</v>
      </c>
      <c r="Q96" s="27" t="s">
        <v>811</v>
      </c>
      <c r="R96" s="27" t="s">
        <v>742</v>
      </c>
      <c r="S96" s="28" t="n">
        <f aca="false">IFERROR(ISNUMBER(SEARCH("Conocer",$R96))/(ISNUMBER(SEARCH("Conocer",$R96))+ISNUMBER(SEARCH("Aplicar",$R96))+ISNUMBER(SEARCH("Razonar",$R96))),0)</f>
        <v>0.5</v>
      </c>
      <c r="T96" s="28" t="n">
        <f aca="false">IFERROR(ISNUMBER(SEARCH("Aplicar",$R96))/(ISNUMBER(SEARCH("Conocer",$R96))+ISNUMBER(SEARCH("Aplicar",$R96))+ISNUMBER(SEARCH("Razonar",$R96))),0)</f>
        <v>0.5</v>
      </c>
      <c r="U96" s="28" t="n">
        <f aca="false">IFERROR(ISNUMBER(SEARCH("Razonar",$R96))/(ISNUMBER(SEARCH("Conocer",$R96))+ISNUMBER(SEARCH("Aplicar",$R96))+ISNUMBER(SEARCH("Razonar",$R96))),0)</f>
        <v>0</v>
      </c>
      <c r="V96" s="8" t="s">
        <v>46</v>
      </c>
      <c r="W96" s="8" t="s">
        <v>66</v>
      </c>
    </row>
    <row r="97" customFormat="false" ht="15" hidden="false" customHeight="false" outlineLevel="0" collapsed="false">
      <c r="A97" s="8" t="s">
        <v>812</v>
      </c>
      <c r="B97" s="8" t="n">
        <v>3</v>
      </c>
      <c r="C97" s="8" t="s">
        <v>411</v>
      </c>
      <c r="D97" s="8" t="s">
        <v>714</v>
      </c>
      <c r="E97" s="8" t="s">
        <v>807</v>
      </c>
      <c r="F97" s="8" t="n">
        <v>4</v>
      </c>
      <c r="G97" s="8" t="s">
        <v>808</v>
      </c>
      <c r="H97" s="8" t="s">
        <v>809</v>
      </c>
      <c r="I97" s="27" t="s">
        <v>813</v>
      </c>
      <c r="J97" s="8" t="s">
        <v>109</v>
      </c>
      <c r="K97" s="8" t="s">
        <v>165</v>
      </c>
      <c r="L97" s="8" t="s">
        <v>168</v>
      </c>
      <c r="M97" s="8" t="str">
        <f aca="false">IF(K97="FUERA","Fuera del marco",IF(K97="N/A","Sin marco",IFERROR(INDEX(Catalogo_TIMSS!$C$5:$C$105,MATCH(K97,Catalogo_TIMSS!$A$5:$A$105,0)),"Pendiente de clasificar")))</f>
        <v>Ciencias de la Tierra</v>
      </c>
      <c r="N97" s="8" t="str">
        <f aca="false">IF(K97="FUERA","Fuera del marco",IF(K97="N/A","Sin marco",IFERROR(INDEX(Catalogo_TIMSS!$F$5:$F$105,MATCH(K97,Catalogo_TIMSS!$A$5:$A$105,0)),"Pendiente de clasificar")))</f>
        <v>Características físicas, recursos e historia de la Tierra</v>
      </c>
      <c r="O97" s="8" t="str">
        <f aca="false">IF(L97="","",IFERROR(INDEX(Catalogo_TIMSS!$C$5:$C$105,MATCH(L97,Catalogo_TIMSS!$A$5:$A$105,0)),"?"))</f>
        <v>Ciencias de la Tierra</v>
      </c>
      <c r="P97" s="8" t="s">
        <v>418</v>
      </c>
      <c r="Q97" s="27" t="s">
        <v>814</v>
      </c>
      <c r="R97" s="27" t="s">
        <v>587</v>
      </c>
      <c r="S97" s="28" t="n">
        <f aca="false">IFERROR(ISNUMBER(SEARCH("Conocer",$R97))/(ISNUMBER(SEARCH("Conocer",$R97))+ISNUMBER(SEARCH("Aplicar",$R97))+ISNUMBER(SEARCH("Razonar",$R97))),0)</f>
        <v>0</v>
      </c>
      <c r="T97" s="28" t="n">
        <f aca="false">IFERROR(ISNUMBER(SEARCH("Aplicar",$R97))/(ISNUMBER(SEARCH("Conocer",$R97))+ISNUMBER(SEARCH("Aplicar",$R97))+ISNUMBER(SEARCH("Razonar",$R97))),0)</f>
        <v>1</v>
      </c>
      <c r="U97" s="28" t="n">
        <f aca="false">IFERROR(ISNUMBER(SEARCH("Razonar",$R97))/(ISNUMBER(SEARCH("Conocer",$R97))+ISNUMBER(SEARCH("Aplicar",$R97))+ISNUMBER(SEARCH("Razonar",$R97))),0)</f>
        <v>0</v>
      </c>
      <c r="V97" s="8" t="s">
        <v>46</v>
      </c>
      <c r="W97" s="8" t="s">
        <v>66</v>
      </c>
    </row>
    <row r="98" customFormat="false" ht="15" hidden="false" customHeight="false" outlineLevel="0" collapsed="false">
      <c r="A98" s="8" t="s">
        <v>815</v>
      </c>
      <c r="B98" s="8" t="n">
        <v>3</v>
      </c>
      <c r="C98" s="8" t="s">
        <v>411</v>
      </c>
      <c r="D98" s="8" t="s">
        <v>714</v>
      </c>
      <c r="E98" s="8" t="s">
        <v>807</v>
      </c>
      <c r="F98" s="8" t="n">
        <v>5</v>
      </c>
      <c r="G98" s="8" t="s">
        <v>808</v>
      </c>
      <c r="H98" s="8" t="s">
        <v>809</v>
      </c>
      <c r="I98" s="27" t="s">
        <v>816</v>
      </c>
      <c r="J98" s="8" t="s">
        <v>109</v>
      </c>
      <c r="K98" s="8" t="s">
        <v>165</v>
      </c>
      <c r="L98" s="8" t="s">
        <v>168</v>
      </c>
      <c r="M98" s="8" t="str">
        <f aca="false">IF(K98="FUERA","Fuera del marco",IF(K98="N/A","Sin marco",IFERROR(INDEX(Catalogo_TIMSS!$C$5:$C$105,MATCH(K98,Catalogo_TIMSS!$A$5:$A$105,0)),"Pendiente de clasificar")))</f>
        <v>Ciencias de la Tierra</v>
      </c>
      <c r="N98" s="8" t="str">
        <f aca="false">IF(K98="FUERA","Fuera del marco",IF(K98="N/A","Sin marco",IFERROR(INDEX(Catalogo_TIMSS!$F$5:$F$105,MATCH(K98,Catalogo_TIMSS!$A$5:$A$105,0)),"Pendiente de clasificar")))</f>
        <v>Características físicas, recursos e historia de la Tierra</v>
      </c>
      <c r="O98" s="8" t="str">
        <f aca="false">IF(L98="","",IFERROR(INDEX(Catalogo_TIMSS!$C$5:$C$105,MATCH(L98,Catalogo_TIMSS!$A$5:$A$105,0)),"?"))</f>
        <v>Ciencias de la Tierra</v>
      </c>
      <c r="P98" s="8" t="s">
        <v>460</v>
      </c>
      <c r="Q98" s="27" t="s">
        <v>817</v>
      </c>
      <c r="R98" s="27" t="s">
        <v>818</v>
      </c>
      <c r="S98" s="28" t="n">
        <f aca="false">IFERROR(ISNUMBER(SEARCH("Conocer",$R98))/(ISNUMBER(SEARCH("Conocer",$R98))+ISNUMBER(SEARCH("Aplicar",$R98))+ISNUMBER(SEARCH("Razonar",$R98))),0)</f>
        <v>0.5</v>
      </c>
      <c r="T98" s="28" t="n">
        <f aca="false">IFERROR(ISNUMBER(SEARCH("Aplicar",$R98))/(ISNUMBER(SEARCH("Conocer",$R98))+ISNUMBER(SEARCH("Aplicar",$R98))+ISNUMBER(SEARCH("Razonar",$R98))),0)</f>
        <v>0</v>
      </c>
      <c r="U98" s="28" t="n">
        <f aca="false">IFERROR(ISNUMBER(SEARCH("Razonar",$R98))/(ISNUMBER(SEARCH("Conocer",$R98))+ISNUMBER(SEARCH("Aplicar",$R98))+ISNUMBER(SEARCH("Razonar",$R98))),0)</f>
        <v>0.5</v>
      </c>
      <c r="V98" s="8" t="s">
        <v>46</v>
      </c>
      <c r="W98" s="8" t="s">
        <v>66</v>
      </c>
    </row>
    <row r="99" customFormat="false" ht="15" hidden="false" customHeight="false" outlineLevel="0" collapsed="false">
      <c r="A99" s="8" t="s">
        <v>819</v>
      </c>
      <c r="B99" s="8" t="n">
        <v>3</v>
      </c>
      <c r="C99" s="8" t="s">
        <v>411</v>
      </c>
      <c r="D99" s="8" t="s">
        <v>714</v>
      </c>
      <c r="E99" s="8" t="s">
        <v>807</v>
      </c>
      <c r="F99" s="8" t="n">
        <v>6</v>
      </c>
      <c r="G99" s="8" t="s">
        <v>808</v>
      </c>
      <c r="H99" s="8" t="s">
        <v>809</v>
      </c>
      <c r="I99" s="27" t="s">
        <v>820</v>
      </c>
      <c r="J99" s="8" t="s">
        <v>109</v>
      </c>
      <c r="K99" s="8" t="s">
        <v>165</v>
      </c>
      <c r="L99" s="8"/>
      <c r="M99" s="8" t="str">
        <f aca="false">IF(K99="FUERA","Fuera del marco",IF(K99="N/A","Sin marco",IFERROR(INDEX(Catalogo_TIMSS!$C$5:$C$105,MATCH(K99,Catalogo_TIMSS!$A$5:$A$105,0)),"Pendiente de clasificar")))</f>
        <v>Ciencias de la Tierra</v>
      </c>
      <c r="N99" s="8" t="str">
        <f aca="false">IF(K99="FUERA","Fuera del marco",IF(K99="N/A","Sin marco",IFERROR(INDEX(Catalogo_TIMSS!$F$5:$F$105,MATCH(K99,Catalogo_TIMSS!$A$5:$A$105,0)),"Pendiente de clasificar")))</f>
        <v>Características físicas, recursos e historia de la Tierra</v>
      </c>
      <c r="O99" s="8" t="str">
        <f aca="false">IF(L99="","",IFERROR(INDEX(Catalogo_TIMSS!$C$5:$C$105,MATCH(L99,Catalogo_TIMSS!$A$5:$A$105,0)),"?"))</f>
        <v/>
      </c>
      <c r="P99" s="8" t="s">
        <v>418</v>
      </c>
      <c r="Q99" s="27" t="s">
        <v>821</v>
      </c>
      <c r="R99" s="27" t="s">
        <v>760</v>
      </c>
      <c r="S99" s="28" t="n">
        <f aca="false">IFERROR(ISNUMBER(SEARCH("Conocer",$R99))/(ISNUMBER(SEARCH("Conocer",$R99))+ISNUMBER(SEARCH("Aplicar",$R99))+ISNUMBER(SEARCH("Razonar",$R99))),0)</f>
        <v>0.5</v>
      </c>
      <c r="T99" s="28" t="n">
        <f aca="false">IFERROR(ISNUMBER(SEARCH("Aplicar",$R99))/(ISNUMBER(SEARCH("Conocer",$R99))+ISNUMBER(SEARCH("Aplicar",$R99))+ISNUMBER(SEARCH("Razonar",$R99))),0)</f>
        <v>0.5</v>
      </c>
      <c r="U99" s="28" t="n">
        <f aca="false">IFERROR(ISNUMBER(SEARCH("Razonar",$R99))/(ISNUMBER(SEARCH("Conocer",$R99))+ISNUMBER(SEARCH("Aplicar",$R99))+ISNUMBER(SEARCH("Razonar",$R99))),0)</f>
        <v>0</v>
      </c>
      <c r="V99" s="8" t="s">
        <v>46</v>
      </c>
      <c r="W99" s="8" t="s">
        <v>66</v>
      </c>
    </row>
    <row r="100" customFormat="false" ht="15" hidden="false" customHeight="false" outlineLevel="0" collapsed="false">
      <c r="A100" s="8" t="s">
        <v>822</v>
      </c>
      <c r="B100" s="8" t="n">
        <v>3</v>
      </c>
      <c r="C100" s="8" t="s">
        <v>411</v>
      </c>
      <c r="D100" s="8" t="s">
        <v>714</v>
      </c>
      <c r="E100" s="8" t="s">
        <v>807</v>
      </c>
      <c r="F100" s="8" t="n">
        <v>7</v>
      </c>
      <c r="G100" s="8" t="s">
        <v>808</v>
      </c>
      <c r="H100" s="8" t="s">
        <v>809</v>
      </c>
      <c r="I100" s="27" t="s">
        <v>823</v>
      </c>
      <c r="J100" s="8" t="s">
        <v>109</v>
      </c>
      <c r="K100" s="8" t="s">
        <v>165</v>
      </c>
      <c r="L100" s="8" t="s">
        <v>168</v>
      </c>
      <c r="M100" s="8" t="str">
        <f aca="false">IF(K100="FUERA","Fuera del marco",IF(K100="N/A","Sin marco",IFERROR(INDEX(Catalogo_TIMSS!$C$5:$C$105,MATCH(K100,Catalogo_TIMSS!$A$5:$A$105,0)),"Pendiente de clasificar")))</f>
        <v>Ciencias de la Tierra</v>
      </c>
      <c r="N100" s="8" t="str">
        <f aca="false">IF(K100="FUERA","Fuera del marco",IF(K100="N/A","Sin marco",IFERROR(INDEX(Catalogo_TIMSS!$F$5:$F$105,MATCH(K100,Catalogo_TIMSS!$A$5:$A$105,0)),"Pendiente de clasificar")))</f>
        <v>Características físicas, recursos e historia de la Tierra</v>
      </c>
      <c r="O100" s="8" t="str">
        <f aca="false">IF(L100="","",IFERROR(INDEX(Catalogo_TIMSS!$C$5:$C$105,MATCH(L100,Catalogo_TIMSS!$A$5:$A$105,0)),"?"))</f>
        <v>Ciencias de la Tierra</v>
      </c>
      <c r="P100" s="8" t="s">
        <v>460</v>
      </c>
      <c r="Q100" s="27" t="s">
        <v>824</v>
      </c>
      <c r="R100" s="27" t="s">
        <v>642</v>
      </c>
      <c r="S100" s="28" t="n">
        <f aca="false">IFERROR(ISNUMBER(SEARCH("Conocer",$R100))/(ISNUMBER(SEARCH("Conocer",$R100))+ISNUMBER(SEARCH("Aplicar",$R100))+ISNUMBER(SEARCH("Razonar",$R100))),0)</f>
        <v>0</v>
      </c>
      <c r="T100" s="28" t="n">
        <f aca="false">IFERROR(ISNUMBER(SEARCH("Aplicar",$R100))/(ISNUMBER(SEARCH("Conocer",$R100))+ISNUMBER(SEARCH("Aplicar",$R100))+ISNUMBER(SEARCH("Razonar",$R100))),0)</f>
        <v>1</v>
      </c>
      <c r="U100" s="28" t="n">
        <f aca="false">IFERROR(ISNUMBER(SEARCH("Razonar",$R100))/(ISNUMBER(SEARCH("Conocer",$R100))+ISNUMBER(SEARCH("Aplicar",$R100))+ISNUMBER(SEARCH("Razonar",$R100))),0)</f>
        <v>0</v>
      </c>
      <c r="V100" s="8" t="s">
        <v>46</v>
      </c>
      <c r="W100" s="8" t="s">
        <v>66</v>
      </c>
    </row>
    <row r="101" customFormat="false" ht="15" hidden="false" customHeight="false" outlineLevel="0" collapsed="false">
      <c r="A101" s="8" t="s">
        <v>825</v>
      </c>
      <c r="B101" s="8" t="n">
        <v>3</v>
      </c>
      <c r="C101" s="8" t="s">
        <v>411</v>
      </c>
      <c r="D101" s="8" t="s">
        <v>714</v>
      </c>
      <c r="E101" s="8" t="s">
        <v>807</v>
      </c>
      <c r="F101" s="8" t="n">
        <v>8</v>
      </c>
      <c r="G101" s="8" t="s">
        <v>808</v>
      </c>
      <c r="H101" s="8" t="s">
        <v>809</v>
      </c>
      <c r="I101" s="27" t="s">
        <v>826</v>
      </c>
      <c r="J101" s="8" t="s">
        <v>109</v>
      </c>
      <c r="K101" s="8" t="s">
        <v>124</v>
      </c>
      <c r="L101" s="8" t="s">
        <v>108</v>
      </c>
      <c r="M101" s="8" t="str">
        <f aca="false">IF(K101="FUERA","Fuera del marco",IF(K101="N/A","Sin marco",IFERROR(INDEX(Catalogo_TIMSS!$C$5:$C$105,MATCH(K101,Catalogo_TIMSS!$A$5:$A$105,0)),"Pendiente de clasificar")))</f>
        <v>Ciencias de la vida</v>
      </c>
      <c r="N101" s="8" t="str">
        <f aca="false">IF(K101="FUERA","Fuera del marco",IF(K101="N/A","Sin marco",IFERROR(INDEX(Catalogo_TIMSS!$F$5:$F$105,MATCH(K101,Catalogo_TIMSS!$A$5:$A$105,0)),"Pendiente de clasificar")))</f>
        <v>Organismos, ambiente y sus interacciones</v>
      </c>
      <c r="O101" s="8" t="str">
        <f aca="false">IF(L101="","",IFERROR(INDEX(Catalogo_TIMSS!$C$5:$C$105,MATCH(L101,Catalogo_TIMSS!$A$5:$A$105,0)),"?"))</f>
        <v>Ciencias de la vida</v>
      </c>
      <c r="P101" s="8" t="s">
        <v>460</v>
      </c>
      <c r="Q101" s="27" t="s">
        <v>827</v>
      </c>
      <c r="R101" s="27" t="s">
        <v>828</v>
      </c>
      <c r="S101" s="28" t="n">
        <f aca="false">IFERROR(ISNUMBER(SEARCH("Conocer",$R101))/(ISNUMBER(SEARCH("Conocer",$R101))+ISNUMBER(SEARCH("Aplicar",$R101))+ISNUMBER(SEARCH("Razonar",$R101))),0)</f>
        <v>0</v>
      </c>
      <c r="T101" s="28" t="n">
        <f aca="false">IFERROR(ISNUMBER(SEARCH("Aplicar",$R101))/(ISNUMBER(SEARCH("Conocer",$R101))+ISNUMBER(SEARCH("Aplicar",$R101))+ISNUMBER(SEARCH("Razonar",$R101))),0)</f>
        <v>0</v>
      </c>
      <c r="U101" s="28" t="n">
        <f aca="false">IFERROR(ISNUMBER(SEARCH("Razonar",$R101))/(ISNUMBER(SEARCH("Conocer",$R101))+ISNUMBER(SEARCH("Aplicar",$R101))+ISNUMBER(SEARCH("Razonar",$R101))),0)</f>
        <v>1</v>
      </c>
      <c r="V101" s="8" t="s">
        <v>46</v>
      </c>
      <c r="W101" s="8" t="s">
        <v>66</v>
      </c>
    </row>
    <row r="102" customFormat="false" ht="15" hidden="false" customHeight="false" outlineLevel="0" collapsed="false">
      <c r="A102" s="8" t="s">
        <v>829</v>
      </c>
      <c r="B102" s="8" t="n">
        <v>3</v>
      </c>
      <c r="C102" s="8" t="s">
        <v>411</v>
      </c>
      <c r="D102" s="8" t="s">
        <v>714</v>
      </c>
      <c r="E102" s="8" t="s">
        <v>807</v>
      </c>
      <c r="F102" s="8" t="n">
        <v>9</v>
      </c>
      <c r="G102" s="8" t="s">
        <v>808</v>
      </c>
      <c r="H102" s="8" t="s">
        <v>830</v>
      </c>
      <c r="I102" s="27" t="s">
        <v>831</v>
      </c>
      <c r="J102" s="8" t="s">
        <v>109</v>
      </c>
      <c r="K102" s="8" t="s">
        <v>143</v>
      </c>
      <c r="L102" s="8"/>
      <c r="M102" s="8" t="str">
        <f aca="false">IF(K102="FUERA","Fuera del marco",IF(K102="N/A","Sin marco",IFERROR(INDEX(Catalogo_TIMSS!$C$5:$C$105,MATCH(K102,Catalogo_TIMSS!$A$5:$A$105,0)),"Pendiente de clasificar")))</f>
        <v>Ciencias físicas</v>
      </c>
      <c r="N102" s="8" t="str">
        <f aca="false">IF(K102="FUERA","Fuera del marco",IF(K102="N/A","Sin marco",IFERROR(INDEX(Catalogo_TIMSS!$F$5:$F$105,MATCH(K102,Catalogo_TIMSS!$A$5:$A$105,0)),"Pendiente de clasificar")))</f>
        <v>Clasificación y propiedades de la materia y sus cambios</v>
      </c>
      <c r="O102" s="8" t="str">
        <f aca="false">IF(L102="","",IFERROR(INDEX(Catalogo_TIMSS!$C$5:$C$105,MATCH(L102,Catalogo_TIMSS!$A$5:$A$105,0)),"?"))</f>
        <v/>
      </c>
      <c r="P102" s="8" t="s">
        <v>460</v>
      </c>
      <c r="Q102" s="27" t="s">
        <v>832</v>
      </c>
      <c r="R102" s="27" t="s">
        <v>833</v>
      </c>
      <c r="S102" s="28" t="n">
        <f aca="false">IFERROR(ISNUMBER(SEARCH("Conocer",$R102))/(ISNUMBER(SEARCH("Conocer",$R102))+ISNUMBER(SEARCH("Aplicar",$R102))+ISNUMBER(SEARCH("Razonar",$R102))),0)</f>
        <v>0</v>
      </c>
      <c r="T102" s="28" t="n">
        <f aca="false">IFERROR(ISNUMBER(SEARCH("Aplicar",$R102))/(ISNUMBER(SEARCH("Conocer",$R102))+ISNUMBER(SEARCH("Aplicar",$R102))+ISNUMBER(SEARCH("Razonar",$R102))),0)</f>
        <v>0.5</v>
      </c>
      <c r="U102" s="28" t="n">
        <f aca="false">IFERROR(ISNUMBER(SEARCH("Razonar",$R102))/(ISNUMBER(SEARCH("Conocer",$R102))+ISNUMBER(SEARCH("Aplicar",$R102))+ISNUMBER(SEARCH("Razonar",$R102))),0)</f>
        <v>0.5</v>
      </c>
      <c r="V102" s="8" t="s">
        <v>46</v>
      </c>
      <c r="W102" s="8" t="s">
        <v>66</v>
      </c>
    </row>
    <row r="103" customFormat="false" ht="15" hidden="false" customHeight="false" outlineLevel="0" collapsed="false">
      <c r="A103" s="8" t="s">
        <v>834</v>
      </c>
      <c r="B103" s="8" t="n">
        <v>3</v>
      </c>
      <c r="C103" s="8" t="s">
        <v>411</v>
      </c>
      <c r="D103" s="8" t="s">
        <v>714</v>
      </c>
      <c r="E103" s="8" t="s">
        <v>807</v>
      </c>
      <c r="F103" s="8" t="n">
        <v>10</v>
      </c>
      <c r="G103" s="8" t="s">
        <v>808</v>
      </c>
      <c r="H103" s="8" t="s">
        <v>830</v>
      </c>
      <c r="I103" s="27" t="s">
        <v>835</v>
      </c>
      <c r="J103" s="8" t="s">
        <v>109</v>
      </c>
      <c r="K103" s="8" t="s">
        <v>143</v>
      </c>
      <c r="L103" s="8"/>
      <c r="M103" s="8" t="str">
        <f aca="false">IF(K103="FUERA","Fuera del marco",IF(K103="N/A","Sin marco",IFERROR(INDEX(Catalogo_TIMSS!$C$5:$C$105,MATCH(K103,Catalogo_TIMSS!$A$5:$A$105,0)),"Pendiente de clasificar")))</f>
        <v>Ciencias físicas</v>
      </c>
      <c r="N103" s="8" t="str">
        <f aca="false">IF(K103="FUERA","Fuera del marco",IF(K103="N/A","Sin marco",IFERROR(INDEX(Catalogo_TIMSS!$F$5:$F$105,MATCH(K103,Catalogo_TIMSS!$A$5:$A$105,0)),"Pendiente de clasificar")))</f>
        <v>Clasificación y propiedades de la materia y sus cambios</v>
      </c>
      <c r="O103" s="8" t="str">
        <f aca="false">IF(L103="","",IFERROR(INDEX(Catalogo_TIMSS!$C$5:$C$105,MATCH(L103,Catalogo_TIMSS!$A$5:$A$105,0)),"?"))</f>
        <v/>
      </c>
      <c r="P103" s="8" t="s">
        <v>418</v>
      </c>
      <c r="Q103" s="27" t="s">
        <v>836</v>
      </c>
      <c r="R103" s="27" t="s">
        <v>429</v>
      </c>
      <c r="S103" s="28" t="n">
        <f aca="false">IFERROR(ISNUMBER(SEARCH("Conocer",$R103))/(ISNUMBER(SEARCH("Conocer",$R103))+ISNUMBER(SEARCH("Aplicar",$R103))+ISNUMBER(SEARCH("Razonar",$R103))),0)</f>
        <v>0</v>
      </c>
      <c r="T103" s="28" t="n">
        <f aca="false">IFERROR(ISNUMBER(SEARCH("Aplicar",$R103))/(ISNUMBER(SEARCH("Conocer",$R103))+ISNUMBER(SEARCH("Aplicar",$R103))+ISNUMBER(SEARCH("Razonar",$R103))),0)</f>
        <v>1</v>
      </c>
      <c r="U103" s="28" t="n">
        <f aca="false">IFERROR(ISNUMBER(SEARCH("Razonar",$R103))/(ISNUMBER(SEARCH("Conocer",$R103))+ISNUMBER(SEARCH("Aplicar",$R103))+ISNUMBER(SEARCH("Razonar",$R103))),0)</f>
        <v>0</v>
      </c>
      <c r="V103" s="8" t="s">
        <v>46</v>
      </c>
      <c r="W103" s="8" t="s">
        <v>66</v>
      </c>
    </row>
    <row r="104" customFormat="false" ht="15" hidden="false" customHeight="false" outlineLevel="0" collapsed="false">
      <c r="A104" s="8" t="s">
        <v>837</v>
      </c>
      <c r="B104" s="8" t="n">
        <v>3</v>
      </c>
      <c r="C104" s="8" t="s">
        <v>411</v>
      </c>
      <c r="D104" s="8" t="s">
        <v>714</v>
      </c>
      <c r="E104" s="8" t="s">
        <v>807</v>
      </c>
      <c r="F104" s="8" t="n">
        <v>11</v>
      </c>
      <c r="G104" s="8" t="s">
        <v>808</v>
      </c>
      <c r="H104" s="8" t="s">
        <v>838</v>
      </c>
      <c r="I104" s="27" t="s">
        <v>839</v>
      </c>
      <c r="J104" s="8" t="s">
        <v>109</v>
      </c>
      <c r="K104" s="8" t="s">
        <v>143</v>
      </c>
      <c r="L104" s="8"/>
      <c r="M104" s="8" t="str">
        <f aca="false">IF(K104="FUERA","Fuera del marco",IF(K104="N/A","Sin marco",IFERROR(INDEX(Catalogo_TIMSS!$C$5:$C$105,MATCH(K104,Catalogo_TIMSS!$A$5:$A$105,0)),"Pendiente de clasificar")))</f>
        <v>Ciencias físicas</v>
      </c>
      <c r="N104" s="8" t="str">
        <f aca="false">IF(K104="FUERA","Fuera del marco",IF(K104="N/A","Sin marco",IFERROR(INDEX(Catalogo_TIMSS!$F$5:$F$105,MATCH(K104,Catalogo_TIMSS!$A$5:$A$105,0)),"Pendiente de clasificar")))</f>
        <v>Clasificación y propiedades de la materia y sus cambios</v>
      </c>
      <c r="O104" s="8" t="str">
        <f aca="false">IF(L104="","",IFERROR(INDEX(Catalogo_TIMSS!$C$5:$C$105,MATCH(L104,Catalogo_TIMSS!$A$5:$A$105,0)),"?"))</f>
        <v/>
      </c>
      <c r="P104" s="8" t="s">
        <v>460</v>
      </c>
      <c r="Q104" s="27" t="s">
        <v>840</v>
      </c>
      <c r="R104" s="27" t="s">
        <v>429</v>
      </c>
      <c r="S104" s="28" t="n">
        <f aca="false">IFERROR(ISNUMBER(SEARCH("Conocer",$R104))/(ISNUMBER(SEARCH("Conocer",$R104))+ISNUMBER(SEARCH("Aplicar",$R104))+ISNUMBER(SEARCH("Razonar",$R104))),0)</f>
        <v>0</v>
      </c>
      <c r="T104" s="28" t="n">
        <f aca="false">IFERROR(ISNUMBER(SEARCH("Aplicar",$R104))/(ISNUMBER(SEARCH("Conocer",$R104))+ISNUMBER(SEARCH("Aplicar",$R104))+ISNUMBER(SEARCH("Razonar",$R104))),0)</f>
        <v>1</v>
      </c>
      <c r="U104" s="28" t="n">
        <f aca="false">IFERROR(ISNUMBER(SEARCH("Razonar",$R104))/(ISNUMBER(SEARCH("Conocer",$R104))+ISNUMBER(SEARCH("Aplicar",$R104))+ISNUMBER(SEARCH("Razonar",$R104))),0)</f>
        <v>0</v>
      </c>
      <c r="V104" s="8" t="s">
        <v>46</v>
      </c>
      <c r="W104" s="8" t="s">
        <v>66</v>
      </c>
    </row>
    <row r="105" customFormat="false" ht="15" hidden="false" customHeight="false" outlineLevel="0" collapsed="false">
      <c r="A105" s="8" t="s">
        <v>841</v>
      </c>
      <c r="B105" s="8" t="n">
        <v>3</v>
      </c>
      <c r="C105" s="8" t="s">
        <v>411</v>
      </c>
      <c r="D105" s="8" t="s">
        <v>714</v>
      </c>
      <c r="E105" s="8" t="s">
        <v>807</v>
      </c>
      <c r="F105" s="8" t="n">
        <v>12</v>
      </c>
      <c r="G105" s="8" t="s">
        <v>808</v>
      </c>
      <c r="H105" s="8" t="s">
        <v>838</v>
      </c>
      <c r="I105" s="27" t="s">
        <v>842</v>
      </c>
      <c r="J105" s="8" t="s">
        <v>109</v>
      </c>
      <c r="K105" s="8" t="s">
        <v>149</v>
      </c>
      <c r="L105" s="8"/>
      <c r="M105" s="8" t="str">
        <f aca="false">IF(K105="FUERA","Fuera del marco",IF(K105="N/A","Sin marco",IFERROR(INDEX(Catalogo_TIMSS!$C$5:$C$105,MATCH(K105,Catalogo_TIMSS!$A$5:$A$105,0)),"Pendiente de clasificar")))</f>
        <v>Ciencias físicas</v>
      </c>
      <c r="N105" s="8" t="str">
        <f aca="false">IF(K105="FUERA","Fuera del marco",IF(K105="N/A","Sin marco",IFERROR(INDEX(Catalogo_TIMSS!$F$5:$F$105,MATCH(K105,Catalogo_TIMSS!$A$5:$A$105,0)),"Pendiente de clasificar")))</f>
        <v>Clasificación y propiedades de la materia y sus cambios</v>
      </c>
      <c r="O105" s="8" t="str">
        <f aca="false">IF(L105="","",IFERROR(INDEX(Catalogo_TIMSS!$C$5:$C$105,MATCH(L105,Catalogo_TIMSS!$A$5:$A$105,0)),"?"))</f>
        <v/>
      </c>
      <c r="P105" s="8" t="s">
        <v>418</v>
      </c>
      <c r="Q105" s="27" t="s">
        <v>843</v>
      </c>
      <c r="R105" s="27" t="s">
        <v>844</v>
      </c>
      <c r="S105" s="28" t="n">
        <f aca="false">IFERROR(ISNUMBER(SEARCH("Conocer",$R105))/(ISNUMBER(SEARCH("Conocer",$R105))+ISNUMBER(SEARCH("Aplicar",$R105))+ISNUMBER(SEARCH("Razonar",$R105))),0)</f>
        <v>0</v>
      </c>
      <c r="T105" s="28" t="n">
        <f aca="false">IFERROR(ISNUMBER(SEARCH("Aplicar",$R105))/(ISNUMBER(SEARCH("Conocer",$R105))+ISNUMBER(SEARCH("Aplicar",$R105))+ISNUMBER(SEARCH("Razonar",$R105))),0)</f>
        <v>0</v>
      </c>
      <c r="U105" s="28" t="n">
        <f aca="false">IFERROR(ISNUMBER(SEARCH("Razonar",$R105))/(ISNUMBER(SEARCH("Conocer",$R105))+ISNUMBER(SEARCH("Aplicar",$R105))+ISNUMBER(SEARCH("Razonar",$R105))),0)</f>
        <v>1</v>
      </c>
      <c r="V105" s="8" t="s">
        <v>46</v>
      </c>
      <c r="W105" s="8" t="s">
        <v>66</v>
      </c>
    </row>
    <row r="106" customFormat="false" ht="15" hidden="false" customHeight="false" outlineLevel="0" collapsed="false">
      <c r="A106" s="8" t="s">
        <v>845</v>
      </c>
      <c r="B106" s="8" t="n">
        <v>3</v>
      </c>
      <c r="C106" s="8" t="s">
        <v>411</v>
      </c>
      <c r="D106" s="8" t="s">
        <v>714</v>
      </c>
      <c r="E106" s="8" t="s">
        <v>807</v>
      </c>
      <c r="F106" s="8" t="n">
        <v>13</v>
      </c>
      <c r="G106" s="8" t="s">
        <v>808</v>
      </c>
      <c r="H106" s="8" t="s">
        <v>838</v>
      </c>
      <c r="I106" s="27" t="s">
        <v>846</v>
      </c>
      <c r="J106" s="8" t="s">
        <v>109</v>
      </c>
      <c r="K106" s="8" t="s">
        <v>149</v>
      </c>
      <c r="L106" s="8" t="s">
        <v>143</v>
      </c>
      <c r="M106" s="8" t="str">
        <f aca="false">IF(K106="FUERA","Fuera del marco",IF(K106="N/A","Sin marco",IFERROR(INDEX(Catalogo_TIMSS!$C$5:$C$105,MATCH(K106,Catalogo_TIMSS!$A$5:$A$105,0)),"Pendiente de clasificar")))</f>
        <v>Ciencias físicas</v>
      </c>
      <c r="N106" s="8" t="str">
        <f aca="false">IF(K106="FUERA","Fuera del marco",IF(K106="N/A","Sin marco",IFERROR(INDEX(Catalogo_TIMSS!$F$5:$F$105,MATCH(K106,Catalogo_TIMSS!$A$5:$A$105,0)),"Pendiente de clasificar")))</f>
        <v>Clasificación y propiedades de la materia y sus cambios</v>
      </c>
      <c r="O106" s="8" t="str">
        <f aca="false">IF(L106="","",IFERROR(INDEX(Catalogo_TIMSS!$C$5:$C$105,MATCH(L106,Catalogo_TIMSS!$A$5:$A$105,0)),"?"))</f>
        <v>Ciencias físicas</v>
      </c>
      <c r="P106" s="8" t="s">
        <v>460</v>
      </c>
      <c r="Q106" s="27" t="s">
        <v>847</v>
      </c>
      <c r="R106" s="27" t="s">
        <v>848</v>
      </c>
      <c r="S106" s="28" t="n">
        <f aca="false">IFERROR(ISNUMBER(SEARCH("Conocer",$R106))/(ISNUMBER(SEARCH("Conocer",$R106))+ISNUMBER(SEARCH("Aplicar",$R106))+ISNUMBER(SEARCH("Razonar",$R106))),0)</f>
        <v>0</v>
      </c>
      <c r="T106" s="28" t="n">
        <f aca="false">IFERROR(ISNUMBER(SEARCH("Aplicar",$R106))/(ISNUMBER(SEARCH("Conocer",$R106))+ISNUMBER(SEARCH("Aplicar",$R106))+ISNUMBER(SEARCH("Razonar",$R106))),0)</f>
        <v>0.5</v>
      </c>
      <c r="U106" s="28" t="n">
        <f aca="false">IFERROR(ISNUMBER(SEARCH("Razonar",$R106))/(ISNUMBER(SEARCH("Conocer",$R106))+ISNUMBER(SEARCH("Aplicar",$R106))+ISNUMBER(SEARCH("Razonar",$R106))),0)</f>
        <v>0.5</v>
      </c>
      <c r="V106" s="8" t="s">
        <v>46</v>
      </c>
      <c r="W106" s="8" t="s">
        <v>66</v>
      </c>
    </row>
    <row r="107" customFormat="false" ht="15" hidden="false" customHeight="false" outlineLevel="0" collapsed="false">
      <c r="A107" s="8" t="s">
        <v>849</v>
      </c>
      <c r="B107" s="8" t="n">
        <v>3</v>
      </c>
      <c r="C107" s="8" t="s">
        <v>411</v>
      </c>
      <c r="D107" s="8" t="s">
        <v>714</v>
      </c>
      <c r="E107" s="8" t="s">
        <v>807</v>
      </c>
      <c r="F107" s="8" t="n">
        <v>14</v>
      </c>
      <c r="G107" s="8" t="s">
        <v>808</v>
      </c>
      <c r="H107" s="8" t="s">
        <v>838</v>
      </c>
      <c r="I107" s="27" t="s">
        <v>850</v>
      </c>
      <c r="J107" s="8" t="s">
        <v>109</v>
      </c>
      <c r="K107" s="8" t="s">
        <v>143</v>
      </c>
      <c r="L107" s="8"/>
      <c r="M107" s="8" t="str">
        <f aca="false">IF(K107="FUERA","Fuera del marco",IF(K107="N/A","Sin marco",IFERROR(INDEX(Catalogo_TIMSS!$C$5:$C$105,MATCH(K107,Catalogo_TIMSS!$A$5:$A$105,0)),"Pendiente de clasificar")))</f>
        <v>Ciencias físicas</v>
      </c>
      <c r="N107" s="8" t="str">
        <f aca="false">IF(K107="FUERA","Fuera del marco",IF(K107="N/A","Sin marco",IFERROR(INDEX(Catalogo_TIMSS!$F$5:$F$105,MATCH(K107,Catalogo_TIMSS!$A$5:$A$105,0)),"Pendiente de clasificar")))</f>
        <v>Clasificación y propiedades de la materia y sus cambios</v>
      </c>
      <c r="O107" s="8" t="str">
        <f aca="false">IF(L107="","",IFERROR(INDEX(Catalogo_TIMSS!$C$5:$C$105,MATCH(L107,Catalogo_TIMSS!$A$5:$A$105,0)),"?"))</f>
        <v/>
      </c>
      <c r="P107" s="8" t="s">
        <v>460</v>
      </c>
      <c r="Q107" s="27" t="s">
        <v>851</v>
      </c>
      <c r="R107" s="27" t="s">
        <v>852</v>
      </c>
      <c r="S107" s="28" t="n">
        <f aca="false">IFERROR(ISNUMBER(SEARCH("Conocer",$R107))/(ISNUMBER(SEARCH("Conocer",$R107))+ISNUMBER(SEARCH("Aplicar",$R107))+ISNUMBER(SEARCH("Razonar",$R107))),0)</f>
        <v>0</v>
      </c>
      <c r="T107" s="28" t="n">
        <f aca="false">IFERROR(ISNUMBER(SEARCH("Aplicar",$R107))/(ISNUMBER(SEARCH("Conocer",$R107))+ISNUMBER(SEARCH("Aplicar",$R107))+ISNUMBER(SEARCH("Razonar",$R107))),0)</f>
        <v>0</v>
      </c>
      <c r="U107" s="28" t="n">
        <f aca="false">IFERROR(ISNUMBER(SEARCH("Razonar",$R107))/(ISNUMBER(SEARCH("Conocer",$R107))+ISNUMBER(SEARCH("Aplicar",$R107))+ISNUMBER(SEARCH("Razonar",$R107))),0)</f>
        <v>1</v>
      </c>
      <c r="V107" s="8" t="s">
        <v>46</v>
      </c>
      <c r="W107" s="8" t="s">
        <v>66</v>
      </c>
    </row>
    <row r="108" customFormat="false" ht="15" hidden="false" customHeight="false" outlineLevel="0" collapsed="false">
      <c r="A108" s="8" t="s">
        <v>853</v>
      </c>
      <c r="B108" s="8" t="n">
        <v>3</v>
      </c>
      <c r="C108" s="8" t="s">
        <v>411</v>
      </c>
      <c r="D108" s="8" t="s">
        <v>714</v>
      </c>
      <c r="E108" s="8" t="s">
        <v>807</v>
      </c>
      <c r="F108" s="8" t="n">
        <v>15</v>
      </c>
      <c r="G108" s="8" t="s">
        <v>808</v>
      </c>
      <c r="H108" s="8" t="s">
        <v>854</v>
      </c>
      <c r="I108" s="27" t="s">
        <v>855</v>
      </c>
      <c r="J108" s="8" t="s">
        <v>109</v>
      </c>
      <c r="K108" s="8" t="s">
        <v>143</v>
      </c>
      <c r="L108" s="8" t="s">
        <v>168</v>
      </c>
      <c r="M108" s="8" t="str">
        <f aca="false">IF(K108="FUERA","Fuera del marco",IF(K108="N/A","Sin marco",IFERROR(INDEX(Catalogo_TIMSS!$C$5:$C$105,MATCH(K108,Catalogo_TIMSS!$A$5:$A$105,0)),"Pendiente de clasificar")))</f>
        <v>Ciencias físicas</v>
      </c>
      <c r="N108" s="8" t="str">
        <f aca="false">IF(K108="FUERA","Fuera del marco",IF(K108="N/A","Sin marco",IFERROR(INDEX(Catalogo_TIMSS!$F$5:$F$105,MATCH(K108,Catalogo_TIMSS!$A$5:$A$105,0)),"Pendiente de clasificar")))</f>
        <v>Clasificación y propiedades de la materia y sus cambios</v>
      </c>
      <c r="O108" s="8" t="str">
        <f aca="false">IF(L108="","",IFERROR(INDEX(Catalogo_TIMSS!$C$5:$C$105,MATCH(L108,Catalogo_TIMSS!$A$5:$A$105,0)),"?"))</f>
        <v>Ciencias de la Tierra</v>
      </c>
      <c r="P108" s="8" t="s">
        <v>460</v>
      </c>
      <c r="Q108" s="27" t="s">
        <v>856</v>
      </c>
      <c r="R108" s="27" t="s">
        <v>857</v>
      </c>
      <c r="S108" s="28" t="n">
        <f aca="false">IFERROR(ISNUMBER(SEARCH("Conocer",$R108))/(ISNUMBER(SEARCH("Conocer",$R108))+ISNUMBER(SEARCH("Aplicar",$R108))+ISNUMBER(SEARCH("Razonar",$R108))),0)</f>
        <v>0</v>
      </c>
      <c r="T108" s="28" t="n">
        <f aca="false">IFERROR(ISNUMBER(SEARCH("Aplicar",$R108))/(ISNUMBER(SEARCH("Conocer",$R108))+ISNUMBER(SEARCH("Aplicar",$R108))+ISNUMBER(SEARCH("Razonar",$R108))),0)</f>
        <v>0.5</v>
      </c>
      <c r="U108" s="28" t="n">
        <f aca="false">IFERROR(ISNUMBER(SEARCH("Razonar",$R108))/(ISNUMBER(SEARCH("Conocer",$R108))+ISNUMBER(SEARCH("Aplicar",$R108))+ISNUMBER(SEARCH("Razonar",$R108))),0)</f>
        <v>0.5</v>
      </c>
      <c r="V108" s="8" t="s">
        <v>46</v>
      </c>
      <c r="W108" s="8" t="s">
        <v>66</v>
      </c>
    </row>
    <row r="109" customFormat="false" ht="15" hidden="false" customHeight="false" outlineLevel="0" collapsed="false">
      <c r="A109" s="8" t="s">
        <v>858</v>
      </c>
      <c r="B109" s="8" t="n">
        <v>3</v>
      </c>
      <c r="C109" s="8" t="s">
        <v>411</v>
      </c>
      <c r="D109" s="8" t="s">
        <v>714</v>
      </c>
      <c r="E109" s="8" t="s">
        <v>807</v>
      </c>
      <c r="F109" s="8" t="n">
        <v>16</v>
      </c>
      <c r="G109" s="8" t="s">
        <v>808</v>
      </c>
      <c r="H109" s="8" t="s">
        <v>854</v>
      </c>
      <c r="I109" s="27" t="s">
        <v>859</v>
      </c>
      <c r="J109" s="8" t="s">
        <v>109</v>
      </c>
      <c r="K109" s="8" t="s">
        <v>126</v>
      </c>
      <c r="L109" s="8" t="s">
        <v>168</v>
      </c>
      <c r="M109" s="8" t="str">
        <f aca="false">IF(K109="FUERA","Fuera del marco",IF(K109="N/A","Sin marco",IFERROR(INDEX(Catalogo_TIMSS!$C$5:$C$105,MATCH(K109,Catalogo_TIMSS!$A$5:$A$105,0)),"Pendiente de clasificar")))</f>
        <v>Ciencias de la vida</v>
      </c>
      <c r="N109" s="8" t="str">
        <f aca="false">IF(K109="FUERA","Fuera del marco",IF(K109="N/A","Sin marco",IFERROR(INDEX(Catalogo_TIMSS!$F$5:$F$105,MATCH(K109,Catalogo_TIMSS!$A$5:$A$105,0)),"Pendiente de clasificar")))</f>
        <v>Organismos, ambiente y sus interacciones</v>
      </c>
      <c r="O109" s="8" t="str">
        <f aca="false">IF(L109="","",IFERROR(INDEX(Catalogo_TIMSS!$C$5:$C$105,MATCH(L109,Catalogo_TIMSS!$A$5:$A$105,0)),"?"))</f>
        <v>Ciencias de la Tierra</v>
      </c>
      <c r="P109" s="8" t="s">
        <v>460</v>
      </c>
      <c r="Q109" s="27" t="s">
        <v>860</v>
      </c>
      <c r="R109" s="27" t="s">
        <v>861</v>
      </c>
      <c r="S109" s="28" t="n">
        <f aca="false">IFERROR(ISNUMBER(SEARCH("Conocer",$R109))/(ISNUMBER(SEARCH("Conocer",$R109))+ISNUMBER(SEARCH("Aplicar",$R109))+ISNUMBER(SEARCH("Razonar",$R109))),0)</f>
        <v>0</v>
      </c>
      <c r="T109" s="28" t="n">
        <f aca="false">IFERROR(ISNUMBER(SEARCH("Aplicar",$R109))/(ISNUMBER(SEARCH("Conocer",$R109))+ISNUMBER(SEARCH("Aplicar",$R109))+ISNUMBER(SEARCH("Razonar",$R109))),0)</f>
        <v>0.5</v>
      </c>
      <c r="U109" s="28" t="n">
        <f aca="false">IFERROR(ISNUMBER(SEARCH("Razonar",$R109))/(ISNUMBER(SEARCH("Conocer",$R109))+ISNUMBER(SEARCH("Aplicar",$R109))+ISNUMBER(SEARCH("Razonar",$R109))),0)</f>
        <v>0.5</v>
      </c>
      <c r="V109" s="8" t="s">
        <v>46</v>
      </c>
      <c r="W109" s="8" t="s">
        <v>66</v>
      </c>
    </row>
    <row r="110" customFormat="false" ht="15" hidden="false" customHeight="false" outlineLevel="0" collapsed="false">
      <c r="A110" s="8" t="s">
        <v>862</v>
      </c>
      <c r="B110" s="8" t="n">
        <v>3</v>
      </c>
      <c r="C110" s="8" t="s">
        <v>411</v>
      </c>
      <c r="D110" s="8" t="s">
        <v>714</v>
      </c>
      <c r="E110" s="8" t="s">
        <v>863</v>
      </c>
      <c r="F110" s="8" t="n">
        <v>3</v>
      </c>
      <c r="G110" s="8" t="s">
        <v>864</v>
      </c>
      <c r="H110" s="8" t="s">
        <v>865</v>
      </c>
      <c r="I110" s="27" t="s">
        <v>866</v>
      </c>
      <c r="J110" s="8" t="s">
        <v>109</v>
      </c>
      <c r="K110" s="8" t="s">
        <v>114</v>
      </c>
      <c r="L110" s="8"/>
      <c r="M110" s="8" t="str">
        <f aca="false">IF(K110="FUERA","Fuera del marco",IF(K110="N/A","Sin marco",IFERROR(INDEX(Catalogo_TIMSS!$C$5:$C$105,MATCH(K110,Catalogo_TIMSS!$A$5:$A$105,0)),"Pendiente de clasificar")))</f>
        <v>Ciencias de la vida</v>
      </c>
      <c r="N110" s="8" t="str">
        <f aca="false">IF(K110="FUERA","Fuera del marco",IF(K110="N/A","Sin marco",IFERROR(INDEX(Catalogo_TIMSS!$F$5:$F$105,MATCH(K110,Catalogo_TIMSS!$A$5:$A$105,0)),"Pendiente de clasificar")))</f>
        <v>Características y procesos vitales de los organismos</v>
      </c>
      <c r="O110" s="8" t="str">
        <f aca="false">IF(L110="","",IFERROR(INDEX(Catalogo_TIMSS!$C$5:$C$105,MATCH(L110,Catalogo_TIMSS!$A$5:$A$105,0)),"?"))</f>
        <v/>
      </c>
      <c r="P110" s="8" t="s">
        <v>418</v>
      </c>
      <c r="Q110" s="27" t="s">
        <v>867</v>
      </c>
      <c r="R110" s="27" t="s">
        <v>868</v>
      </c>
      <c r="S110" s="28" t="n">
        <f aca="false">IFERROR(ISNUMBER(SEARCH("Conocer",$R110))/(ISNUMBER(SEARCH("Conocer",$R110))+ISNUMBER(SEARCH("Aplicar",$R110))+ISNUMBER(SEARCH("Razonar",$R110))),0)</f>
        <v>1</v>
      </c>
      <c r="T110" s="28" t="n">
        <f aca="false">IFERROR(ISNUMBER(SEARCH("Aplicar",$R110))/(ISNUMBER(SEARCH("Conocer",$R110))+ISNUMBER(SEARCH("Aplicar",$R110))+ISNUMBER(SEARCH("Razonar",$R110))),0)</f>
        <v>0</v>
      </c>
      <c r="U110" s="28" t="n">
        <f aca="false">IFERROR(ISNUMBER(SEARCH("Razonar",$R110))/(ISNUMBER(SEARCH("Conocer",$R110))+ISNUMBER(SEARCH("Aplicar",$R110))+ISNUMBER(SEARCH("Razonar",$R110))),0)</f>
        <v>0</v>
      </c>
      <c r="V110" s="8" t="s">
        <v>46</v>
      </c>
      <c r="W110" s="8" t="s">
        <v>66</v>
      </c>
    </row>
    <row r="111" customFormat="false" ht="15" hidden="false" customHeight="false" outlineLevel="0" collapsed="false">
      <c r="A111" s="8" t="s">
        <v>869</v>
      </c>
      <c r="B111" s="8" t="n">
        <v>3</v>
      </c>
      <c r="C111" s="8" t="s">
        <v>411</v>
      </c>
      <c r="D111" s="8" t="s">
        <v>714</v>
      </c>
      <c r="E111" s="8" t="s">
        <v>863</v>
      </c>
      <c r="F111" s="8" t="n">
        <v>4</v>
      </c>
      <c r="G111" s="8" t="s">
        <v>864</v>
      </c>
      <c r="H111" s="8" t="s">
        <v>865</v>
      </c>
      <c r="I111" s="27" t="s">
        <v>870</v>
      </c>
      <c r="J111" s="8" t="s">
        <v>109</v>
      </c>
      <c r="K111" s="8" t="s">
        <v>114</v>
      </c>
      <c r="L111" s="8"/>
      <c r="M111" s="8" t="str">
        <f aca="false">IF(K111="FUERA","Fuera del marco",IF(K111="N/A","Sin marco",IFERROR(INDEX(Catalogo_TIMSS!$C$5:$C$105,MATCH(K111,Catalogo_TIMSS!$A$5:$A$105,0)),"Pendiente de clasificar")))</f>
        <v>Ciencias de la vida</v>
      </c>
      <c r="N111" s="8" t="str">
        <f aca="false">IF(K111="FUERA","Fuera del marco",IF(K111="N/A","Sin marco",IFERROR(INDEX(Catalogo_TIMSS!$F$5:$F$105,MATCH(K111,Catalogo_TIMSS!$A$5:$A$105,0)),"Pendiente de clasificar")))</f>
        <v>Características y procesos vitales de los organismos</v>
      </c>
      <c r="O111" s="8" t="str">
        <f aca="false">IF(L111="","",IFERROR(INDEX(Catalogo_TIMSS!$C$5:$C$105,MATCH(L111,Catalogo_TIMSS!$A$5:$A$105,0)),"?"))</f>
        <v/>
      </c>
      <c r="P111" s="8" t="s">
        <v>418</v>
      </c>
      <c r="Q111" s="27" t="s">
        <v>871</v>
      </c>
      <c r="R111" s="27" t="s">
        <v>872</v>
      </c>
      <c r="S111" s="28" t="n">
        <f aca="false">IFERROR(ISNUMBER(SEARCH("Conocer",$R111))/(ISNUMBER(SEARCH("Conocer",$R111))+ISNUMBER(SEARCH("Aplicar",$R111))+ISNUMBER(SEARCH("Razonar",$R111))),0)</f>
        <v>1</v>
      </c>
      <c r="T111" s="28" t="n">
        <f aca="false">IFERROR(ISNUMBER(SEARCH("Aplicar",$R111))/(ISNUMBER(SEARCH("Conocer",$R111))+ISNUMBER(SEARCH("Aplicar",$R111))+ISNUMBER(SEARCH("Razonar",$R111))),0)</f>
        <v>0</v>
      </c>
      <c r="U111" s="28" t="n">
        <f aca="false">IFERROR(ISNUMBER(SEARCH("Razonar",$R111))/(ISNUMBER(SEARCH("Conocer",$R111))+ISNUMBER(SEARCH("Aplicar",$R111))+ISNUMBER(SEARCH("Razonar",$R111))),0)</f>
        <v>0</v>
      </c>
      <c r="V111" s="8" t="s">
        <v>46</v>
      </c>
      <c r="W111" s="8" t="s">
        <v>66</v>
      </c>
    </row>
    <row r="112" customFormat="false" ht="15" hidden="false" customHeight="false" outlineLevel="0" collapsed="false">
      <c r="A112" s="8" t="s">
        <v>873</v>
      </c>
      <c r="B112" s="8" t="n">
        <v>3</v>
      </c>
      <c r="C112" s="8" t="s">
        <v>411</v>
      </c>
      <c r="D112" s="8" t="s">
        <v>714</v>
      </c>
      <c r="E112" s="8" t="s">
        <v>863</v>
      </c>
      <c r="F112" s="8" t="n">
        <v>5</v>
      </c>
      <c r="G112" s="8" t="s">
        <v>864</v>
      </c>
      <c r="H112" s="8" t="s">
        <v>865</v>
      </c>
      <c r="I112" s="27" t="s">
        <v>874</v>
      </c>
      <c r="J112" s="8" t="s">
        <v>109</v>
      </c>
      <c r="K112" s="8" t="s">
        <v>112</v>
      </c>
      <c r="L112" s="8"/>
      <c r="M112" s="8" t="str">
        <f aca="false">IF(K112="FUERA","Fuera del marco",IF(K112="N/A","Sin marco",IFERROR(INDEX(Catalogo_TIMSS!$C$5:$C$105,MATCH(K112,Catalogo_TIMSS!$A$5:$A$105,0)),"Pendiente de clasificar")))</f>
        <v>Ciencias de la vida</v>
      </c>
      <c r="N112" s="8" t="str">
        <f aca="false">IF(K112="FUERA","Fuera del marco",IF(K112="N/A","Sin marco",IFERROR(INDEX(Catalogo_TIMSS!$F$5:$F$105,MATCH(K112,Catalogo_TIMSS!$A$5:$A$105,0)),"Pendiente de clasificar")))</f>
        <v>Características y procesos vitales de los organismos</v>
      </c>
      <c r="O112" s="8" t="str">
        <f aca="false">IF(L112="","",IFERROR(INDEX(Catalogo_TIMSS!$C$5:$C$105,MATCH(L112,Catalogo_TIMSS!$A$5:$A$105,0)),"?"))</f>
        <v/>
      </c>
      <c r="P112" s="8" t="s">
        <v>460</v>
      </c>
      <c r="Q112" s="27" t="s">
        <v>875</v>
      </c>
      <c r="R112" s="27" t="s">
        <v>429</v>
      </c>
      <c r="S112" s="28" t="n">
        <f aca="false">IFERROR(ISNUMBER(SEARCH("Conocer",$R112))/(ISNUMBER(SEARCH("Conocer",$R112))+ISNUMBER(SEARCH("Aplicar",$R112))+ISNUMBER(SEARCH("Razonar",$R112))),0)</f>
        <v>0</v>
      </c>
      <c r="T112" s="28" t="n">
        <f aca="false">IFERROR(ISNUMBER(SEARCH("Aplicar",$R112))/(ISNUMBER(SEARCH("Conocer",$R112))+ISNUMBER(SEARCH("Aplicar",$R112))+ISNUMBER(SEARCH("Razonar",$R112))),0)</f>
        <v>1</v>
      </c>
      <c r="U112" s="28" t="n">
        <f aca="false">IFERROR(ISNUMBER(SEARCH("Razonar",$R112))/(ISNUMBER(SEARCH("Conocer",$R112))+ISNUMBER(SEARCH("Aplicar",$R112))+ISNUMBER(SEARCH("Razonar",$R112))),0)</f>
        <v>0</v>
      </c>
      <c r="V112" s="8" t="s">
        <v>46</v>
      </c>
      <c r="W112" s="8" t="s">
        <v>66</v>
      </c>
    </row>
    <row r="113" customFormat="false" ht="15" hidden="false" customHeight="false" outlineLevel="0" collapsed="false">
      <c r="A113" s="8" t="s">
        <v>876</v>
      </c>
      <c r="B113" s="8" t="n">
        <v>3</v>
      </c>
      <c r="C113" s="8" t="s">
        <v>411</v>
      </c>
      <c r="D113" s="8" t="s">
        <v>714</v>
      </c>
      <c r="E113" s="8" t="s">
        <v>863</v>
      </c>
      <c r="F113" s="8" t="n">
        <v>6</v>
      </c>
      <c r="G113" s="8" t="s">
        <v>864</v>
      </c>
      <c r="H113" s="8" t="s">
        <v>865</v>
      </c>
      <c r="I113" s="27" t="s">
        <v>877</v>
      </c>
      <c r="J113" s="8" t="s">
        <v>109</v>
      </c>
      <c r="K113" s="8" t="s">
        <v>112</v>
      </c>
      <c r="L113" s="8" t="s">
        <v>114</v>
      </c>
      <c r="M113" s="8" t="str">
        <f aca="false">IF(K113="FUERA","Fuera del marco",IF(K113="N/A","Sin marco",IFERROR(INDEX(Catalogo_TIMSS!$C$5:$C$105,MATCH(K113,Catalogo_TIMSS!$A$5:$A$105,0)),"Pendiente de clasificar")))</f>
        <v>Ciencias de la vida</v>
      </c>
      <c r="N113" s="8" t="str">
        <f aca="false">IF(K113="FUERA","Fuera del marco",IF(K113="N/A","Sin marco",IFERROR(INDEX(Catalogo_TIMSS!$F$5:$F$105,MATCH(K113,Catalogo_TIMSS!$A$5:$A$105,0)),"Pendiente de clasificar")))</f>
        <v>Características y procesos vitales de los organismos</v>
      </c>
      <c r="O113" s="8" t="str">
        <f aca="false">IF(L113="","",IFERROR(INDEX(Catalogo_TIMSS!$C$5:$C$105,MATCH(L113,Catalogo_TIMSS!$A$5:$A$105,0)),"?"))</f>
        <v>Ciencias de la vida</v>
      </c>
      <c r="P113" s="8" t="s">
        <v>460</v>
      </c>
      <c r="Q113" s="27" t="s">
        <v>878</v>
      </c>
      <c r="R113" s="27" t="s">
        <v>879</v>
      </c>
      <c r="S113" s="28" t="n">
        <f aca="false">IFERROR(ISNUMBER(SEARCH("Conocer",$R113))/(ISNUMBER(SEARCH("Conocer",$R113))+ISNUMBER(SEARCH("Aplicar",$R113))+ISNUMBER(SEARCH("Razonar",$R113))),0)</f>
        <v>0</v>
      </c>
      <c r="T113" s="28" t="n">
        <f aca="false">IFERROR(ISNUMBER(SEARCH("Aplicar",$R113))/(ISNUMBER(SEARCH("Conocer",$R113))+ISNUMBER(SEARCH("Aplicar",$R113))+ISNUMBER(SEARCH("Razonar",$R113))),0)</f>
        <v>1</v>
      </c>
      <c r="U113" s="28" t="n">
        <f aca="false">IFERROR(ISNUMBER(SEARCH("Razonar",$R113))/(ISNUMBER(SEARCH("Conocer",$R113))+ISNUMBER(SEARCH("Aplicar",$R113))+ISNUMBER(SEARCH("Razonar",$R113))),0)</f>
        <v>0</v>
      </c>
      <c r="V113" s="8" t="s">
        <v>46</v>
      </c>
      <c r="W113" s="8" t="s">
        <v>66</v>
      </c>
    </row>
    <row r="114" customFormat="false" ht="15" hidden="false" customHeight="false" outlineLevel="0" collapsed="false">
      <c r="A114" s="8" t="s">
        <v>880</v>
      </c>
      <c r="B114" s="8" t="n">
        <v>3</v>
      </c>
      <c r="C114" s="8" t="s">
        <v>411</v>
      </c>
      <c r="D114" s="8" t="s">
        <v>714</v>
      </c>
      <c r="E114" s="8" t="s">
        <v>863</v>
      </c>
      <c r="F114" s="8" t="n">
        <v>7</v>
      </c>
      <c r="G114" s="8" t="s">
        <v>864</v>
      </c>
      <c r="H114" s="8" t="s">
        <v>881</v>
      </c>
      <c r="I114" s="27" t="s">
        <v>882</v>
      </c>
      <c r="J114" s="8" t="s">
        <v>109</v>
      </c>
      <c r="K114" s="8" t="s">
        <v>112</v>
      </c>
      <c r="L114" s="8"/>
      <c r="M114" s="8" t="str">
        <f aca="false">IF(K114="FUERA","Fuera del marco",IF(K114="N/A","Sin marco",IFERROR(INDEX(Catalogo_TIMSS!$C$5:$C$105,MATCH(K114,Catalogo_TIMSS!$A$5:$A$105,0)),"Pendiente de clasificar")))</f>
        <v>Ciencias de la vida</v>
      </c>
      <c r="N114" s="8" t="str">
        <f aca="false">IF(K114="FUERA","Fuera del marco",IF(K114="N/A","Sin marco",IFERROR(INDEX(Catalogo_TIMSS!$F$5:$F$105,MATCH(K114,Catalogo_TIMSS!$A$5:$A$105,0)),"Pendiente de clasificar")))</f>
        <v>Características y procesos vitales de los organismos</v>
      </c>
      <c r="O114" s="8" t="str">
        <f aca="false">IF(L114="","",IFERROR(INDEX(Catalogo_TIMSS!$C$5:$C$105,MATCH(L114,Catalogo_TIMSS!$A$5:$A$105,0)),"?"))</f>
        <v/>
      </c>
      <c r="P114" s="8" t="s">
        <v>418</v>
      </c>
      <c r="Q114" s="27" t="s">
        <v>883</v>
      </c>
      <c r="R114" s="27" t="s">
        <v>587</v>
      </c>
      <c r="S114" s="28" t="n">
        <f aca="false">IFERROR(ISNUMBER(SEARCH("Conocer",$R114))/(ISNUMBER(SEARCH("Conocer",$R114))+ISNUMBER(SEARCH("Aplicar",$R114))+ISNUMBER(SEARCH("Razonar",$R114))),0)</f>
        <v>0</v>
      </c>
      <c r="T114" s="28" t="n">
        <f aca="false">IFERROR(ISNUMBER(SEARCH("Aplicar",$R114))/(ISNUMBER(SEARCH("Conocer",$R114))+ISNUMBER(SEARCH("Aplicar",$R114))+ISNUMBER(SEARCH("Razonar",$R114))),0)</f>
        <v>1</v>
      </c>
      <c r="U114" s="28" t="n">
        <f aca="false">IFERROR(ISNUMBER(SEARCH("Razonar",$R114))/(ISNUMBER(SEARCH("Conocer",$R114))+ISNUMBER(SEARCH("Aplicar",$R114))+ISNUMBER(SEARCH("Razonar",$R114))),0)</f>
        <v>0</v>
      </c>
      <c r="V114" s="8" t="s">
        <v>46</v>
      </c>
      <c r="W114" s="8" t="s">
        <v>66</v>
      </c>
    </row>
    <row r="115" customFormat="false" ht="15" hidden="false" customHeight="false" outlineLevel="0" collapsed="false">
      <c r="A115" s="8" t="s">
        <v>884</v>
      </c>
      <c r="B115" s="8" t="n">
        <v>3</v>
      </c>
      <c r="C115" s="8" t="s">
        <v>411</v>
      </c>
      <c r="D115" s="8" t="s">
        <v>714</v>
      </c>
      <c r="E115" s="8" t="s">
        <v>863</v>
      </c>
      <c r="F115" s="8" t="n">
        <v>8</v>
      </c>
      <c r="G115" s="8" t="s">
        <v>864</v>
      </c>
      <c r="H115" s="8" t="s">
        <v>881</v>
      </c>
      <c r="I115" s="27" t="s">
        <v>885</v>
      </c>
      <c r="J115" s="8" t="s">
        <v>109</v>
      </c>
      <c r="K115" s="8" t="s">
        <v>112</v>
      </c>
      <c r="L115" s="8"/>
      <c r="M115" s="8" t="str">
        <f aca="false">IF(K115="FUERA","Fuera del marco",IF(K115="N/A","Sin marco",IFERROR(INDEX(Catalogo_TIMSS!$C$5:$C$105,MATCH(K115,Catalogo_TIMSS!$A$5:$A$105,0)),"Pendiente de clasificar")))</f>
        <v>Ciencias de la vida</v>
      </c>
      <c r="N115" s="8" t="str">
        <f aca="false">IF(K115="FUERA","Fuera del marco",IF(K115="N/A","Sin marco",IFERROR(INDEX(Catalogo_TIMSS!$F$5:$F$105,MATCH(K115,Catalogo_TIMSS!$A$5:$A$105,0)),"Pendiente de clasificar")))</f>
        <v>Características y procesos vitales de los organismos</v>
      </c>
      <c r="O115" s="8" t="str">
        <f aca="false">IF(L115="","",IFERROR(INDEX(Catalogo_TIMSS!$C$5:$C$105,MATCH(L115,Catalogo_TIMSS!$A$5:$A$105,0)),"?"))</f>
        <v/>
      </c>
      <c r="P115" s="8" t="s">
        <v>418</v>
      </c>
      <c r="Q115" s="27" t="s">
        <v>886</v>
      </c>
      <c r="R115" s="27" t="s">
        <v>429</v>
      </c>
      <c r="S115" s="28" t="n">
        <f aca="false">IFERROR(ISNUMBER(SEARCH("Conocer",$R115))/(ISNUMBER(SEARCH("Conocer",$R115))+ISNUMBER(SEARCH("Aplicar",$R115))+ISNUMBER(SEARCH("Razonar",$R115))),0)</f>
        <v>0</v>
      </c>
      <c r="T115" s="28" t="n">
        <f aca="false">IFERROR(ISNUMBER(SEARCH("Aplicar",$R115))/(ISNUMBER(SEARCH("Conocer",$R115))+ISNUMBER(SEARCH("Aplicar",$R115))+ISNUMBER(SEARCH("Razonar",$R115))),0)</f>
        <v>1</v>
      </c>
      <c r="U115" s="28" t="n">
        <f aca="false">IFERROR(ISNUMBER(SEARCH("Razonar",$R115))/(ISNUMBER(SEARCH("Conocer",$R115))+ISNUMBER(SEARCH("Aplicar",$R115))+ISNUMBER(SEARCH("Razonar",$R115))),0)</f>
        <v>0</v>
      </c>
      <c r="V115" s="8" t="s">
        <v>46</v>
      </c>
      <c r="W115" s="8" t="s">
        <v>66</v>
      </c>
    </row>
    <row r="116" customFormat="false" ht="15" hidden="false" customHeight="false" outlineLevel="0" collapsed="false">
      <c r="A116" s="8" t="s">
        <v>887</v>
      </c>
      <c r="B116" s="8" t="n">
        <v>3</v>
      </c>
      <c r="C116" s="8" t="s">
        <v>411</v>
      </c>
      <c r="D116" s="8" t="s">
        <v>714</v>
      </c>
      <c r="E116" s="8" t="s">
        <v>863</v>
      </c>
      <c r="F116" s="8" t="n">
        <v>9</v>
      </c>
      <c r="G116" s="8" t="s">
        <v>864</v>
      </c>
      <c r="H116" s="8" t="s">
        <v>888</v>
      </c>
      <c r="I116" s="27" t="s">
        <v>889</v>
      </c>
      <c r="J116" s="8" t="s">
        <v>109</v>
      </c>
      <c r="K116" s="8" t="s">
        <v>124</v>
      </c>
      <c r="L116" s="8"/>
      <c r="M116" s="8" t="str">
        <f aca="false">IF(K116="FUERA","Fuera del marco",IF(K116="N/A","Sin marco",IFERROR(INDEX(Catalogo_TIMSS!$C$5:$C$105,MATCH(K116,Catalogo_TIMSS!$A$5:$A$105,0)),"Pendiente de clasificar")))</f>
        <v>Ciencias de la vida</v>
      </c>
      <c r="N116" s="8" t="str">
        <f aca="false">IF(K116="FUERA","Fuera del marco",IF(K116="N/A","Sin marco",IFERROR(INDEX(Catalogo_TIMSS!$F$5:$F$105,MATCH(K116,Catalogo_TIMSS!$A$5:$A$105,0)),"Pendiente de clasificar")))</f>
        <v>Organismos, ambiente y sus interacciones</v>
      </c>
      <c r="O116" s="8" t="str">
        <f aca="false">IF(L116="","",IFERROR(INDEX(Catalogo_TIMSS!$C$5:$C$105,MATCH(L116,Catalogo_TIMSS!$A$5:$A$105,0)),"?"))</f>
        <v/>
      </c>
      <c r="P116" s="8" t="s">
        <v>418</v>
      </c>
      <c r="Q116" s="27" t="s">
        <v>890</v>
      </c>
      <c r="R116" s="27" t="s">
        <v>600</v>
      </c>
      <c r="S116" s="28" t="n">
        <f aca="false">IFERROR(ISNUMBER(SEARCH("Conocer",$R116))/(ISNUMBER(SEARCH("Conocer",$R116))+ISNUMBER(SEARCH("Aplicar",$R116))+ISNUMBER(SEARCH("Razonar",$R116))),0)</f>
        <v>0.5</v>
      </c>
      <c r="T116" s="28" t="n">
        <f aca="false">IFERROR(ISNUMBER(SEARCH("Aplicar",$R116))/(ISNUMBER(SEARCH("Conocer",$R116))+ISNUMBER(SEARCH("Aplicar",$R116))+ISNUMBER(SEARCH("Razonar",$R116))),0)</f>
        <v>0.5</v>
      </c>
      <c r="U116" s="28" t="n">
        <f aca="false">IFERROR(ISNUMBER(SEARCH("Razonar",$R116))/(ISNUMBER(SEARCH("Conocer",$R116))+ISNUMBER(SEARCH("Aplicar",$R116))+ISNUMBER(SEARCH("Razonar",$R116))),0)</f>
        <v>0</v>
      </c>
      <c r="V116" s="8" t="s">
        <v>46</v>
      </c>
      <c r="W116" s="8" t="s">
        <v>66</v>
      </c>
    </row>
    <row r="117" customFormat="false" ht="15" hidden="false" customHeight="false" outlineLevel="0" collapsed="false">
      <c r="A117" s="8" t="s">
        <v>891</v>
      </c>
      <c r="B117" s="8" t="n">
        <v>3</v>
      </c>
      <c r="C117" s="8" t="s">
        <v>411</v>
      </c>
      <c r="D117" s="8" t="s">
        <v>714</v>
      </c>
      <c r="E117" s="8" t="s">
        <v>863</v>
      </c>
      <c r="F117" s="8" t="n">
        <v>10</v>
      </c>
      <c r="G117" s="8" t="s">
        <v>864</v>
      </c>
      <c r="H117" s="8" t="s">
        <v>888</v>
      </c>
      <c r="I117" s="27" t="s">
        <v>892</v>
      </c>
      <c r="J117" s="8" t="s">
        <v>109</v>
      </c>
      <c r="K117" s="8" t="s">
        <v>124</v>
      </c>
      <c r="L117" s="8"/>
      <c r="M117" s="8" t="str">
        <f aca="false">IF(K117="FUERA","Fuera del marco",IF(K117="N/A","Sin marco",IFERROR(INDEX(Catalogo_TIMSS!$C$5:$C$105,MATCH(K117,Catalogo_TIMSS!$A$5:$A$105,0)),"Pendiente de clasificar")))</f>
        <v>Ciencias de la vida</v>
      </c>
      <c r="N117" s="8" t="str">
        <f aca="false">IF(K117="FUERA","Fuera del marco",IF(K117="N/A","Sin marco",IFERROR(INDEX(Catalogo_TIMSS!$F$5:$F$105,MATCH(K117,Catalogo_TIMSS!$A$5:$A$105,0)),"Pendiente de clasificar")))</f>
        <v>Organismos, ambiente y sus interacciones</v>
      </c>
      <c r="O117" s="8" t="str">
        <f aca="false">IF(L117="","",IFERROR(INDEX(Catalogo_TIMSS!$C$5:$C$105,MATCH(L117,Catalogo_TIMSS!$A$5:$A$105,0)),"?"))</f>
        <v/>
      </c>
      <c r="P117" s="8" t="s">
        <v>418</v>
      </c>
      <c r="Q117" s="27" t="s">
        <v>893</v>
      </c>
      <c r="R117" s="27" t="s">
        <v>894</v>
      </c>
      <c r="S117" s="28" t="n">
        <f aca="false">IFERROR(ISNUMBER(SEARCH("Conocer",$R117))/(ISNUMBER(SEARCH("Conocer",$R117))+ISNUMBER(SEARCH("Aplicar",$R117))+ISNUMBER(SEARCH("Razonar",$R117))),0)</f>
        <v>0</v>
      </c>
      <c r="T117" s="28" t="n">
        <f aca="false">IFERROR(ISNUMBER(SEARCH("Aplicar",$R117))/(ISNUMBER(SEARCH("Conocer",$R117))+ISNUMBER(SEARCH("Aplicar",$R117))+ISNUMBER(SEARCH("Razonar",$R117))),0)</f>
        <v>0</v>
      </c>
      <c r="U117" s="28" t="n">
        <f aca="false">IFERROR(ISNUMBER(SEARCH("Razonar",$R117))/(ISNUMBER(SEARCH("Conocer",$R117))+ISNUMBER(SEARCH("Aplicar",$R117))+ISNUMBER(SEARCH("Razonar",$R117))),0)</f>
        <v>1</v>
      </c>
      <c r="V117" s="8" t="s">
        <v>46</v>
      </c>
      <c r="W117" s="8" t="s">
        <v>66</v>
      </c>
    </row>
    <row r="118" customFormat="false" ht="15" hidden="false" customHeight="false" outlineLevel="0" collapsed="false">
      <c r="A118" s="8" t="s">
        <v>895</v>
      </c>
      <c r="B118" s="8" t="n">
        <v>3</v>
      </c>
      <c r="C118" s="8" t="s">
        <v>411</v>
      </c>
      <c r="D118" s="8" t="s">
        <v>714</v>
      </c>
      <c r="E118" s="8" t="s">
        <v>863</v>
      </c>
      <c r="F118" s="8" t="n">
        <v>11</v>
      </c>
      <c r="G118" s="8" t="s">
        <v>864</v>
      </c>
      <c r="H118" s="8" t="s">
        <v>888</v>
      </c>
      <c r="I118" s="27" t="s">
        <v>896</v>
      </c>
      <c r="J118" s="8" t="s">
        <v>109</v>
      </c>
      <c r="K118" s="8" t="s">
        <v>124</v>
      </c>
      <c r="L118" s="8"/>
      <c r="M118" s="8" t="str">
        <f aca="false">IF(K118="FUERA","Fuera del marco",IF(K118="N/A","Sin marco",IFERROR(INDEX(Catalogo_TIMSS!$C$5:$C$105,MATCH(K118,Catalogo_TIMSS!$A$5:$A$105,0)),"Pendiente de clasificar")))</f>
        <v>Ciencias de la vida</v>
      </c>
      <c r="N118" s="8" t="str">
        <f aca="false">IF(K118="FUERA","Fuera del marco",IF(K118="N/A","Sin marco",IFERROR(INDEX(Catalogo_TIMSS!$F$5:$F$105,MATCH(K118,Catalogo_TIMSS!$A$5:$A$105,0)),"Pendiente de clasificar")))</f>
        <v>Organismos, ambiente y sus interacciones</v>
      </c>
      <c r="O118" s="8" t="str">
        <f aca="false">IF(L118="","",IFERROR(INDEX(Catalogo_TIMSS!$C$5:$C$105,MATCH(L118,Catalogo_TIMSS!$A$5:$A$105,0)),"?"))</f>
        <v/>
      </c>
      <c r="P118" s="8" t="s">
        <v>418</v>
      </c>
      <c r="Q118" s="27" t="s">
        <v>897</v>
      </c>
      <c r="R118" s="27" t="s">
        <v>848</v>
      </c>
      <c r="S118" s="28" t="n">
        <f aca="false">IFERROR(ISNUMBER(SEARCH("Conocer",$R118))/(ISNUMBER(SEARCH("Conocer",$R118))+ISNUMBER(SEARCH("Aplicar",$R118))+ISNUMBER(SEARCH("Razonar",$R118))),0)</f>
        <v>0</v>
      </c>
      <c r="T118" s="28" t="n">
        <f aca="false">IFERROR(ISNUMBER(SEARCH("Aplicar",$R118))/(ISNUMBER(SEARCH("Conocer",$R118))+ISNUMBER(SEARCH("Aplicar",$R118))+ISNUMBER(SEARCH("Razonar",$R118))),0)</f>
        <v>0.5</v>
      </c>
      <c r="U118" s="28" t="n">
        <f aca="false">IFERROR(ISNUMBER(SEARCH("Razonar",$R118))/(ISNUMBER(SEARCH("Conocer",$R118))+ISNUMBER(SEARCH("Aplicar",$R118))+ISNUMBER(SEARCH("Razonar",$R118))),0)</f>
        <v>0.5</v>
      </c>
      <c r="V118" s="8" t="s">
        <v>46</v>
      </c>
      <c r="W118" s="8" t="s">
        <v>66</v>
      </c>
    </row>
    <row r="119" customFormat="false" ht="15" hidden="false" customHeight="false" outlineLevel="0" collapsed="false">
      <c r="A119" s="8" t="s">
        <v>898</v>
      </c>
      <c r="B119" s="8" t="n">
        <v>3</v>
      </c>
      <c r="C119" s="8" t="s">
        <v>411</v>
      </c>
      <c r="D119" s="8" t="s">
        <v>714</v>
      </c>
      <c r="E119" s="8" t="s">
        <v>899</v>
      </c>
      <c r="F119" s="8" t="n">
        <v>3</v>
      </c>
      <c r="G119" s="8" t="s">
        <v>900</v>
      </c>
      <c r="H119" s="8" t="s">
        <v>901</v>
      </c>
      <c r="I119" s="27" t="s">
        <v>902</v>
      </c>
      <c r="J119" s="8" t="s">
        <v>109</v>
      </c>
      <c r="K119" s="8" t="s">
        <v>112</v>
      </c>
      <c r="L119" s="8"/>
      <c r="M119" s="8" t="str">
        <f aca="false">IF(K119="FUERA","Fuera del marco",IF(K119="N/A","Sin marco",IFERROR(INDEX(Catalogo_TIMSS!$C$5:$C$105,MATCH(K119,Catalogo_TIMSS!$A$5:$A$105,0)),"Pendiente de clasificar")))</f>
        <v>Ciencias de la vida</v>
      </c>
      <c r="N119" s="8" t="str">
        <f aca="false">IF(K119="FUERA","Fuera del marco",IF(K119="N/A","Sin marco",IFERROR(INDEX(Catalogo_TIMSS!$F$5:$F$105,MATCH(K119,Catalogo_TIMSS!$A$5:$A$105,0)),"Pendiente de clasificar")))</f>
        <v>Características y procesos vitales de los organismos</v>
      </c>
      <c r="O119" s="8" t="str">
        <f aca="false">IF(L119="","",IFERROR(INDEX(Catalogo_TIMSS!$C$5:$C$105,MATCH(L119,Catalogo_TIMSS!$A$5:$A$105,0)),"?"))</f>
        <v/>
      </c>
      <c r="P119" s="8" t="s">
        <v>460</v>
      </c>
      <c r="Q119" s="27" t="s">
        <v>903</v>
      </c>
      <c r="R119" s="27" t="s">
        <v>904</v>
      </c>
      <c r="S119" s="28" t="n">
        <f aca="false">IFERROR(ISNUMBER(SEARCH("Conocer",$R119))/(ISNUMBER(SEARCH("Conocer",$R119))+ISNUMBER(SEARCH("Aplicar",$R119))+ISNUMBER(SEARCH("Razonar",$R119))),0)</f>
        <v>0</v>
      </c>
      <c r="T119" s="28" t="n">
        <f aca="false">IFERROR(ISNUMBER(SEARCH("Aplicar",$R119))/(ISNUMBER(SEARCH("Conocer",$R119))+ISNUMBER(SEARCH("Aplicar",$R119))+ISNUMBER(SEARCH("Razonar",$R119))),0)</f>
        <v>1</v>
      </c>
      <c r="U119" s="28" t="n">
        <f aca="false">IFERROR(ISNUMBER(SEARCH("Razonar",$R119))/(ISNUMBER(SEARCH("Conocer",$R119))+ISNUMBER(SEARCH("Aplicar",$R119))+ISNUMBER(SEARCH("Razonar",$R119))),0)</f>
        <v>0</v>
      </c>
      <c r="V119" s="8" t="s">
        <v>46</v>
      </c>
      <c r="W119" s="8" t="s">
        <v>66</v>
      </c>
    </row>
    <row r="120" customFormat="false" ht="15" hidden="false" customHeight="false" outlineLevel="0" collapsed="false">
      <c r="A120" s="8" t="s">
        <v>905</v>
      </c>
      <c r="B120" s="8" t="n">
        <v>3</v>
      </c>
      <c r="C120" s="8" t="s">
        <v>411</v>
      </c>
      <c r="D120" s="8" t="s">
        <v>714</v>
      </c>
      <c r="E120" s="8" t="s">
        <v>899</v>
      </c>
      <c r="F120" s="8" t="n">
        <v>4</v>
      </c>
      <c r="G120" s="8" t="s">
        <v>900</v>
      </c>
      <c r="H120" s="8" t="s">
        <v>901</v>
      </c>
      <c r="I120" s="27" t="s">
        <v>906</v>
      </c>
      <c r="J120" s="8" t="s">
        <v>109</v>
      </c>
      <c r="K120" s="8" t="s">
        <v>116</v>
      </c>
      <c r="L120" s="8"/>
      <c r="M120" s="8" t="str">
        <f aca="false">IF(K120="FUERA","Fuera del marco",IF(K120="N/A","Sin marco",IFERROR(INDEX(Catalogo_TIMSS!$C$5:$C$105,MATCH(K120,Catalogo_TIMSS!$A$5:$A$105,0)),"Pendiente de clasificar")))</f>
        <v>Ciencias de la vida</v>
      </c>
      <c r="N120" s="8" t="str">
        <f aca="false">IF(K120="FUERA","Fuera del marco",IF(K120="N/A","Sin marco",IFERROR(INDEX(Catalogo_TIMSS!$F$5:$F$105,MATCH(K120,Catalogo_TIMSS!$A$5:$A$105,0)),"Pendiente de clasificar")))</f>
        <v>Ciclos de vida, reproducción y herencia</v>
      </c>
      <c r="O120" s="8" t="str">
        <f aca="false">IF(L120="","",IFERROR(INDEX(Catalogo_TIMSS!$C$5:$C$105,MATCH(L120,Catalogo_TIMSS!$A$5:$A$105,0)),"?"))</f>
        <v/>
      </c>
      <c r="P120" s="8" t="s">
        <v>418</v>
      </c>
      <c r="Q120" s="27" t="s">
        <v>907</v>
      </c>
      <c r="R120" s="27" t="s">
        <v>908</v>
      </c>
      <c r="S120" s="28" t="n">
        <f aca="false">IFERROR(ISNUMBER(SEARCH("Conocer",$R120))/(ISNUMBER(SEARCH("Conocer",$R120))+ISNUMBER(SEARCH("Aplicar",$R120))+ISNUMBER(SEARCH("Razonar",$R120))),0)</f>
        <v>1</v>
      </c>
      <c r="T120" s="28" t="n">
        <f aca="false">IFERROR(ISNUMBER(SEARCH("Aplicar",$R120))/(ISNUMBER(SEARCH("Conocer",$R120))+ISNUMBER(SEARCH("Aplicar",$R120))+ISNUMBER(SEARCH("Razonar",$R120))),0)</f>
        <v>0</v>
      </c>
      <c r="U120" s="28" t="n">
        <f aca="false">IFERROR(ISNUMBER(SEARCH("Razonar",$R120))/(ISNUMBER(SEARCH("Conocer",$R120))+ISNUMBER(SEARCH("Aplicar",$R120))+ISNUMBER(SEARCH("Razonar",$R120))),0)</f>
        <v>0</v>
      </c>
      <c r="V120" s="8" t="s">
        <v>46</v>
      </c>
      <c r="W120" s="8" t="s">
        <v>66</v>
      </c>
    </row>
    <row r="121" customFormat="false" ht="15" hidden="false" customHeight="false" outlineLevel="0" collapsed="false">
      <c r="A121" s="8" t="s">
        <v>909</v>
      </c>
      <c r="B121" s="8" t="n">
        <v>3</v>
      </c>
      <c r="C121" s="8" t="s">
        <v>411</v>
      </c>
      <c r="D121" s="8" t="s">
        <v>714</v>
      </c>
      <c r="E121" s="8" t="s">
        <v>899</v>
      </c>
      <c r="F121" s="8" t="n">
        <v>5</v>
      </c>
      <c r="G121" s="8" t="s">
        <v>900</v>
      </c>
      <c r="H121" s="8" t="s">
        <v>901</v>
      </c>
      <c r="I121" s="27" t="s">
        <v>910</v>
      </c>
      <c r="J121" s="8" t="s">
        <v>109</v>
      </c>
      <c r="K121" s="8" t="s">
        <v>124</v>
      </c>
      <c r="L121" s="8"/>
      <c r="M121" s="8" t="str">
        <f aca="false">IF(K121="FUERA","Fuera del marco",IF(K121="N/A","Sin marco",IFERROR(INDEX(Catalogo_TIMSS!$C$5:$C$105,MATCH(K121,Catalogo_TIMSS!$A$5:$A$105,0)),"Pendiente de clasificar")))</f>
        <v>Ciencias de la vida</v>
      </c>
      <c r="N121" s="8" t="str">
        <f aca="false">IF(K121="FUERA","Fuera del marco",IF(K121="N/A","Sin marco",IFERROR(INDEX(Catalogo_TIMSS!$F$5:$F$105,MATCH(K121,Catalogo_TIMSS!$A$5:$A$105,0)),"Pendiente de clasificar")))</f>
        <v>Organismos, ambiente y sus interacciones</v>
      </c>
      <c r="O121" s="8" t="str">
        <f aca="false">IF(L121="","",IFERROR(INDEX(Catalogo_TIMSS!$C$5:$C$105,MATCH(L121,Catalogo_TIMSS!$A$5:$A$105,0)),"?"))</f>
        <v/>
      </c>
      <c r="P121" s="8" t="s">
        <v>418</v>
      </c>
      <c r="Q121" s="27" t="s">
        <v>911</v>
      </c>
      <c r="R121" s="27" t="s">
        <v>912</v>
      </c>
      <c r="S121" s="28" t="n">
        <f aca="false">IFERROR(ISNUMBER(SEARCH("Conocer",$R121))/(ISNUMBER(SEARCH("Conocer",$R121))+ISNUMBER(SEARCH("Aplicar",$R121))+ISNUMBER(SEARCH("Razonar",$R121))),0)</f>
        <v>0</v>
      </c>
      <c r="T121" s="28" t="n">
        <f aca="false">IFERROR(ISNUMBER(SEARCH("Aplicar",$R121))/(ISNUMBER(SEARCH("Conocer",$R121))+ISNUMBER(SEARCH("Aplicar",$R121))+ISNUMBER(SEARCH("Razonar",$R121))),0)</f>
        <v>0</v>
      </c>
      <c r="U121" s="28" t="n">
        <f aca="false">IFERROR(ISNUMBER(SEARCH("Razonar",$R121))/(ISNUMBER(SEARCH("Conocer",$R121))+ISNUMBER(SEARCH("Aplicar",$R121))+ISNUMBER(SEARCH("Razonar",$R121))),0)</f>
        <v>1</v>
      </c>
      <c r="V121" s="8" t="s">
        <v>46</v>
      </c>
      <c r="W121" s="8" t="s">
        <v>66</v>
      </c>
    </row>
    <row r="122" customFormat="false" ht="15" hidden="false" customHeight="false" outlineLevel="0" collapsed="false">
      <c r="A122" s="8" t="s">
        <v>913</v>
      </c>
      <c r="B122" s="8" t="n">
        <v>3</v>
      </c>
      <c r="C122" s="8" t="s">
        <v>411</v>
      </c>
      <c r="D122" s="8" t="s">
        <v>714</v>
      </c>
      <c r="E122" s="8" t="s">
        <v>899</v>
      </c>
      <c r="F122" s="8" t="n">
        <v>6</v>
      </c>
      <c r="G122" s="8" t="s">
        <v>900</v>
      </c>
      <c r="H122" s="8" t="s">
        <v>901</v>
      </c>
      <c r="I122" s="27" t="s">
        <v>914</v>
      </c>
      <c r="J122" s="8" t="s">
        <v>109</v>
      </c>
      <c r="K122" s="8" t="s">
        <v>114</v>
      </c>
      <c r="L122" s="8" t="s">
        <v>112</v>
      </c>
      <c r="M122" s="8" t="str">
        <f aca="false">IF(K122="FUERA","Fuera del marco",IF(K122="N/A","Sin marco",IFERROR(INDEX(Catalogo_TIMSS!$C$5:$C$105,MATCH(K122,Catalogo_TIMSS!$A$5:$A$105,0)),"Pendiente de clasificar")))</f>
        <v>Ciencias de la vida</v>
      </c>
      <c r="N122" s="8" t="str">
        <f aca="false">IF(K122="FUERA","Fuera del marco",IF(K122="N/A","Sin marco",IFERROR(INDEX(Catalogo_TIMSS!$F$5:$F$105,MATCH(K122,Catalogo_TIMSS!$A$5:$A$105,0)),"Pendiente de clasificar")))</f>
        <v>Características y procesos vitales de los organismos</v>
      </c>
      <c r="O122" s="8" t="str">
        <f aca="false">IF(L122="","",IFERROR(INDEX(Catalogo_TIMSS!$C$5:$C$105,MATCH(L122,Catalogo_TIMSS!$A$5:$A$105,0)),"?"))</f>
        <v>Ciencias de la vida</v>
      </c>
      <c r="P122" s="8" t="s">
        <v>460</v>
      </c>
      <c r="Q122" s="27" t="s">
        <v>915</v>
      </c>
      <c r="R122" s="27" t="s">
        <v>916</v>
      </c>
      <c r="S122" s="28" t="n">
        <f aca="false">IFERROR(ISNUMBER(SEARCH("Conocer",$R122))/(ISNUMBER(SEARCH("Conocer",$R122))+ISNUMBER(SEARCH("Aplicar",$R122))+ISNUMBER(SEARCH("Razonar",$R122))),0)</f>
        <v>0.5</v>
      </c>
      <c r="T122" s="28" t="n">
        <f aca="false">IFERROR(ISNUMBER(SEARCH("Aplicar",$R122))/(ISNUMBER(SEARCH("Conocer",$R122))+ISNUMBER(SEARCH("Aplicar",$R122))+ISNUMBER(SEARCH("Razonar",$R122))),0)</f>
        <v>0.5</v>
      </c>
      <c r="U122" s="28" t="n">
        <f aca="false">IFERROR(ISNUMBER(SEARCH("Razonar",$R122))/(ISNUMBER(SEARCH("Conocer",$R122))+ISNUMBER(SEARCH("Aplicar",$R122))+ISNUMBER(SEARCH("Razonar",$R122))),0)</f>
        <v>0</v>
      </c>
      <c r="V122" s="8" t="s">
        <v>46</v>
      </c>
      <c r="W122" s="8" t="s">
        <v>66</v>
      </c>
    </row>
    <row r="123" customFormat="false" ht="15" hidden="false" customHeight="false" outlineLevel="0" collapsed="false">
      <c r="A123" s="8" t="s">
        <v>917</v>
      </c>
      <c r="B123" s="8" t="n">
        <v>3</v>
      </c>
      <c r="C123" s="8" t="s">
        <v>411</v>
      </c>
      <c r="D123" s="8" t="s">
        <v>714</v>
      </c>
      <c r="E123" s="8" t="s">
        <v>899</v>
      </c>
      <c r="F123" s="8" t="n">
        <v>7</v>
      </c>
      <c r="G123" s="8" t="s">
        <v>900</v>
      </c>
      <c r="H123" s="8" t="s">
        <v>901</v>
      </c>
      <c r="I123" s="27" t="s">
        <v>918</v>
      </c>
      <c r="J123" s="8" t="s">
        <v>109</v>
      </c>
      <c r="K123" s="8" t="s">
        <v>112</v>
      </c>
      <c r="L123" s="8" t="s">
        <v>108</v>
      </c>
      <c r="M123" s="8" t="str">
        <f aca="false">IF(K123="FUERA","Fuera del marco",IF(K123="N/A","Sin marco",IFERROR(INDEX(Catalogo_TIMSS!$C$5:$C$105,MATCH(K123,Catalogo_TIMSS!$A$5:$A$105,0)),"Pendiente de clasificar")))</f>
        <v>Ciencias de la vida</v>
      </c>
      <c r="N123" s="8" t="str">
        <f aca="false">IF(K123="FUERA","Fuera del marco",IF(K123="N/A","Sin marco",IFERROR(INDEX(Catalogo_TIMSS!$F$5:$F$105,MATCH(K123,Catalogo_TIMSS!$A$5:$A$105,0)),"Pendiente de clasificar")))</f>
        <v>Características y procesos vitales de los organismos</v>
      </c>
      <c r="O123" s="8" t="str">
        <f aca="false">IF(L123="","",IFERROR(INDEX(Catalogo_TIMSS!$C$5:$C$105,MATCH(L123,Catalogo_TIMSS!$A$5:$A$105,0)),"?"))</f>
        <v>Ciencias de la vida</v>
      </c>
      <c r="P123" s="8" t="s">
        <v>460</v>
      </c>
      <c r="Q123" s="27" t="s">
        <v>919</v>
      </c>
      <c r="R123" s="27" t="s">
        <v>920</v>
      </c>
      <c r="S123" s="28" t="n">
        <f aca="false">IFERROR(ISNUMBER(SEARCH("Conocer",$R123))/(ISNUMBER(SEARCH("Conocer",$R123))+ISNUMBER(SEARCH("Aplicar",$R123))+ISNUMBER(SEARCH("Razonar",$R123))),0)</f>
        <v>1</v>
      </c>
      <c r="T123" s="28" t="n">
        <f aca="false">IFERROR(ISNUMBER(SEARCH("Aplicar",$R123))/(ISNUMBER(SEARCH("Conocer",$R123))+ISNUMBER(SEARCH("Aplicar",$R123))+ISNUMBER(SEARCH("Razonar",$R123))),0)</f>
        <v>0</v>
      </c>
      <c r="U123" s="28" t="n">
        <f aca="false">IFERROR(ISNUMBER(SEARCH("Razonar",$R123))/(ISNUMBER(SEARCH("Conocer",$R123))+ISNUMBER(SEARCH("Aplicar",$R123))+ISNUMBER(SEARCH("Razonar",$R123))),0)</f>
        <v>0</v>
      </c>
      <c r="V123" s="8" t="s">
        <v>46</v>
      </c>
      <c r="W123" s="8" t="s">
        <v>66</v>
      </c>
    </row>
    <row r="124" customFormat="false" ht="15" hidden="false" customHeight="false" outlineLevel="0" collapsed="false">
      <c r="A124" s="8" t="s">
        <v>921</v>
      </c>
      <c r="B124" s="8" t="n">
        <v>3</v>
      </c>
      <c r="C124" s="8" t="s">
        <v>411</v>
      </c>
      <c r="D124" s="8" t="s">
        <v>714</v>
      </c>
      <c r="E124" s="8" t="s">
        <v>899</v>
      </c>
      <c r="F124" s="8" t="n">
        <v>8</v>
      </c>
      <c r="G124" s="8" t="s">
        <v>900</v>
      </c>
      <c r="H124" s="8" t="s">
        <v>922</v>
      </c>
      <c r="I124" s="27" t="s">
        <v>923</v>
      </c>
      <c r="J124" s="8" t="s">
        <v>109</v>
      </c>
      <c r="K124" s="8" t="s">
        <v>112</v>
      </c>
      <c r="L124" s="8"/>
      <c r="M124" s="8" t="str">
        <f aca="false">IF(K124="FUERA","Fuera del marco",IF(K124="N/A","Sin marco",IFERROR(INDEX(Catalogo_TIMSS!$C$5:$C$105,MATCH(K124,Catalogo_TIMSS!$A$5:$A$105,0)),"Pendiente de clasificar")))</f>
        <v>Ciencias de la vida</v>
      </c>
      <c r="N124" s="8" t="str">
        <f aca="false">IF(K124="FUERA","Fuera del marco",IF(K124="N/A","Sin marco",IFERROR(INDEX(Catalogo_TIMSS!$F$5:$F$105,MATCH(K124,Catalogo_TIMSS!$A$5:$A$105,0)),"Pendiente de clasificar")))</f>
        <v>Características y procesos vitales de los organismos</v>
      </c>
      <c r="O124" s="8" t="str">
        <f aca="false">IF(L124="","",IFERROR(INDEX(Catalogo_TIMSS!$C$5:$C$105,MATCH(L124,Catalogo_TIMSS!$A$5:$A$105,0)),"?"))</f>
        <v/>
      </c>
      <c r="P124" s="8" t="s">
        <v>418</v>
      </c>
      <c r="Q124" s="27" t="s">
        <v>924</v>
      </c>
      <c r="R124" s="27" t="s">
        <v>536</v>
      </c>
      <c r="S124" s="28" t="n">
        <f aca="false">IFERROR(ISNUMBER(SEARCH("Conocer",$R124))/(ISNUMBER(SEARCH("Conocer",$R124))+ISNUMBER(SEARCH("Aplicar",$R124))+ISNUMBER(SEARCH("Razonar",$R124))),0)</f>
        <v>1</v>
      </c>
      <c r="T124" s="28" t="n">
        <f aca="false">IFERROR(ISNUMBER(SEARCH("Aplicar",$R124))/(ISNUMBER(SEARCH("Conocer",$R124))+ISNUMBER(SEARCH("Aplicar",$R124))+ISNUMBER(SEARCH("Razonar",$R124))),0)</f>
        <v>0</v>
      </c>
      <c r="U124" s="28" t="n">
        <f aca="false">IFERROR(ISNUMBER(SEARCH("Razonar",$R124))/(ISNUMBER(SEARCH("Conocer",$R124))+ISNUMBER(SEARCH("Aplicar",$R124))+ISNUMBER(SEARCH("Razonar",$R124))),0)</f>
        <v>0</v>
      </c>
      <c r="V124" s="8" t="s">
        <v>46</v>
      </c>
      <c r="W124" s="8" t="s">
        <v>66</v>
      </c>
    </row>
    <row r="125" customFormat="false" ht="15" hidden="false" customHeight="false" outlineLevel="0" collapsed="false">
      <c r="A125" s="8" t="s">
        <v>925</v>
      </c>
      <c r="B125" s="8" t="n">
        <v>3</v>
      </c>
      <c r="C125" s="8" t="s">
        <v>411</v>
      </c>
      <c r="D125" s="8" t="s">
        <v>714</v>
      </c>
      <c r="E125" s="8" t="s">
        <v>899</v>
      </c>
      <c r="F125" s="8" t="n">
        <v>9</v>
      </c>
      <c r="G125" s="8" t="s">
        <v>900</v>
      </c>
      <c r="H125" s="8" t="s">
        <v>922</v>
      </c>
      <c r="I125" s="27" t="s">
        <v>926</v>
      </c>
      <c r="J125" s="8" t="s">
        <v>109</v>
      </c>
      <c r="K125" s="8" t="s">
        <v>112</v>
      </c>
      <c r="L125" s="8"/>
      <c r="M125" s="8" t="str">
        <f aca="false">IF(K125="FUERA","Fuera del marco",IF(K125="N/A","Sin marco",IFERROR(INDEX(Catalogo_TIMSS!$C$5:$C$105,MATCH(K125,Catalogo_TIMSS!$A$5:$A$105,0)),"Pendiente de clasificar")))</f>
        <v>Ciencias de la vida</v>
      </c>
      <c r="N125" s="8" t="str">
        <f aca="false">IF(K125="FUERA","Fuera del marco",IF(K125="N/A","Sin marco",IFERROR(INDEX(Catalogo_TIMSS!$F$5:$F$105,MATCH(K125,Catalogo_TIMSS!$A$5:$A$105,0)),"Pendiente de clasificar")))</f>
        <v>Características y procesos vitales de los organismos</v>
      </c>
      <c r="O125" s="8" t="str">
        <f aca="false">IF(L125="","",IFERROR(INDEX(Catalogo_TIMSS!$C$5:$C$105,MATCH(L125,Catalogo_TIMSS!$A$5:$A$105,0)),"?"))</f>
        <v/>
      </c>
      <c r="P125" s="8" t="s">
        <v>418</v>
      </c>
      <c r="Q125" s="27" t="s">
        <v>927</v>
      </c>
      <c r="R125" s="27" t="s">
        <v>424</v>
      </c>
      <c r="S125" s="28" t="n">
        <f aca="false">IFERROR(ISNUMBER(SEARCH("Conocer",$R125))/(ISNUMBER(SEARCH("Conocer",$R125))+ISNUMBER(SEARCH("Aplicar",$R125))+ISNUMBER(SEARCH("Razonar",$R125))),0)</f>
        <v>0.5</v>
      </c>
      <c r="T125" s="28" t="n">
        <f aca="false">IFERROR(ISNUMBER(SEARCH("Aplicar",$R125))/(ISNUMBER(SEARCH("Conocer",$R125))+ISNUMBER(SEARCH("Aplicar",$R125))+ISNUMBER(SEARCH("Razonar",$R125))),0)</f>
        <v>0.5</v>
      </c>
      <c r="U125" s="28" t="n">
        <f aca="false">IFERROR(ISNUMBER(SEARCH("Razonar",$R125))/(ISNUMBER(SEARCH("Conocer",$R125))+ISNUMBER(SEARCH("Aplicar",$R125))+ISNUMBER(SEARCH("Razonar",$R125))),0)</f>
        <v>0</v>
      </c>
      <c r="V125" s="8" t="s">
        <v>46</v>
      </c>
      <c r="W125" s="8" t="s">
        <v>66</v>
      </c>
    </row>
    <row r="126" customFormat="false" ht="15" hidden="false" customHeight="false" outlineLevel="0" collapsed="false">
      <c r="A126" s="8" t="s">
        <v>928</v>
      </c>
      <c r="B126" s="8" t="n">
        <v>3</v>
      </c>
      <c r="C126" s="8" t="s">
        <v>411</v>
      </c>
      <c r="D126" s="8" t="s">
        <v>714</v>
      </c>
      <c r="E126" s="8" t="s">
        <v>899</v>
      </c>
      <c r="F126" s="8" t="n">
        <v>10</v>
      </c>
      <c r="G126" s="8" t="s">
        <v>900</v>
      </c>
      <c r="H126" s="8" t="s">
        <v>922</v>
      </c>
      <c r="I126" s="27" t="s">
        <v>929</v>
      </c>
      <c r="J126" s="8" t="s">
        <v>109</v>
      </c>
      <c r="K126" s="8" t="s">
        <v>417</v>
      </c>
      <c r="L126" s="8"/>
      <c r="M126" s="8" t="str">
        <f aca="false">IF(K126="FUERA","Fuera del marco",IF(K126="N/A","Sin marco",IFERROR(INDEX(Catalogo_TIMSS!$C$5:$C$105,MATCH(K126,Catalogo_TIMSS!$A$5:$A$105,0)),"Pendiente de clasificar")))</f>
        <v>Fuera del marco</v>
      </c>
      <c r="N126" s="8" t="str">
        <f aca="false">IF(K126="FUERA","Fuera del marco",IF(K126="N/A","Sin marco",IFERROR(INDEX(Catalogo_TIMSS!$F$5:$F$105,MATCH(K126,Catalogo_TIMSS!$A$5:$A$105,0)),"Pendiente de clasificar")))</f>
        <v>Fuera del marco</v>
      </c>
      <c r="O126" s="8" t="str">
        <f aca="false">IF(L126="","",IFERROR(INDEX(Catalogo_TIMSS!$C$5:$C$105,MATCH(L126,Catalogo_TIMSS!$A$5:$A$105,0)),"?"))</f>
        <v/>
      </c>
      <c r="P126" s="8" t="s">
        <v>460</v>
      </c>
      <c r="Q126" s="27" t="s">
        <v>930</v>
      </c>
      <c r="R126" s="27" t="s">
        <v>931</v>
      </c>
      <c r="S126" s="28" t="n">
        <f aca="false">IFERROR(ISNUMBER(SEARCH("Conocer",$R126))/(ISNUMBER(SEARCH("Conocer",$R126))+ISNUMBER(SEARCH("Aplicar",$R126))+ISNUMBER(SEARCH("Razonar",$R126))),0)</f>
        <v>0</v>
      </c>
      <c r="T126" s="28" t="n">
        <f aca="false">IFERROR(ISNUMBER(SEARCH("Aplicar",$R126))/(ISNUMBER(SEARCH("Conocer",$R126))+ISNUMBER(SEARCH("Aplicar",$R126))+ISNUMBER(SEARCH("Razonar",$R126))),0)</f>
        <v>1</v>
      </c>
      <c r="U126" s="28" t="n">
        <f aca="false">IFERROR(ISNUMBER(SEARCH("Razonar",$R126))/(ISNUMBER(SEARCH("Conocer",$R126))+ISNUMBER(SEARCH("Aplicar",$R126))+ISNUMBER(SEARCH("Razonar",$R126))),0)</f>
        <v>0</v>
      </c>
      <c r="V126" s="8" t="s">
        <v>46</v>
      </c>
      <c r="W126" s="8" t="s">
        <v>66</v>
      </c>
    </row>
    <row r="127" customFormat="false" ht="15" hidden="false" customHeight="false" outlineLevel="0" collapsed="false">
      <c r="A127" s="8" t="s">
        <v>932</v>
      </c>
      <c r="B127" s="8" t="n">
        <v>3</v>
      </c>
      <c r="C127" s="8" t="s">
        <v>411</v>
      </c>
      <c r="D127" s="8" t="s">
        <v>714</v>
      </c>
      <c r="E127" s="8" t="s">
        <v>899</v>
      </c>
      <c r="F127" s="8" t="n">
        <v>11</v>
      </c>
      <c r="G127" s="8" t="s">
        <v>900</v>
      </c>
      <c r="H127" s="8" t="s">
        <v>922</v>
      </c>
      <c r="I127" s="27" t="s">
        <v>933</v>
      </c>
      <c r="J127" s="8" t="s">
        <v>109</v>
      </c>
      <c r="K127" s="8" t="s">
        <v>112</v>
      </c>
      <c r="L127" s="8"/>
      <c r="M127" s="8" t="str">
        <f aca="false">IF(K127="FUERA","Fuera del marco",IF(K127="N/A","Sin marco",IFERROR(INDEX(Catalogo_TIMSS!$C$5:$C$105,MATCH(K127,Catalogo_TIMSS!$A$5:$A$105,0)),"Pendiente de clasificar")))</f>
        <v>Ciencias de la vida</v>
      </c>
      <c r="N127" s="8" t="str">
        <f aca="false">IF(K127="FUERA","Fuera del marco",IF(K127="N/A","Sin marco",IFERROR(INDEX(Catalogo_TIMSS!$F$5:$F$105,MATCH(K127,Catalogo_TIMSS!$A$5:$A$105,0)),"Pendiente de clasificar")))</f>
        <v>Características y procesos vitales de los organismos</v>
      </c>
      <c r="O127" s="8" t="str">
        <f aca="false">IF(L127="","",IFERROR(INDEX(Catalogo_TIMSS!$C$5:$C$105,MATCH(L127,Catalogo_TIMSS!$A$5:$A$105,0)),"?"))</f>
        <v/>
      </c>
      <c r="P127" s="8" t="s">
        <v>418</v>
      </c>
      <c r="Q127" s="27" t="s">
        <v>934</v>
      </c>
      <c r="R127" s="27" t="s">
        <v>429</v>
      </c>
      <c r="S127" s="28" t="n">
        <f aca="false">IFERROR(ISNUMBER(SEARCH("Conocer",$R127))/(ISNUMBER(SEARCH("Conocer",$R127))+ISNUMBER(SEARCH("Aplicar",$R127))+ISNUMBER(SEARCH("Razonar",$R127))),0)</f>
        <v>0</v>
      </c>
      <c r="T127" s="28" t="n">
        <f aca="false">IFERROR(ISNUMBER(SEARCH("Aplicar",$R127))/(ISNUMBER(SEARCH("Conocer",$R127))+ISNUMBER(SEARCH("Aplicar",$R127))+ISNUMBER(SEARCH("Razonar",$R127))),0)</f>
        <v>1</v>
      </c>
      <c r="U127" s="28" t="n">
        <f aca="false">IFERROR(ISNUMBER(SEARCH("Razonar",$R127))/(ISNUMBER(SEARCH("Conocer",$R127))+ISNUMBER(SEARCH("Aplicar",$R127))+ISNUMBER(SEARCH("Razonar",$R127))),0)</f>
        <v>0</v>
      </c>
      <c r="V127" s="8" t="s">
        <v>46</v>
      </c>
      <c r="W127" s="8" t="s">
        <v>66</v>
      </c>
    </row>
    <row r="128" customFormat="false" ht="15" hidden="false" customHeight="false" outlineLevel="0" collapsed="false">
      <c r="A128" s="8" t="s">
        <v>935</v>
      </c>
      <c r="B128" s="8" t="n">
        <v>3</v>
      </c>
      <c r="C128" s="8" t="s">
        <v>411</v>
      </c>
      <c r="D128" s="8" t="s">
        <v>714</v>
      </c>
      <c r="E128" s="8" t="s">
        <v>899</v>
      </c>
      <c r="F128" s="8" t="n">
        <v>12</v>
      </c>
      <c r="G128" s="8" t="s">
        <v>900</v>
      </c>
      <c r="H128" s="8" t="s">
        <v>922</v>
      </c>
      <c r="I128" s="27" t="s">
        <v>936</v>
      </c>
      <c r="J128" s="8" t="s">
        <v>109</v>
      </c>
      <c r="K128" s="8" t="s">
        <v>112</v>
      </c>
      <c r="L128" s="8"/>
      <c r="M128" s="8" t="str">
        <f aca="false">IF(K128="FUERA","Fuera del marco",IF(K128="N/A","Sin marco",IFERROR(INDEX(Catalogo_TIMSS!$C$5:$C$105,MATCH(K128,Catalogo_TIMSS!$A$5:$A$105,0)),"Pendiente de clasificar")))</f>
        <v>Ciencias de la vida</v>
      </c>
      <c r="N128" s="8" t="str">
        <f aca="false">IF(K128="FUERA","Fuera del marco",IF(K128="N/A","Sin marco",IFERROR(INDEX(Catalogo_TIMSS!$F$5:$F$105,MATCH(K128,Catalogo_TIMSS!$A$5:$A$105,0)),"Pendiente de clasificar")))</f>
        <v>Características y procesos vitales de los organismos</v>
      </c>
      <c r="O128" s="8" t="str">
        <f aca="false">IF(L128="","",IFERROR(INDEX(Catalogo_TIMSS!$C$5:$C$105,MATCH(L128,Catalogo_TIMSS!$A$5:$A$105,0)),"?"))</f>
        <v/>
      </c>
      <c r="P128" s="8" t="s">
        <v>418</v>
      </c>
      <c r="Q128" s="27" t="s">
        <v>937</v>
      </c>
      <c r="R128" s="27" t="s">
        <v>587</v>
      </c>
      <c r="S128" s="28" t="n">
        <f aca="false">IFERROR(ISNUMBER(SEARCH("Conocer",$R128))/(ISNUMBER(SEARCH("Conocer",$R128))+ISNUMBER(SEARCH("Aplicar",$R128))+ISNUMBER(SEARCH("Razonar",$R128))),0)</f>
        <v>0</v>
      </c>
      <c r="T128" s="28" t="n">
        <f aca="false">IFERROR(ISNUMBER(SEARCH("Aplicar",$R128))/(ISNUMBER(SEARCH("Conocer",$R128))+ISNUMBER(SEARCH("Aplicar",$R128))+ISNUMBER(SEARCH("Razonar",$R128))),0)</f>
        <v>1</v>
      </c>
      <c r="U128" s="28" t="n">
        <f aca="false">IFERROR(ISNUMBER(SEARCH("Razonar",$R128))/(ISNUMBER(SEARCH("Conocer",$R128))+ISNUMBER(SEARCH("Aplicar",$R128))+ISNUMBER(SEARCH("Razonar",$R128))),0)</f>
        <v>0</v>
      </c>
      <c r="V128" s="8" t="s">
        <v>46</v>
      </c>
      <c r="W128" s="8" t="s">
        <v>66</v>
      </c>
    </row>
    <row r="129" customFormat="false" ht="15" hidden="false" customHeight="false" outlineLevel="0" collapsed="false">
      <c r="A129" s="8" t="s">
        <v>938</v>
      </c>
      <c r="B129" s="8" t="n">
        <v>3</v>
      </c>
      <c r="C129" s="8" t="s">
        <v>411</v>
      </c>
      <c r="D129" s="8" t="s">
        <v>714</v>
      </c>
      <c r="E129" s="8" t="s">
        <v>899</v>
      </c>
      <c r="F129" s="8" t="n">
        <v>13</v>
      </c>
      <c r="G129" s="8" t="s">
        <v>900</v>
      </c>
      <c r="H129" s="8" t="s">
        <v>922</v>
      </c>
      <c r="I129" s="27" t="s">
        <v>939</v>
      </c>
      <c r="J129" s="8" t="s">
        <v>109</v>
      </c>
      <c r="K129" s="8" t="s">
        <v>112</v>
      </c>
      <c r="L129" s="8"/>
      <c r="M129" s="8" t="str">
        <f aca="false">IF(K129="FUERA","Fuera del marco",IF(K129="N/A","Sin marco",IFERROR(INDEX(Catalogo_TIMSS!$C$5:$C$105,MATCH(K129,Catalogo_TIMSS!$A$5:$A$105,0)),"Pendiente de clasificar")))</f>
        <v>Ciencias de la vida</v>
      </c>
      <c r="N129" s="8" t="str">
        <f aca="false">IF(K129="FUERA","Fuera del marco",IF(K129="N/A","Sin marco",IFERROR(INDEX(Catalogo_TIMSS!$F$5:$F$105,MATCH(K129,Catalogo_TIMSS!$A$5:$A$105,0)),"Pendiente de clasificar")))</f>
        <v>Características y procesos vitales de los organismos</v>
      </c>
      <c r="O129" s="8" t="str">
        <f aca="false">IF(L129="","",IFERROR(INDEX(Catalogo_TIMSS!$C$5:$C$105,MATCH(L129,Catalogo_TIMSS!$A$5:$A$105,0)),"?"))</f>
        <v/>
      </c>
      <c r="P129" s="8" t="s">
        <v>418</v>
      </c>
      <c r="Q129" s="27" t="s">
        <v>940</v>
      </c>
      <c r="R129" s="27" t="s">
        <v>536</v>
      </c>
      <c r="S129" s="28" t="n">
        <f aca="false">IFERROR(ISNUMBER(SEARCH("Conocer",$R129))/(ISNUMBER(SEARCH("Conocer",$R129))+ISNUMBER(SEARCH("Aplicar",$R129))+ISNUMBER(SEARCH("Razonar",$R129))),0)</f>
        <v>1</v>
      </c>
      <c r="T129" s="28" t="n">
        <f aca="false">IFERROR(ISNUMBER(SEARCH("Aplicar",$R129))/(ISNUMBER(SEARCH("Conocer",$R129))+ISNUMBER(SEARCH("Aplicar",$R129))+ISNUMBER(SEARCH("Razonar",$R129))),0)</f>
        <v>0</v>
      </c>
      <c r="U129" s="28" t="n">
        <f aca="false">IFERROR(ISNUMBER(SEARCH("Razonar",$R129))/(ISNUMBER(SEARCH("Conocer",$R129))+ISNUMBER(SEARCH("Aplicar",$R129))+ISNUMBER(SEARCH("Razonar",$R129))),0)</f>
        <v>0</v>
      </c>
      <c r="V129" s="8" t="s">
        <v>46</v>
      </c>
      <c r="W129" s="8" t="s">
        <v>66</v>
      </c>
    </row>
    <row r="130" customFormat="false" ht="15" hidden="false" customHeight="false" outlineLevel="0" collapsed="false">
      <c r="A130" s="8" t="s">
        <v>941</v>
      </c>
      <c r="B130" s="8" t="n">
        <v>3</v>
      </c>
      <c r="C130" s="8" t="s">
        <v>411</v>
      </c>
      <c r="D130" s="8" t="s">
        <v>714</v>
      </c>
      <c r="E130" s="8" t="s">
        <v>899</v>
      </c>
      <c r="F130" s="8" t="n">
        <v>14</v>
      </c>
      <c r="G130" s="8" t="s">
        <v>900</v>
      </c>
      <c r="H130" s="8" t="s">
        <v>942</v>
      </c>
      <c r="I130" s="27" t="s">
        <v>943</v>
      </c>
      <c r="J130" s="8" t="s">
        <v>109</v>
      </c>
      <c r="K130" s="8" t="s">
        <v>112</v>
      </c>
      <c r="L130" s="8"/>
      <c r="M130" s="8" t="str">
        <f aca="false">IF(K130="FUERA","Fuera del marco",IF(K130="N/A","Sin marco",IFERROR(INDEX(Catalogo_TIMSS!$C$5:$C$105,MATCH(K130,Catalogo_TIMSS!$A$5:$A$105,0)),"Pendiente de clasificar")))</f>
        <v>Ciencias de la vida</v>
      </c>
      <c r="N130" s="8" t="str">
        <f aca="false">IF(K130="FUERA","Fuera del marco",IF(K130="N/A","Sin marco",IFERROR(INDEX(Catalogo_TIMSS!$F$5:$F$105,MATCH(K130,Catalogo_TIMSS!$A$5:$A$105,0)),"Pendiente de clasificar")))</f>
        <v>Características y procesos vitales de los organismos</v>
      </c>
      <c r="O130" s="8" t="str">
        <f aca="false">IF(L130="","",IFERROR(INDEX(Catalogo_TIMSS!$C$5:$C$105,MATCH(L130,Catalogo_TIMSS!$A$5:$A$105,0)),"?"))</f>
        <v/>
      </c>
      <c r="P130" s="8" t="s">
        <v>418</v>
      </c>
      <c r="Q130" s="27" t="s">
        <v>944</v>
      </c>
      <c r="R130" s="27" t="s">
        <v>429</v>
      </c>
      <c r="S130" s="28" t="n">
        <f aca="false">IFERROR(ISNUMBER(SEARCH("Conocer",$R130))/(ISNUMBER(SEARCH("Conocer",$R130))+ISNUMBER(SEARCH("Aplicar",$R130))+ISNUMBER(SEARCH("Razonar",$R130))),0)</f>
        <v>0</v>
      </c>
      <c r="T130" s="28" t="n">
        <f aca="false">IFERROR(ISNUMBER(SEARCH("Aplicar",$R130))/(ISNUMBER(SEARCH("Conocer",$R130))+ISNUMBER(SEARCH("Aplicar",$R130))+ISNUMBER(SEARCH("Razonar",$R130))),0)</f>
        <v>1</v>
      </c>
      <c r="U130" s="28" t="n">
        <f aca="false">IFERROR(ISNUMBER(SEARCH("Razonar",$R130))/(ISNUMBER(SEARCH("Conocer",$R130))+ISNUMBER(SEARCH("Aplicar",$R130))+ISNUMBER(SEARCH("Razonar",$R130))),0)</f>
        <v>0</v>
      </c>
      <c r="V130" s="8" t="s">
        <v>46</v>
      </c>
      <c r="W130" s="8" t="s">
        <v>66</v>
      </c>
    </row>
    <row r="131" customFormat="false" ht="15" hidden="false" customHeight="false" outlineLevel="0" collapsed="false">
      <c r="A131" s="8" t="s">
        <v>945</v>
      </c>
      <c r="B131" s="8" t="n">
        <v>3</v>
      </c>
      <c r="C131" s="8" t="s">
        <v>411</v>
      </c>
      <c r="D131" s="8" t="s">
        <v>714</v>
      </c>
      <c r="E131" s="8" t="s">
        <v>899</v>
      </c>
      <c r="F131" s="8" t="n">
        <v>15</v>
      </c>
      <c r="G131" s="8" t="s">
        <v>900</v>
      </c>
      <c r="H131" s="8" t="s">
        <v>942</v>
      </c>
      <c r="I131" s="27" t="s">
        <v>946</v>
      </c>
      <c r="J131" s="8" t="s">
        <v>109</v>
      </c>
      <c r="K131" s="8" t="s">
        <v>112</v>
      </c>
      <c r="L131" s="8"/>
      <c r="M131" s="8" t="str">
        <f aca="false">IF(K131="FUERA","Fuera del marco",IF(K131="N/A","Sin marco",IFERROR(INDEX(Catalogo_TIMSS!$C$5:$C$105,MATCH(K131,Catalogo_TIMSS!$A$5:$A$105,0)),"Pendiente de clasificar")))</f>
        <v>Ciencias de la vida</v>
      </c>
      <c r="N131" s="8" t="str">
        <f aca="false">IF(K131="FUERA","Fuera del marco",IF(K131="N/A","Sin marco",IFERROR(INDEX(Catalogo_TIMSS!$F$5:$F$105,MATCH(K131,Catalogo_TIMSS!$A$5:$A$105,0)),"Pendiente de clasificar")))</f>
        <v>Características y procesos vitales de los organismos</v>
      </c>
      <c r="O131" s="8" t="str">
        <f aca="false">IF(L131="","",IFERROR(INDEX(Catalogo_TIMSS!$C$5:$C$105,MATCH(L131,Catalogo_TIMSS!$A$5:$A$105,0)),"?"))</f>
        <v/>
      </c>
      <c r="P131" s="8" t="s">
        <v>418</v>
      </c>
      <c r="Q131" s="27" t="s">
        <v>947</v>
      </c>
      <c r="R131" s="27" t="s">
        <v>948</v>
      </c>
      <c r="S131" s="28" t="n">
        <f aca="false">IFERROR(ISNUMBER(SEARCH("Conocer",$R131))/(ISNUMBER(SEARCH("Conocer",$R131))+ISNUMBER(SEARCH("Aplicar",$R131))+ISNUMBER(SEARCH("Razonar",$R131))),0)</f>
        <v>0</v>
      </c>
      <c r="T131" s="28" t="n">
        <f aca="false">IFERROR(ISNUMBER(SEARCH("Aplicar",$R131))/(ISNUMBER(SEARCH("Conocer",$R131))+ISNUMBER(SEARCH("Aplicar",$R131))+ISNUMBER(SEARCH("Razonar",$R131))),0)</f>
        <v>0.5</v>
      </c>
      <c r="U131" s="28" t="n">
        <f aca="false">IFERROR(ISNUMBER(SEARCH("Razonar",$R131))/(ISNUMBER(SEARCH("Conocer",$R131))+ISNUMBER(SEARCH("Aplicar",$R131))+ISNUMBER(SEARCH("Razonar",$R131))),0)</f>
        <v>0.5</v>
      </c>
      <c r="V131" s="8" t="s">
        <v>46</v>
      </c>
      <c r="W131" s="8" t="s">
        <v>66</v>
      </c>
    </row>
    <row r="132" customFormat="false" ht="15" hidden="false" customHeight="false" outlineLevel="0" collapsed="false">
      <c r="A132" s="8" t="s">
        <v>949</v>
      </c>
      <c r="B132" s="8" t="n">
        <v>3</v>
      </c>
      <c r="C132" s="8" t="s">
        <v>411</v>
      </c>
      <c r="D132" s="8" t="s">
        <v>714</v>
      </c>
      <c r="E132" s="8" t="s">
        <v>950</v>
      </c>
      <c r="F132" s="8" t="n">
        <v>3</v>
      </c>
      <c r="G132" s="8" t="s">
        <v>951</v>
      </c>
      <c r="H132" s="8" t="s">
        <v>952</v>
      </c>
      <c r="I132" s="27" t="s">
        <v>953</v>
      </c>
      <c r="J132" s="8" t="s">
        <v>109</v>
      </c>
      <c r="K132" s="8" t="s">
        <v>138</v>
      </c>
      <c r="L132" s="8"/>
      <c r="M132" s="8" t="str">
        <f aca="false">IF(K132="FUERA","Fuera del marco",IF(K132="N/A","Sin marco",IFERROR(INDEX(Catalogo_TIMSS!$C$5:$C$105,MATCH(K132,Catalogo_TIMSS!$A$5:$A$105,0)),"Pendiente de clasificar")))</f>
        <v>Ciencias de la vida</v>
      </c>
      <c r="N132" s="8" t="str">
        <f aca="false">IF(K132="FUERA","Fuera del marco",IF(K132="N/A","Sin marco",IFERROR(INDEX(Catalogo_TIMSS!$F$5:$F$105,MATCH(K132,Catalogo_TIMSS!$A$5:$A$105,0)),"Pendiente de clasificar")))</f>
        <v>Salud humana</v>
      </c>
      <c r="O132" s="8" t="str">
        <f aca="false">IF(L132="","",IFERROR(INDEX(Catalogo_TIMSS!$C$5:$C$105,MATCH(L132,Catalogo_TIMSS!$A$5:$A$105,0)),"?"))</f>
        <v/>
      </c>
      <c r="P132" s="8" t="s">
        <v>418</v>
      </c>
      <c r="Q132" s="27" t="s">
        <v>954</v>
      </c>
      <c r="R132" s="27" t="s">
        <v>760</v>
      </c>
      <c r="S132" s="28" t="n">
        <f aca="false">IFERROR(ISNUMBER(SEARCH("Conocer",$R132))/(ISNUMBER(SEARCH("Conocer",$R132))+ISNUMBER(SEARCH("Aplicar",$R132))+ISNUMBER(SEARCH("Razonar",$R132))),0)</f>
        <v>0.5</v>
      </c>
      <c r="T132" s="28" t="n">
        <f aca="false">IFERROR(ISNUMBER(SEARCH("Aplicar",$R132))/(ISNUMBER(SEARCH("Conocer",$R132))+ISNUMBER(SEARCH("Aplicar",$R132))+ISNUMBER(SEARCH("Razonar",$R132))),0)</f>
        <v>0.5</v>
      </c>
      <c r="U132" s="28" t="n">
        <f aca="false">IFERROR(ISNUMBER(SEARCH("Razonar",$R132))/(ISNUMBER(SEARCH("Conocer",$R132))+ISNUMBER(SEARCH("Aplicar",$R132))+ISNUMBER(SEARCH("Razonar",$R132))),0)</f>
        <v>0</v>
      </c>
      <c r="V132" s="8" t="s">
        <v>46</v>
      </c>
      <c r="W132" s="8" t="s">
        <v>66</v>
      </c>
    </row>
    <row r="133" customFormat="false" ht="15" hidden="false" customHeight="false" outlineLevel="0" collapsed="false">
      <c r="A133" s="8" t="s">
        <v>955</v>
      </c>
      <c r="B133" s="8" t="n">
        <v>3</v>
      </c>
      <c r="C133" s="8" t="s">
        <v>411</v>
      </c>
      <c r="D133" s="8" t="s">
        <v>714</v>
      </c>
      <c r="E133" s="8" t="s">
        <v>950</v>
      </c>
      <c r="F133" s="8" t="n">
        <v>4</v>
      </c>
      <c r="G133" s="8" t="s">
        <v>951</v>
      </c>
      <c r="H133" s="8" t="s">
        <v>952</v>
      </c>
      <c r="I133" s="27" t="s">
        <v>956</v>
      </c>
      <c r="J133" s="8" t="s">
        <v>109</v>
      </c>
      <c r="K133" s="8" t="s">
        <v>138</v>
      </c>
      <c r="L133" s="8"/>
      <c r="M133" s="8" t="str">
        <f aca="false">IF(K133="FUERA","Fuera del marco",IF(K133="N/A","Sin marco",IFERROR(INDEX(Catalogo_TIMSS!$C$5:$C$105,MATCH(K133,Catalogo_TIMSS!$A$5:$A$105,0)),"Pendiente de clasificar")))</f>
        <v>Ciencias de la vida</v>
      </c>
      <c r="N133" s="8" t="str">
        <f aca="false">IF(K133="FUERA","Fuera del marco",IF(K133="N/A","Sin marco",IFERROR(INDEX(Catalogo_TIMSS!$F$5:$F$105,MATCH(K133,Catalogo_TIMSS!$A$5:$A$105,0)),"Pendiente de clasificar")))</f>
        <v>Salud humana</v>
      </c>
      <c r="O133" s="8" t="str">
        <f aca="false">IF(L133="","",IFERROR(INDEX(Catalogo_TIMSS!$C$5:$C$105,MATCH(L133,Catalogo_TIMSS!$A$5:$A$105,0)),"?"))</f>
        <v/>
      </c>
      <c r="P133" s="8" t="s">
        <v>513</v>
      </c>
      <c r="Q133" s="27" t="s">
        <v>957</v>
      </c>
      <c r="R133" s="27" t="s">
        <v>931</v>
      </c>
      <c r="S133" s="28" t="n">
        <f aca="false">IFERROR(ISNUMBER(SEARCH("Conocer",$R133))/(ISNUMBER(SEARCH("Conocer",$R133))+ISNUMBER(SEARCH("Aplicar",$R133))+ISNUMBER(SEARCH("Razonar",$R133))),0)</f>
        <v>0</v>
      </c>
      <c r="T133" s="28" t="n">
        <f aca="false">IFERROR(ISNUMBER(SEARCH("Aplicar",$R133))/(ISNUMBER(SEARCH("Conocer",$R133))+ISNUMBER(SEARCH("Aplicar",$R133))+ISNUMBER(SEARCH("Razonar",$R133))),0)</f>
        <v>1</v>
      </c>
      <c r="U133" s="28" t="n">
        <f aca="false">IFERROR(ISNUMBER(SEARCH("Razonar",$R133))/(ISNUMBER(SEARCH("Conocer",$R133))+ISNUMBER(SEARCH("Aplicar",$R133))+ISNUMBER(SEARCH("Razonar",$R133))),0)</f>
        <v>0</v>
      </c>
      <c r="V133" s="8" t="s">
        <v>46</v>
      </c>
      <c r="W133" s="8" t="s">
        <v>66</v>
      </c>
    </row>
    <row r="134" customFormat="false" ht="15" hidden="false" customHeight="false" outlineLevel="0" collapsed="false">
      <c r="A134" s="8" t="s">
        <v>958</v>
      </c>
      <c r="B134" s="8" t="n">
        <v>3</v>
      </c>
      <c r="C134" s="8" t="s">
        <v>411</v>
      </c>
      <c r="D134" s="8" t="s">
        <v>714</v>
      </c>
      <c r="E134" s="8" t="s">
        <v>950</v>
      </c>
      <c r="F134" s="8" t="n">
        <v>5</v>
      </c>
      <c r="G134" s="8" t="s">
        <v>951</v>
      </c>
      <c r="H134" s="8" t="s">
        <v>952</v>
      </c>
      <c r="I134" s="27" t="s">
        <v>959</v>
      </c>
      <c r="J134" s="8" t="s">
        <v>109</v>
      </c>
      <c r="K134" s="8" t="s">
        <v>138</v>
      </c>
      <c r="L134" s="8"/>
      <c r="M134" s="8" t="str">
        <f aca="false">IF(K134="FUERA","Fuera del marco",IF(K134="N/A","Sin marco",IFERROR(INDEX(Catalogo_TIMSS!$C$5:$C$105,MATCH(K134,Catalogo_TIMSS!$A$5:$A$105,0)),"Pendiente de clasificar")))</f>
        <v>Ciencias de la vida</v>
      </c>
      <c r="N134" s="8" t="str">
        <f aca="false">IF(K134="FUERA","Fuera del marco",IF(K134="N/A","Sin marco",IFERROR(INDEX(Catalogo_TIMSS!$F$5:$F$105,MATCH(K134,Catalogo_TIMSS!$A$5:$A$105,0)),"Pendiente de clasificar")))</f>
        <v>Salud humana</v>
      </c>
      <c r="O134" s="8" t="str">
        <f aca="false">IF(L134="","",IFERROR(INDEX(Catalogo_TIMSS!$C$5:$C$105,MATCH(L134,Catalogo_TIMSS!$A$5:$A$105,0)),"?"))</f>
        <v/>
      </c>
      <c r="P134" s="8" t="s">
        <v>418</v>
      </c>
      <c r="Q134" s="27" t="s">
        <v>960</v>
      </c>
      <c r="R134" s="27" t="s">
        <v>642</v>
      </c>
      <c r="S134" s="28" t="n">
        <f aca="false">IFERROR(ISNUMBER(SEARCH("Conocer",$R134))/(ISNUMBER(SEARCH("Conocer",$R134))+ISNUMBER(SEARCH("Aplicar",$R134))+ISNUMBER(SEARCH("Razonar",$R134))),0)</f>
        <v>0</v>
      </c>
      <c r="T134" s="28" t="n">
        <f aca="false">IFERROR(ISNUMBER(SEARCH("Aplicar",$R134))/(ISNUMBER(SEARCH("Conocer",$R134))+ISNUMBER(SEARCH("Aplicar",$R134))+ISNUMBER(SEARCH("Razonar",$R134))),0)</f>
        <v>1</v>
      </c>
      <c r="U134" s="28" t="n">
        <f aca="false">IFERROR(ISNUMBER(SEARCH("Razonar",$R134))/(ISNUMBER(SEARCH("Conocer",$R134))+ISNUMBER(SEARCH("Aplicar",$R134))+ISNUMBER(SEARCH("Razonar",$R134))),0)</f>
        <v>0</v>
      </c>
      <c r="V134" s="8" t="s">
        <v>46</v>
      </c>
      <c r="W134" s="8" t="s">
        <v>66</v>
      </c>
    </row>
    <row r="135" customFormat="false" ht="15" hidden="false" customHeight="false" outlineLevel="0" collapsed="false">
      <c r="A135" s="8" t="s">
        <v>961</v>
      </c>
      <c r="B135" s="8" t="n">
        <v>3</v>
      </c>
      <c r="C135" s="8" t="s">
        <v>411</v>
      </c>
      <c r="D135" s="8" t="s">
        <v>714</v>
      </c>
      <c r="E135" s="8" t="s">
        <v>950</v>
      </c>
      <c r="F135" s="8" t="n">
        <v>6</v>
      </c>
      <c r="G135" s="8" t="s">
        <v>951</v>
      </c>
      <c r="H135" s="8" t="s">
        <v>952</v>
      </c>
      <c r="I135" s="27" t="s">
        <v>962</v>
      </c>
      <c r="J135" s="8" t="s">
        <v>109</v>
      </c>
      <c r="K135" s="8" t="s">
        <v>138</v>
      </c>
      <c r="L135" s="8"/>
      <c r="M135" s="8" t="str">
        <f aca="false">IF(K135="FUERA","Fuera del marco",IF(K135="N/A","Sin marco",IFERROR(INDEX(Catalogo_TIMSS!$C$5:$C$105,MATCH(K135,Catalogo_TIMSS!$A$5:$A$105,0)),"Pendiente de clasificar")))</f>
        <v>Ciencias de la vida</v>
      </c>
      <c r="N135" s="8" t="str">
        <f aca="false">IF(K135="FUERA","Fuera del marco",IF(K135="N/A","Sin marco",IFERROR(INDEX(Catalogo_TIMSS!$F$5:$F$105,MATCH(K135,Catalogo_TIMSS!$A$5:$A$105,0)),"Pendiente de clasificar")))</f>
        <v>Salud humana</v>
      </c>
      <c r="O135" s="8" t="str">
        <f aca="false">IF(L135="","",IFERROR(INDEX(Catalogo_TIMSS!$C$5:$C$105,MATCH(L135,Catalogo_TIMSS!$A$5:$A$105,0)),"?"))</f>
        <v/>
      </c>
      <c r="P135" s="8" t="s">
        <v>418</v>
      </c>
      <c r="Q135" s="27" t="s">
        <v>963</v>
      </c>
      <c r="R135" s="27" t="s">
        <v>964</v>
      </c>
      <c r="S135" s="28" t="n">
        <f aca="false">IFERROR(ISNUMBER(SEARCH("Conocer",$R135))/(ISNUMBER(SEARCH("Conocer",$R135))+ISNUMBER(SEARCH("Aplicar",$R135))+ISNUMBER(SEARCH("Razonar",$R135))),0)</f>
        <v>0</v>
      </c>
      <c r="T135" s="28" t="n">
        <f aca="false">IFERROR(ISNUMBER(SEARCH("Aplicar",$R135))/(ISNUMBER(SEARCH("Conocer",$R135))+ISNUMBER(SEARCH("Aplicar",$R135))+ISNUMBER(SEARCH("Razonar",$R135))),0)</f>
        <v>0.5</v>
      </c>
      <c r="U135" s="28" t="n">
        <f aca="false">IFERROR(ISNUMBER(SEARCH("Razonar",$R135))/(ISNUMBER(SEARCH("Conocer",$R135))+ISNUMBER(SEARCH("Aplicar",$R135))+ISNUMBER(SEARCH("Razonar",$R135))),0)</f>
        <v>0.5</v>
      </c>
      <c r="V135" s="8" t="s">
        <v>46</v>
      </c>
      <c r="W135" s="8" t="s">
        <v>66</v>
      </c>
    </row>
    <row r="136" customFormat="false" ht="15" hidden="false" customHeight="false" outlineLevel="0" collapsed="false">
      <c r="A136" s="8" t="s">
        <v>965</v>
      </c>
      <c r="B136" s="8" t="n">
        <v>3</v>
      </c>
      <c r="C136" s="8" t="s">
        <v>411</v>
      </c>
      <c r="D136" s="8" t="s">
        <v>714</v>
      </c>
      <c r="E136" s="8" t="s">
        <v>950</v>
      </c>
      <c r="F136" s="8" t="n">
        <v>7</v>
      </c>
      <c r="G136" s="8" t="s">
        <v>951</v>
      </c>
      <c r="H136" s="8" t="s">
        <v>966</v>
      </c>
      <c r="I136" s="27" t="s">
        <v>967</v>
      </c>
      <c r="J136" s="8" t="s">
        <v>109</v>
      </c>
      <c r="K136" s="8" t="s">
        <v>108</v>
      </c>
      <c r="L136" s="8"/>
      <c r="M136" s="8" t="str">
        <f aca="false">IF(K136="FUERA","Fuera del marco",IF(K136="N/A","Sin marco",IFERROR(INDEX(Catalogo_TIMSS!$C$5:$C$105,MATCH(K136,Catalogo_TIMSS!$A$5:$A$105,0)),"Pendiente de clasificar")))</f>
        <v>Ciencias de la vida</v>
      </c>
      <c r="N136" s="8" t="str">
        <f aca="false">IF(K136="FUERA","Fuera del marco",IF(K136="N/A","Sin marco",IFERROR(INDEX(Catalogo_TIMSS!$F$5:$F$105,MATCH(K136,Catalogo_TIMSS!$A$5:$A$105,0)),"Pendiente de clasificar")))</f>
        <v>Características y procesos vitales de los organismos</v>
      </c>
      <c r="O136" s="8" t="str">
        <f aca="false">IF(L136="","",IFERROR(INDEX(Catalogo_TIMSS!$C$5:$C$105,MATCH(L136,Catalogo_TIMSS!$A$5:$A$105,0)),"?"))</f>
        <v/>
      </c>
      <c r="P136" s="8" t="s">
        <v>513</v>
      </c>
      <c r="Q136" s="27" t="s">
        <v>968</v>
      </c>
      <c r="R136" s="27" t="s">
        <v>828</v>
      </c>
      <c r="S136" s="28" t="n">
        <f aca="false">IFERROR(ISNUMBER(SEARCH("Conocer",$R136))/(ISNUMBER(SEARCH("Conocer",$R136))+ISNUMBER(SEARCH("Aplicar",$R136))+ISNUMBER(SEARCH("Razonar",$R136))),0)</f>
        <v>0</v>
      </c>
      <c r="T136" s="28" t="n">
        <f aca="false">IFERROR(ISNUMBER(SEARCH("Aplicar",$R136))/(ISNUMBER(SEARCH("Conocer",$R136))+ISNUMBER(SEARCH("Aplicar",$R136))+ISNUMBER(SEARCH("Razonar",$R136))),0)</f>
        <v>0</v>
      </c>
      <c r="U136" s="28" t="n">
        <f aca="false">IFERROR(ISNUMBER(SEARCH("Razonar",$R136))/(ISNUMBER(SEARCH("Conocer",$R136))+ISNUMBER(SEARCH("Aplicar",$R136))+ISNUMBER(SEARCH("Razonar",$R136))),0)</f>
        <v>1</v>
      </c>
      <c r="V136" s="8" t="s">
        <v>46</v>
      </c>
      <c r="W136" s="8" t="s">
        <v>66</v>
      </c>
    </row>
    <row r="137" customFormat="false" ht="15" hidden="false" customHeight="false" outlineLevel="0" collapsed="false">
      <c r="A137" s="8" t="s">
        <v>969</v>
      </c>
      <c r="B137" s="8" t="n">
        <v>3</v>
      </c>
      <c r="C137" s="8" t="s">
        <v>411</v>
      </c>
      <c r="D137" s="8" t="s">
        <v>714</v>
      </c>
      <c r="E137" s="8" t="s">
        <v>950</v>
      </c>
      <c r="F137" s="8" t="n">
        <v>8</v>
      </c>
      <c r="G137" s="8" t="s">
        <v>951</v>
      </c>
      <c r="H137" s="8" t="s">
        <v>966</v>
      </c>
      <c r="I137" s="27" t="s">
        <v>970</v>
      </c>
      <c r="J137" s="8" t="s">
        <v>109</v>
      </c>
      <c r="K137" s="8" t="s">
        <v>112</v>
      </c>
      <c r="L137" s="8"/>
      <c r="M137" s="8" t="str">
        <f aca="false">IF(K137="FUERA","Fuera del marco",IF(K137="N/A","Sin marco",IFERROR(INDEX(Catalogo_TIMSS!$C$5:$C$105,MATCH(K137,Catalogo_TIMSS!$A$5:$A$105,0)),"Pendiente de clasificar")))</f>
        <v>Ciencias de la vida</v>
      </c>
      <c r="N137" s="8" t="str">
        <f aca="false">IF(K137="FUERA","Fuera del marco",IF(K137="N/A","Sin marco",IFERROR(INDEX(Catalogo_TIMSS!$F$5:$F$105,MATCH(K137,Catalogo_TIMSS!$A$5:$A$105,0)),"Pendiente de clasificar")))</f>
        <v>Características y procesos vitales de los organismos</v>
      </c>
      <c r="O137" s="8" t="str">
        <f aca="false">IF(L137="","",IFERROR(INDEX(Catalogo_TIMSS!$C$5:$C$105,MATCH(L137,Catalogo_TIMSS!$A$5:$A$105,0)),"?"))</f>
        <v/>
      </c>
      <c r="P137" s="8" t="s">
        <v>418</v>
      </c>
      <c r="Q137" s="27" t="s">
        <v>971</v>
      </c>
      <c r="R137" s="27" t="s">
        <v>424</v>
      </c>
      <c r="S137" s="28" t="n">
        <f aca="false">IFERROR(ISNUMBER(SEARCH("Conocer",$R137))/(ISNUMBER(SEARCH("Conocer",$R137))+ISNUMBER(SEARCH("Aplicar",$R137))+ISNUMBER(SEARCH("Razonar",$R137))),0)</f>
        <v>0.5</v>
      </c>
      <c r="T137" s="28" t="n">
        <f aca="false">IFERROR(ISNUMBER(SEARCH("Aplicar",$R137))/(ISNUMBER(SEARCH("Conocer",$R137))+ISNUMBER(SEARCH("Aplicar",$R137))+ISNUMBER(SEARCH("Razonar",$R137))),0)</f>
        <v>0.5</v>
      </c>
      <c r="U137" s="28" t="n">
        <f aca="false">IFERROR(ISNUMBER(SEARCH("Razonar",$R137))/(ISNUMBER(SEARCH("Conocer",$R137))+ISNUMBER(SEARCH("Aplicar",$R137))+ISNUMBER(SEARCH("Razonar",$R137))),0)</f>
        <v>0</v>
      </c>
      <c r="V137" s="8" t="s">
        <v>46</v>
      </c>
      <c r="W137" s="8" t="s">
        <v>66</v>
      </c>
    </row>
    <row r="138" customFormat="false" ht="15" hidden="false" customHeight="false" outlineLevel="0" collapsed="false">
      <c r="A138" s="8" t="s">
        <v>972</v>
      </c>
      <c r="B138" s="8" t="n">
        <v>3</v>
      </c>
      <c r="C138" s="8" t="s">
        <v>411</v>
      </c>
      <c r="D138" s="8" t="s">
        <v>714</v>
      </c>
      <c r="E138" s="8" t="s">
        <v>950</v>
      </c>
      <c r="F138" s="8" t="n">
        <v>9</v>
      </c>
      <c r="G138" s="8" t="s">
        <v>951</v>
      </c>
      <c r="H138" s="8" t="s">
        <v>973</v>
      </c>
      <c r="I138" s="27" t="s">
        <v>974</v>
      </c>
      <c r="J138" s="8" t="s">
        <v>109</v>
      </c>
      <c r="K138" s="8" t="s">
        <v>131</v>
      </c>
      <c r="L138" s="8"/>
      <c r="M138" s="8" t="str">
        <f aca="false">IF(K138="FUERA","Fuera del marco",IF(K138="N/A","Sin marco",IFERROR(INDEX(Catalogo_TIMSS!$C$5:$C$105,MATCH(K138,Catalogo_TIMSS!$A$5:$A$105,0)),"Pendiente de clasificar")))</f>
        <v>Ciencias de la vida</v>
      </c>
      <c r="N138" s="8" t="str">
        <f aca="false">IF(K138="FUERA","Fuera del marco",IF(K138="N/A","Sin marco",IFERROR(INDEX(Catalogo_TIMSS!$F$5:$F$105,MATCH(K138,Catalogo_TIMSS!$A$5:$A$105,0)),"Pendiente de clasificar")))</f>
        <v>Ecosistemas</v>
      </c>
      <c r="O138" s="8" t="str">
        <f aca="false">IF(L138="","",IFERROR(INDEX(Catalogo_TIMSS!$C$5:$C$105,MATCH(L138,Catalogo_TIMSS!$A$5:$A$105,0)),"?"))</f>
        <v/>
      </c>
      <c r="P138" s="8" t="s">
        <v>460</v>
      </c>
      <c r="Q138" s="27" t="s">
        <v>975</v>
      </c>
      <c r="R138" s="27" t="s">
        <v>976</v>
      </c>
      <c r="S138" s="28" t="n">
        <f aca="false">IFERROR(ISNUMBER(SEARCH("Conocer",$R138))/(ISNUMBER(SEARCH("Conocer",$R138))+ISNUMBER(SEARCH("Aplicar",$R138))+ISNUMBER(SEARCH("Razonar",$R138))),0)</f>
        <v>0</v>
      </c>
      <c r="T138" s="28" t="n">
        <f aca="false">IFERROR(ISNUMBER(SEARCH("Aplicar",$R138))/(ISNUMBER(SEARCH("Conocer",$R138))+ISNUMBER(SEARCH("Aplicar",$R138))+ISNUMBER(SEARCH("Razonar",$R138))),0)</f>
        <v>0.5</v>
      </c>
      <c r="U138" s="28" t="n">
        <f aca="false">IFERROR(ISNUMBER(SEARCH("Razonar",$R138))/(ISNUMBER(SEARCH("Conocer",$R138))+ISNUMBER(SEARCH("Aplicar",$R138))+ISNUMBER(SEARCH("Razonar",$R138))),0)</f>
        <v>0.5</v>
      </c>
      <c r="V138" s="8" t="s">
        <v>46</v>
      </c>
      <c r="W138" s="8" t="s">
        <v>66</v>
      </c>
    </row>
    <row r="139" customFormat="false" ht="15" hidden="false" customHeight="false" outlineLevel="0" collapsed="false">
      <c r="A139" s="8" t="s">
        <v>977</v>
      </c>
      <c r="B139" s="8" t="n">
        <v>3</v>
      </c>
      <c r="C139" s="8" t="s">
        <v>411</v>
      </c>
      <c r="D139" s="8" t="s">
        <v>714</v>
      </c>
      <c r="E139" s="8" t="s">
        <v>950</v>
      </c>
      <c r="F139" s="8" t="n">
        <v>10</v>
      </c>
      <c r="G139" s="8" t="s">
        <v>951</v>
      </c>
      <c r="H139" s="8" t="s">
        <v>973</v>
      </c>
      <c r="I139" s="27" t="s">
        <v>978</v>
      </c>
      <c r="J139" s="8" t="s">
        <v>109</v>
      </c>
      <c r="K139" s="8" t="s">
        <v>149</v>
      </c>
      <c r="L139" s="8" t="s">
        <v>108</v>
      </c>
      <c r="M139" s="8" t="str">
        <f aca="false">IF(K139="FUERA","Fuera del marco",IF(K139="N/A","Sin marco",IFERROR(INDEX(Catalogo_TIMSS!$C$5:$C$105,MATCH(K139,Catalogo_TIMSS!$A$5:$A$105,0)),"Pendiente de clasificar")))</f>
        <v>Ciencias físicas</v>
      </c>
      <c r="N139" s="8" t="str">
        <f aca="false">IF(K139="FUERA","Fuera del marco",IF(K139="N/A","Sin marco",IFERROR(INDEX(Catalogo_TIMSS!$F$5:$F$105,MATCH(K139,Catalogo_TIMSS!$A$5:$A$105,0)),"Pendiente de clasificar")))</f>
        <v>Clasificación y propiedades de la materia y sus cambios</v>
      </c>
      <c r="O139" s="8" t="str">
        <f aca="false">IF(L139="","",IFERROR(INDEX(Catalogo_TIMSS!$C$5:$C$105,MATCH(L139,Catalogo_TIMSS!$A$5:$A$105,0)),"?"))</f>
        <v>Ciencias de la vida</v>
      </c>
      <c r="P139" s="8" t="s">
        <v>460</v>
      </c>
      <c r="Q139" s="27" t="s">
        <v>979</v>
      </c>
      <c r="R139" s="27" t="s">
        <v>980</v>
      </c>
      <c r="S139" s="28" t="n">
        <f aca="false">IFERROR(ISNUMBER(SEARCH("Conocer",$R139))/(ISNUMBER(SEARCH("Conocer",$R139))+ISNUMBER(SEARCH("Aplicar",$R139))+ISNUMBER(SEARCH("Razonar",$R139))),0)</f>
        <v>0.5</v>
      </c>
      <c r="T139" s="28" t="n">
        <f aca="false">IFERROR(ISNUMBER(SEARCH("Aplicar",$R139))/(ISNUMBER(SEARCH("Conocer",$R139))+ISNUMBER(SEARCH("Aplicar",$R139))+ISNUMBER(SEARCH("Razonar",$R139))),0)</f>
        <v>0</v>
      </c>
      <c r="U139" s="28" t="n">
        <f aca="false">IFERROR(ISNUMBER(SEARCH("Razonar",$R139))/(ISNUMBER(SEARCH("Conocer",$R139))+ISNUMBER(SEARCH("Aplicar",$R139))+ISNUMBER(SEARCH("Razonar",$R139))),0)</f>
        <v>0.5</v>
      </c>
      <c r="V139" s="8" t="s">
        <v>46</v>
      </c>
      <c r="W139" s="8" t="s">
        <v>66</v>
      </c>
    </row>
    <row r="140" customFormat="false" ht="15" hidden="false" customHeight="false" outlineLevel="0" collapsed="false">
      <c r="A140" s="8" t="s">
        <v>981</v>
      </c>
      <c r="B140" s="8" t="n">
        <v>3</v>
      </c>
      <c r="C140" s="8" t="s">
        <v>411</v>
      </c>
      <c r="D140" s="8" t="s">
        <v>714</v>
      </c>
      <c r="E140" s="8" t="s">
        <v>950</v>
      </c>
      <c r="F140" s="8" t="n">
        <v>11</v>
      </c>
      <c r="G140" s="8" t="s">
        <v>951</v>
      </c>
      <c r="H140" s="8" t="s">
        <v>973</v>
      </c>
      <c r="I140" s="27" t="s">
        <v>982</v>
      </c>
      <c r="J140" s="8" t="s">
        <v>109</v>
      </c>
      <c r="K140" s="8" t="s">
        <v>138</v>
      </c>
      <c r="L140" s="8"/>
      <c r="M140" s="8" t="str">
        <f aca="false">IF(K140="FUERA","Fuera del marco",IF(K140="N/A","Sin marco",IFERROR(INDEX(Catalogo_TIMSS!$C$5:$C$105,MATCH(K140,Catalogo_TIMSS!$A$5:$A$105,0)),"Pendiente de clasificar")))</f>
        <v>Ciencias de la vida</v>
      </c>
      <c r="N140" s="8" t="str">
        <f aca="false">IF(K140="FUERA","Fuera del marco",IF(K140="N/A","Sin marco",IFERROR(INDEX(Catalogo_TIMSS!$F$5:$F$105,MATCH(K140,Catalogo_TIMSS!$A$5:$A$105,0)),"Pendiente de clasificar")))</f>
        <v>Salud humana</v>
      </c>
      <c r="O140" s="8" t="str">
        <f aca="false">IF(L140="","",IFERROR(INDEX(Catalogo_TIMSS!$C$5:$C$105,MATCH(L140,Catalogo_TIMSS!$A$5:$A$105,0)),"?"))</f>
        <v/>
      </c>
      <c r="P140" s="8" t="s">
        <v>513</v>
      </c>
      <c r="Q140" s="27" t="s">
        <v>983</v>
      </c>
      <c r="R140" s="27" t="s">
        <v>828</v>
      </c>
      <c r="S140" s="28" t="n">
        <f aca="false">IFERROR(ISNUMBER(SEARCH("Conocer",$R140))/(ISNUMBER(SEARCH("Conocer",$R140))+ISNUMBER(SEARCH("Aplicar",$R140))+ISNUMBER(SEARCH("Razonar",$R140))),0)</f>
        <v>0</v>
      </c>
      <c r="T140" s="28" t="n">
        <f aca="false">IFERROR(ISNUMBER(SEARCH("Aplicar",$R140))/(ISNUMBER(SEARCH("Conocer",$R140))+ISNUMBER(SEARCH("Aplicar",$R140))+ISNUMBER(SEARCH("Razonar",$R140))),0)</f>
        <v>0</v>
      </c>
      <c r="U140" s="28" t="n">
        <f aca="false">IFERROR(ISNUMBER(SEARCH("Razonar",$R140))/(ISNUMBER(SEARCH("Conocer",$R140))+ISNUMBER(SEARCH("Aplicar",$R140))+ISNUMBER(SEARCH("Razonar",$R140))),0)</f>
        <v>1</v>
      </c>
      <c r="V140" s="8" t="s">
        <v>46</v>
      </c>
      <c r="W140" s="8" t="s">
        <v>66</v>
      </c>
    </row>
    <row r="141" customFormat="false" ht="15" hidden="false" customHeight="false" outlineLevel="0" collapsed="false">
      <c r="A141" s="8" t="s">
        <v>984</v>
      </c>
      <c r="B141" s="8" t="n">
        <v>4</v>
      </c>
      <c r="C141" s="8" t="s">
        <v>411</v>
      </c>
      <c r="D141" s="8" t="s">
        <v>985</v>
      </c>
      <c r="E141" s="8" t="s">
        <v>986</v>
      </c>
      <c r="F141" s="8" t="n">
        <v>3</v>
      </c>
      <c r="G141" s="8" t="s">
        <v>987</v>
      </c>
      <c r="H141" s="8" t="s">
        <v>988</v>
      </c>
      <c r="I141" s="27" t="s">
        <v>989</v>
      </c>
      <c r="J141" s="8" t="s">
        <v>109</v>
      </c>
      <c r="K141" s="8" t="s">
        <v>163</v>
      </c>
      <c r="L141" s="8"/>
      <c r="M141" s="8" t="str">
        <f aca="false">IF(K141="FUERA","Fuera del marco",IF(K141="N/A","Sin marco",IFERROR(INDEX(Catalogo_TIMSS!$C$5:$C$105,MATCH(K141,Catalogo_TIMSS!$A$5:$A$105,0)),"Pendiente de clasificar")))</f>
        <v>Ciencias físicas</v>
      </c>
      <c r="N141" s="8" t="str">
        <f aca="false">IF(K141="FUERA","Fuera del marco",IF(K141="N/A","Sin marco",IFERROR(INDEX(Catalogo_TIMSS!$F$5:$F$105,MATCH(K141,Catalogo_TIMSS!$A$5:$A$105,0)),"Pendiente de clasificar")))</f>
        <v>Fuerzas y movimiento</v>
      </c>
      <c r="O141" s="8" t="str">
        <f aca="false">IF(L141="","",IFERROR(INDEX(Catalogo_TIMSS!$C$5:$C$105,MATCH(L141,Catalogo_TIMSS!$A$5:$A$105,0)),"?"))</f>
        <v/>
      </c>
      <c r="P141" s="8" t="s">
        <v>418</v>
      </c>
      <c r="Q141" s="27" t="s">
        <v>990</v>
      </c>
      <c r="R141" s="27" t="s">
        <v>991</v>
      </c>
      <c r="S141" s="28" t="n">
        <f aca="false">IFERROR(ISNUMBER(SEARCH("Conocer",$R141))/(ISNUMBER(SEARCH("Conocer",$R141))+ISNUMBER(SEARCH("Aplicar",$R141))+ISNUMBER(SEARCH("Razonar",$R141))),0)</f>
        <v>1</v>
      </c>
      <c r="T141" s="28" t="n">
        <f aca="false">IFERROR(ISNUMBER(SEARCH("Aplicar",$R141))/(ISNUMBER(SEARCH("Conocer",$R141))+ISNUMBER(SEARCH("Aplicar",$R141))+ISNUMBER(SEARCH("Razonar",$R141))),0)</f>
        <v>0</v>
      </c>
      <c r="U141" s="28" t="n">
        <f aca="false">IFERROR(ISNUMBER(SEARCH("Razonar",$R141))/(ISNUMBER(SEARCH("Conocer",$R141))+ISNUMBER(SEARCH("Aplicar",$R141))+ISNUMBER(SEARCH("Razonar",$R141))),0)</f>
        <v>0</v>
      </c>
      <c r="V141" s="8" t="s">
        <v>47</v>
      </c>
      <c r="W141" s="8" t="s">
        <v>66</v>
      </c>
    </row>
    <row r="142" customFormat="false" ht="15" hidden="false" customHeight="false" outlineLevel="0" collapsed="false">
      <c r="A142" s="8" t="s">
        <v>992</v>
      </c>
      <c r="B142" s="8" t="n">
        <v>4</v>
      </c>
      <c r="C142" s="8" t="s">
        <v>411</v>
      </c>
      <c r="D142" s="8" t="s">
        <v>985</v>
      </c>
      <c r="E142" s="8" t="s">
        <v>986</v>
      </c>
      <c r="F142" s="8" t="n">
        <v>4</v>
      </c>
      <c r="G142" s="8" t="s">
        <v>987</v>
      </c>
      <c r="H142" s="8" t="s">
        <v>988</v>
      </c>
      <c r="I142" s="27" t="s">
        <v>993</v>
      </c>
      <c r="J142" s="8" t="s">
        <v>109</v>
      </c>
      <c r="K142" s="8" t="s">
        <v>163</v>
      </c>
      <c r="L142" s="8"/>
      <c r="M142" s="8" t="str">
        <f aca="false">IF(K142="FUERA","Fuera del marco",IF(K142="N/A","Sin marco",IFERROR(INDEX(Catalogo_TIMSS!$C$5:$C$105,MATCH(K142,Catalogo_TIMSS!$A$5:$A$105,0)),"Pendiente de clasificar")))</f>
        <v>Ciencias físicas</v>
      </c>
      <c r="N142" s="8" t="str">
        <f aca="false">IF(K142="FUERA","Fuera del marco",IF(K142="N/A","Sin marco",IFERROR(INDEX(Catalogo_TIMSS!$F$5:$F$105,MATCH(K142,Catalogo_TIMSS!$A$5:$A$105,0)),"Pendiente de clasificar")))</f>
        <v>Fuerzas y movimiento</v>
      </c>
      <c r="O142" s="8" t="str">
        <f aca="false">IF(L142="","",IFERROR(INDEX(Catalogo_TIMSS!$C$5:$C$105,MATCH(L142,Catalogo_TIMSS!$A$5:$A$105,0)),"?"))</f>
        <v/>
      </c>
      <c r="P142" s="8" t="s">
        <v>418</v>
      </c>
      <c r="Q142" s="27" t="s">
        <v>994</v>
      </c>
      <c r="R142" s="27" t="s">
        <v>995</v>
      </c>
      <c r="S142" s="28" t="n">
        <f aca="false">IFERROR(ISNUMBER(SEARCH("Conocer",$R142))/(ISNUMBER(SEARCH("Conocer",$R142))+ISNUMBER(SEARCH("Aplicar",$R142))+ISNUMBER(SEARCH("Razonar",$R142))),0)</f>
        <v>0</v>
      </c>
      <c r="T142" s="28" t="n">
        <f aca="false">IFERROR(ISNUMBER(SEARCH("Aplicar",$R142))/(ISNUMBER(SEARCH("Conocer",$R142))+ISNUMBER(SEARCH("Aplicar",$R142))+ISNUMBER(SEARCH("Razonar",$R142))),0)</f>
        <v>1</v>
      </c>
      <c r="U142" s="28" t="n">
        <f aca="false">IFERROR(ISNUMBER(SEARCH("Razonar",$R142))/(ISNUMBER(SEARCH("Conocer",$R142))+ISNUMBER(SEARCH("Aplicar",$R142))+ISNUMBER(SEARCH("Razonar",$R142))),0)</f>
        <v>0</v>
      </c>
      <c r="V142" s="8" t="s">
        <v>47</v>
      </c>
      <c r="W142" s="8" t="s">
        <v>66</v>
      </c>
    </row>
    <row r="143" customFormat="false" ht="15" hidden="false" customHeight="false" outlineLevel="0" collapsed="false">
      <c r="A143" s="8" t="s">
        <v>996</v>
      </c>
      <c r="B143" s="8" t="n">
        <v>4</v>
      </c>
      <c r="C143" s="8" t="s">
        <v>411</v>
      </c>
      <c r="D143" s="8" t="s">
        <v>985</v>
      </c>
      <c r="E143" s="8" t="s">
        <v>986</v>
      </c>
      <c r="F143" s="8" t="n">
        <v>5</v>
      </c>
      <c r="G143" s="8" t="s">
        <v>987</v>
      </c>
      <c r="H143" s="8" t="s">
        <v>988</v>
      </c>
      <c r="I143" s="27" t="s">
        <v>997</v>
      </c>
      <c r="J143" s="8" t="s">
        <v>109</v>
      </c>
      <c r="K143" s="8" t="s">
        <v>163</v>
      </c>
      <c r="L143" s="8"/>
      <c r="M143" s="8" t="str">
        <f aca="false">IF(K143="FUERA","Fuera del marco",IF(K143="N/A","Sin marco",IFERROR(INDEX(Catalogo_TIMSS!$C$5:$C$105,MATCH(K143,Catalogo_TIMSS!$A$5:$A$105,0)),"Pendiente de clasificar")))</f>
        <v>Ciencias físicas</v>
      </c>
      <c r="N143" s="8" t="str">
        <f aca="false">IF(K143="FUERA","Fuera del marco",IF(K143="N/A","Sin marco",IFERROR(INDEX(Catalogo_TIMSS!$F$5:$F$105,MATCH(K143,Catalogo_TIMSS!$A$5:$A$105,0)),"Pendiente de clasificar")))</f>
        <v>Fuerzas y movimiento</v>
      </c>
      <c r="O143" s="8" t="str">
        <f aca="false">IF(L143="","",IFERROR(INDEX(Catalogo_TIMSS!$C$5:$C$105,MATCH(L143,Catalogo_TIMSS!$A$5:$A$105,0)),"?"))</f>
        <v/>
      </c>
      <c r="P143" s="8" t="s">
        <v>418</v>
      </c>
      <c r="Q143" s="27" t="s">
        <v>998</v>
      </c>
      <c r="R143" s="27" t="s">
        <v>595</v>
      </c>
      <c r="S143" s="28" t="n">
        <f aca="false">IFERROR(ISNUMBER(SEARCH("Conocer",$R143))/(ISNUMBER(SEARCH("Conocer",$R143))+ISNUMBER(SEARCH("Aplicar",$R143))+ISNUMBER(SEARCH("Razonar",$R143))),0)</f>
        <v>0</v>
      </c>
      <c r="T143" s="28" t="n">
        <f aca="false">IFERROR(ISNUMBER(SEARCH("Aplicar",$R143))/(ISNUMBER(SEARCH("Conocer",$R143))+ISNUMBER(SEARCH("Aplicar",$R143))+ISNUMBER(SEARCH("Razonar",$R143))),0)</f>
        <v>0.5</v>
      </c>
      <c r="U143" s="28" t="n">
        <f aca="false">IFERROR(ISNUMBER(SEARCH("Razonar",$R143))/(ISNUMBER(SEARCH("Conocer",$R143))+ISNUMBER(SEARCH("Aplicar",$R143))+ISNUMBER(SEARCH("Razonar",$R143))),0)</f>
        <v>0.5</v>
      </c>
      <c r="V143" s="8" t="s">
        <v>47</v>
      </c>
      <c r="W143" s="8" t="s">
        <v>66</v>
      </c>
    </row>
    <row r="144" customFormat="false" ht="15" hidden="false" customHeight="false" outlineLevel="0" collapsed="false">
      <c r="A144" s="8" t="s">
        <v>999</v>
      </c>
      <c r="B144" s="8" t="n">
        <v>4</v>
      </c>
      <c r="C144" s="8" t="s">
        <v>411</v>
      </c>
      <c r="D144" s="8" t="s">
        <v>985</v>
      </c>
      <c r="E144" s="8" t="s">
        <v>986</v>
      </c>
      <c r="F144" s="8" t="n">
        <v>6</v>
      </c>
      <c r="G144" s="8" t="s">
        <v>987</v>
      </c>
      <c r="H144" s="8" t="s">
        <v>1000</v>
      </c>
      <c r="I144" s="27" t="s">
        <v>1001</v>
      </c>
      <c r="J144" s="8" t="s">
        <v>109</v>
      </c>
      <c r="K144" s="8" t="s">
        <v>163</v>
      </c>
      <c r="L144" s="8"/>
      <c r="M144" s="8" t="str">
        <f aca="false">IF(K144="FUERA","Fuera del marco",IF(K144="N/A","Sin marco",IFERROR(INDEX(Catalogo_TIMSS!$C$5:$C$105,MATCH(K144,Catalogo_TIMSS!$A$5:$A$105,0)),"Pendiente de clasificar")))</f>
        <v>Ciencias físicas</v>
      </c>
      <c r="N144" s="8" t="str">
        <f aca="false">IF(K144="FUERA","Fuera del marco",IF(K144="N/A","Sin marco",IFERROR(INDEX(Catalogo_TIMSS!$F$5:$F$105,MATCH(K144,Catalogo_TIMSS!$A$5:$A$105,0)),"Pendiente de clasificar")))</f>
        <v>Fuerzas y movimiento</v>
      </c>
      <c r="O144" s="8" t="str">
        <f aca="false">IF(L144="","",IFERROR(INDEX(Catalogo_TIMSS!$C$5:$C$105,MATCH(L144,Catalogo_TIMSS!$A$5:$A$105,0)),"?"))</f>
        <v/>
      </c>
      <c r="P144" s="8" t="s">
        <v>460</v>
      </c>
      <c r="Q144" s="27" t="s">
        <v>1002</v>
      </c>
      <c r="R144" s="27" t="s">
        <v>991</v>
      </c>
      <c r="S144" s="28" t="n">
        <f aca="false">IFERROR(ISNUMBER(SEARCH("Conocer",$R144))/(ISNUMBER(SEARCH("Conocer",$R144))+ISNUMBER(SEARCH("Aplicar",$R144))+ISNUMBER(SEARCH("Razonar",$R144))),0)</f>
        <v>1</v>
      </c>
      <c r="T144" s="28" t="n">
        <f aca="false">IFERROR(ISNUMBER(SEARCH("Aplicar",$R144))/(ISNUMBER(SEARCH("Conocer",$R144))+ISNUMBER(SEARCH("Aplicar",$R144))+ISNUMBER(SEARCH("Razonar",$R144))),0)</f>
        <v>0</v>
      </c>
      <c r="U144" s="28" t="n">
        <f aca="false">IFERROR(ISNUMBER(SEARCH("Razonar",$R144))/(ISNUMBER(SEARCH("Conocer",$R144))+ISNUMBER(SEARCH("Aplicar",$R144))+ISNUMBER(SEARCH("Razonar",$R144))),0)</f>
        <v>0</v>
      </c>
      <c r="V144" s="8" t="s">
        <v>47</v>
      </c>
      <c r="W144" s="8" t="s">
        <v>66</v>
      </c>
    </row>
    <row r="145" customFormat="false" ht="15" hidden="false" customHeight="false" outlineLevel="0" collapsed="false">
      <c r="A145" s="8" t="s">
        <v>1003</v>
      </c>
      <c r="B145" s="8" t="n">
        <v>4</v>
      </c>
      <c r="C145" s="8" t="s">
        <v>411</v>
      </c>
      <c r="D145" s="8" t="s">
        <v>985</v>
      </c>
      <c r="E145" s="8" t="s">
        <v>986</v>
      </c>
      <c r="F145" s="8" t="n">
        <v>7</v>
      </c>
      <c r="G145" s="8" t="s">
        <v>987</v>
      </c>
      <c r="H145" s="8" t="s">
        <v>1000</v>
      </c>
      <c r="I145" s="27" t="s">
        <v>1004</v>
      </c>
      <c r="J145" s="8" t="s">
        <v>109</v>
      </c>
      <c r="K145" s="8" t="s">
        <v>163</v>
      </c>
      <c r="L145" s="8"/>
      <c r="M145" s="8" t="str">
        <f aca="false">IF(K145="FUERA","Fuera del marco",IF(K145="N/A","Sin marco",IFERROR(INDEX(Catalogo_TIMSS!$C$5:$C$105,MATCH(K145,Catalogo_TIMSS!$A$5:$A$105,0)),"Pendiente de clasificar")))</f>
        <v>Ciencias físicas</v>
      </c>
      <c r="N145" s="8" t="str">
        <f aca="false">IF(K145="FUERA","Fuera del marco",IF(K145="N/A","Sin marco",IFERROR(INDEX(Catalogo_TIMSS!$F$5:$F$105,MATCH(K145,Catalogo_TIMSS!$A$5:$A$105,0)),"Pendiente de clasificar")))</f>
        <v>Fuerzas y movimiento</v>
      </c>
      <c r="O145" s="8" t="str">
        <f aca="false">IF(L145="","",IFERROR(INDEX(Catalogo_TIMSS!$C$5:$C$105,MATCH(L145,Catalogo_TIMSS!$A$5:$A$105,0)),"?"))</f>
        <v/>
      </c>
      <c r="P145" s="8" t="s">
        <v>418</v>
      </c>
      <c r="Q145" s="27" t="s">
        <v>1005</v>
      </c>
      <c r="R145" s="27" t="s">
        <v>1006</v>
      </c>
      <c r="S145" s="28" t="n">
        <f aca="false">IFERROR(ISNUMBER(SEARCH("Conocer",$R145))/(ISNUMBER(SEARCH("Conocer",$R145))+ISNUMBER(SEARCH("Aplicar",$R145))+ISNUMBER(SEARCH("Razonar",$R145))),0)</f>
        <v>0</v>
      </c>
      <c r="T145" s="28" t="n">
        <f aca="false">IFERROR(ISNUMBER(SEARCH("Aplicar",$R145))/(ISNUMBER(SEARCH("Conocer",$R145))+ISNUMBER(SEARCH("Aplicar",$R145))+ISNUMBER(SEARCH("Razonar",$R145))),0)</f>
        <v>1</v>
      </c>
      <c r="U145" s="28" t="n">
        <f aca="false">IFERROR(ISNUMBER(SEARCH("Razonar",$R145))/(ISNUMBER(SEARCH("Conocer",$R145))+ISNUMBER(SEARCH("Aplicar",$R145))+ISNUMBER(SEARCH("Razonar",$R145))),0)</f>
        <v>0</v>
      </c>
      <c r="V145" s="8" t="s">
        <v>47</v>
      </c>
      <c r="W145" s="8" t="s">
        <v>66</v>
      </c>
    </row>
    <row r="146" customFormat="false" ht="15" hidden="false" customHeight="false" outlineLevel="0" collapsed="false">
      <c r="A146" s="8" t="s">
        <v>1007</v>
      </c>
      <c r="B146" s="8" t="n">
        <v>4</v>
      </c>
      <c r="C146" s="8" t="s">
        <v>411</v>
      </c>
      <c r="D146" s="8" t="s">
        <v>985</v>
      </c>
      <c r="E146" s="8" t="s">
        <v>986</v>
      </c>
      <c r="F146" s="8" t="n">
        <v>8</v>
      </c>
      <c r="G146" s="8" t="s">
        <v>987</v>
      </c>
      <c r="H146" s="8" t="s">
        <v>1000</v>
      </c>
      <c r="I146" s="27" t="s">
        <v>1008</v>
      </c>
      <c r="J146" s="8" t="s">
        <v>109</v>
      </c>
      <c r="K146" s="8" t="s">
        <v>163</v>
      </c>
      <c r="L146" s="8"/>
      <c r="M146" s="8" t="str">
        <f aca="false">IF(K146="FUERA","Fuera del marco",IF(K146="N/A","Sin marco",IFERROR(INDEX(Catalogo_TIMSS!$C$5:$C$105,MATCH(K146,Catalogo_TIMSS!$A$5:$A$105,0)),"Pendiente de clasificar")))</f>
        <v>Ciencias físicas</v>
      </c>
      <c r="N146" s="8" t="str">
        <f aca="false">IF(K146="FUERA","Fuera del marco",IF(K146="N/A","Sin marco",IFERROR(INDEX(Catalogo_TIMSS!$F$5:$F$105,MATCH(K146,Catalogo_TIMSS!$A$5:$A$105,0)),"Pendiente de clasificar")))</f>
        <v>Fuerzas y movimiento</v>
      </c>
      <c r="O146" s="8" t="str">
        <f aca="false">IF(L146="","",IFERROR(INDEX(Catalogo_TIMSS!$C$5:$C$105,MATCH(L146,Catalogo_TIMSS!$A$5:$A$105,0)),"?"))</f>
        <v/>
      </c>
      <c r="P146" s="8" t="s">
        <v>513</v>
      </c>
      <c r="Q146" s="27" t="s">
        <v>1009</v>
      </c>
      <c r="R146" s="27" t="s">
        <v>1010</v>
      </c>
      <c r="S146" s="28" t="n">
        <f aca="false">IFERROR(ISNUMBER(SEARCH("Conocer",$R146))/(ISNUMBER(SEARCH("Conocer",$R146))+ISNUMBER(SEARCH("Aplicar",$R146))+ISNUMBER(SEARCH("Razonar",$R146))),0)</f>
        <v>0</v>
      </c>
      <c r="T146" s="28" t="n">
        <f aca="false">IFERROR(ISNUMBER(SEARCH("Aplicar",$R146))/(ISNUMBER(SEARCH("Conocer",$R146))+ISNUMBER(SEARCH("Aplicar",$R146))+ISNUMBER(SEARCH("Razonar",$R146))),0)</f>
        <v>0</v>
      </c>
      <c r="U146" s="28" t="n">
        <f aca="false">IFERROR(ISNUMBER(SEARCH("Razonar",$R146))/(ISNUMBER(SEARCH("Conocer",$R146))+ISNUMBER(SEARCH("Aplicar",$R146))+ISNUMBER(SEARCH("Razonar",$R146))),0)</f>
        <v>1</v>
      </c>
      <c r="V146" s="8" t="s">
        <v>47</v>
      </c>
      <c r="W146" s="8" t="s">
        <v>66</v>
      </c>
    </row>
    <row r="147" customFormat="false" ht="15" hidden="false" customHeight="false" outlineLevel="0" collapsed="false">
      <c r="A147" s="8" t="s">
        <v>1011</v>
      </c>
      <c r="B147" s="8" t="n">
        <v>4</v>
      </c>
      <c r="C147" s="8" t="s">
        <v>411</v>
      </c>
      <c r="D147" s="8" t="s">
        <v>985</v>
      </c>
      <c r="E147" s="8" t="s">
        <v>986</v>
      </c>
      <c r="F147" s="8" t="n">
        <v>9</v>
      </c>
      <c r="G147" s="8" t="s">
        <v>987</v>
      </c>
      <c r="H147" s="8" t="s">
        <v>1012</v>
      </c>
      <c r="I147" s="27" t="s">
        <v>1013</v>
      </c>
      <c r="J147" s="8" t="s">
        <v>109</v>
      </c>
      <c r="K147" s="8" t="s">
        <v>417</v>
      </c>
      <c r="L147" s="8"/>
      <c r="M147" s="8" t="str">
        <f aca="false">IF(K147="FUERA","Fuera del marco",IF(K147="N/A","Sin marco",IFERROR(INDEX(Catalogo_TIMSS!$C$5:$C$105,MATCH(K147,Catalogo_TIMSS!$A$5:$A$105,0)),"Pendiente de clasificar")))</f>
        <v>Fuera del marco</v>
      </c>
      <c r="N147" s="8" t="str">
        <f aca="false">IF(K147="FUERA","Fuera del marco",IF(K147="N/A","Sin marco",IFERROR(INDEX(Catalogo_TIMSS!$F$5:$F$105,MATCH(K147,Catalogo_TIMSS!$A$5:$A$105,0)),"Pendiente de clasificar")))</f>
        <v>Fuera del marco</v>
      </c>
      <c r="O147" s="8" t="str">
        <f aca="false">IF(L147="","",IFERROR(INDEX(Catalogo_TIMSS!$C$5:$C$105,MATCH(L147,Catalogo_TIMSS!$A$5:$A$105,0)),"?"))</f>
        <v/>
      </c>
      <c r="P147" s="8" t="s">
        <v>418</v>
      </c>
      <c r="Q147" s="27" t="s">
        <v>1014</v>
      </c>
      <c r="R147" s="27" t="s">
        <v>879</v>
      </c>
      <c r="S147" s="28" t="n">
        <f aca="false">IFERROR(ISNUMBER(SEARCH("Conocer",$R147))/(ISNUMBER(SEARCH("Conocer",$R147))+ISNUMBER(SEARCH("Aplicar",$R147))+ISNUMBER(SEARCH("Razonar",$R147))),0)</f>
        <v>0</v>
      </c>
      <c r="T147" s="28" t="n">
        <f aca="false">IFERROR(ISNUMBER(SEARCH("Aplicar",$R147))/(ISNUMBER(SEARCH("Conocer",$R147))+ISNUMBER(SEARCH("Aplicar",$R147))+ISNUMBER(SEARCH("Razonar",$R147))),0)</f>
        <v>1</v>
      </c>
      <c r="U147" s="28" t="n">
        <f aca="false">IFERROR(ISNUMBER(SEARCH("Razonar",$R147))/(ISNUMBER(SEARCH("Conocer",$R147))+ISNUMBER(SEARCH("Aplicar",$R147))+ISNUMBER(SEARCH("Razonar",$R147))),0)</f>
        <v>0</v>
      </c>
      <c r="V147" s="8" t="s">
        <v>47</v>
      </c>
      <c r="W147" s="8" t="s">
        <v>66</v>
      </c>
    </row>
    <row r="148" customFormat="false" ht="15" hidden="false" customHeight="false" outlineLevel="0" collapsed="false">
      <c r="A148" s="8" t="s">
        <v>1015</v>
      </c>
      <c r="B148" s="8" t="n">
        <v>4</v>
      </c>
      <c r="C148" s="8" t="s">
        <v>411</v>
      </c>
      <c r="D148" s="8" t="s">
        <v>985</v>
      </c>
      <c r="E148" s="8" t="s">
        <v>986</v>
      </c>
      <c r="F148" s="8" t="n">
        <v>10</v>
      </c>
      <c r="G148" s="8" t="s">
        <v>987</v>
      </c>
      <c r="H148" s="8" t="s">
        <v>1012</v>
      </c>
      <c r="I148" s="27" t="s">
        <v>1016</v>
      </c>
      <c r="J148" s="8" t="s">
        <v>109</v>
      </c>
      <c r="K148" s="8" t="s">
        <v>151</v>
      </c>
      <c r="L148" s="8"/>
      <c r="M148" s="8" t="str">
        <f aca="false">IF(K148="FUERA","Fuera del marco",IF(K148="N/A","Sin marco",IFERROR(INDEX(Catalogo_TIMSS!$C$5:$C$105,MATCH(K148,Catalogo_TIMSS!$A$5:$A$105,0)),"Pendiente de clasificar")))</f>
        <v>Ciencias físicas</v>
      </c>
      <c r="N148" s="8" t="str">
        <f aca="false">IF(K148="FUERA","Fuera del marco",IF(K148="N/A","Sin marco",IFERROR(INDEX(Catalogo_TIMSS!$F$5:$F$105,MATCH(K148,Catalogo_TIMSS!$A$5:$A$105,0)),"Pendiente de clasificar")))</f>
        <v>Formas de energía y transferencia de energía</v>
      </c>
      <c r="O148" s="8" t="str">
        <f aca="false">IF(L148="","",IFERROR(INDEX(Catalogo_TIMSS!$C$5:$C$105,MATCH(L148,Catalogo_TIMSS!$A$5:$A$105,0)),"?"))</f>
        <v/>
      </c>
      <c r="P148" s="8" t="s">
        <v>418</v>
      </c>
      <c r="Q148" s="27" t="s">
        <v>1017</v>
      </c>
      <c r="R148" s="27" t="s">
        <v>429</v>
      </c>
      <c r="S148" s="28" t="n">
        <f aca="false">IFERROR(ISNUMBER(SEARCH("Conocer",$R148))/(ISNUMBER(SEARCH("Conocer",$R148))+ISNUMBER(SEARCH("Aplicar",$R148))+ISNUMBER(SEARCH("Razonar",$R148))),0)</f>
        <v>0</v>
      </c>
      <c r="T148" s="28" t="n">
        <f aca="false">IFERROR(ISNUMBER(SEARCH("Aplicar",$R148))/(ISNUMBER(SEARCH("Conocer",$R148))+ISNUMBER(SEARCH("Aplicar",$R148))+ISNUMBER(SEARCH("Razonar",$R148))),0)</f>
        <v>1</v>
      </c>
      <c r="U148" s="28" t="n">
        <f aca="false">IFERROR(ISNUMBER(SEARCH("Razonar",$R148))/(ISNUMBER(SEARCH("Conocer",$R148))+ISNUMBER(SEARCH("Aplicar",$R148))+ISNUMBER(SEARCH("Razonar",$R148))),0)</f>
        <v>0</v>
      </c>
      <c r="V148" s="8" t="s">
        <v>47</v>
      </c>
      <c r="W148" s="8" t="s">
        <v>66</v>
      </c>
    </row>
    <row r="149" customFormat="false" ht="15" hidden="false" customHeight="false" outlineLevel="0" collapsed="false">
      <c r="A149" s="8" t="s">
        <v>1018</v>
      </c>
      <c r="B149" s="8" t="n">
        <v>4</v>
      </c>
      <c r="C149" s="8" t="s">
        <v>411</v>
      </c>
      <c r="D149" s="8" t="s">
        <v>985</v>
      </c>
      <c r="E149" s="8" t="s">
        <v>986</v>
      </c>
      <c r="F149" s="8" t="n">
        <v>11</v>
      </c>
      <c r="G149" s="8" t="s">
        <v>987</v>
      </c>
      <c r="H149" s="8" t="s">
        <v>503</v>
      </c>
      <c r="I149" s="27" t="s">
        <v>1019</v>
      </c>
      <c r="J149" s="8" t="s">
        <v>109</v>
      </c>
      <c r="K149" s="8" t="s">
        <v>158</v>
      </c>
      <c r="L149" s="8" t="s">
        <v>151</v>
      </c>
      <c r="M149" s="8" t="str">
        <f aca="false">IF(K149="FUERA","Fuera del marco",IF(K149="N/A","Sin marco",IFERROR(INDEX(Catalogo_TIMSS!$C$5:$C$105,MATCH(K149,Catalogo_TIMSS!$A$5:$A$105,0)),"Pendiente de clasificar")))</f>
        <v>Ciencias físicas</v>
      </c>
      <c r="N149" s="8" t="str">
        <f aca="false">IF(K149="FUERA","Fuera del marco",IF(K149="N/A","Sin marco",IFERROR(INDEX(Catalogo_TIMSS!$F$5:$F$105,MATCH(K149,Catalogo_TIMSS!$A$5:$A$105,0)),"Pendiente de clasificar")))</f>
        <v>Formas de energía y transferencia de energía</v>
      </c>
      <c r="O149" s="8" t="str">
        <f aca="false">IF(L149="","",IFERROR(INDEX(Catalogo_TIMSS!$C$5:$C$105,MATCH(L149,Catalogo_TIMSS!$A$5:$A$105,0)),"?"))</f>
        <v>Ciencias físicas</v>
      </c>
      <c r="P149" s="8" t="s">
        <v>460</v>
      </c>
      <c r="Q149" s="27" t="s">
        <v>1020</v>
      </c>
      <c r="R149" s="27" t="s">
        <v>1021</v>
      </c>
      <c r="S149" s="28" t="n">
        <f aca="false">IFERROR(ISNUMBER(SEARCH("Conocer",$R149))/(ISNUMBER(SEARCH("Conocer",$R149))+ISNUMBER(SEARCH("Aplicar",$R149))+ISNUMBER(SEARCH("Razonar",$R149))),0)</f>
        <v>0</v>
      </c>
      <c r="T149" s="28" t="n">
        <f aca="false">IFERROR(ISNUMBER(SEARCH("Aplicar",$R149))/(ISNUMBER(SEARCH("Conocer",$R149))+ISNUMBER(SEARCH("Aplicar",$R149))+ISNUMBER(SEARCH("Razonar",$R149))),0)</f>
        <v>1</v>
      </c>
      <c r="U149" s="28" t="n">
        <f aca="false">IFERROR(ISNUMBER(SEARCH("Razonar",$R149))/(ISNUMBER(SEARCH("Conocer",$R149))+ISNUMBER(SEARCH("Aplicar",$R149))+ISNUMBER(SEARCH("Razonar",$R149))),0)</f>
        <v>0</v>
      </c>
      <c r="V149" s="8" t="s">
        <v>47</v>
      </c>
      <c r="W149" s="8" t="s">
        <v>66</v>
      </c>
    </row>
    <row r="150" customFormat="false" ht="15" hidden="false" customHeight="false" outlineLevel="0" collapsed="false">
      <c r="A150" s="8" t="s">
        <v>1022</v>
      </c>
      <c r="B150" s="8" t="n">
        <v>4</v>
      </c>
      <c r="C150" s="8" t="s">
        <v>411</v>
      </c>
      <c r="D150" s="8" t="s">
        <v>985</v>
      </c>
      <c r="E150" s="8" t="s">
        <v>986</v>
      </c>
      <c r="F150" s="8" t="n">
        <v>12</v>
      </c>
      <c r="G150" s="8" t="s">
        <v>987</v>
      </c>
      <c r="H150" s="8" t="s">
        <v>503</v>
      </c>
      <c r="I150" s="27" t="s">
        <v>1023</v>
      </c>
      <c r="J150" s="8" t="s">
        <v>109</v>
      </c>
      <c r="K150" s="8" t="s">
        <v>158</v>
      </c>
      <c r="L150" s="8"/>
      <c r="M150" s="8" t="str">
        <f aca="false">IF(K150="FUERA","Fuera del marco",IF(K150="N/A","Sin marco",IFERROR(INDEX(Catalogo_TIMSS!$C$5:$C$105,MATCH(K150,Catalogo_TIMSS!$A$5:$A$105,0)),"Pendiente de clasificar")))</f>
        <v>Ciencias físicas</v>
      </c>
      <c r="N150" s="8" t="str">
        <f aca="false">IF(K150="FUERA","Fuera del marco",IF(K150="N/A","Sin marco",IFERROR(INDEX(Catalogo_TIMSS!$F$5:$F$105,MATCH(K150,Catalogo_TIMSS!$A$5:$A$105,0)),"Pendiente de clasificar")))</f>
        <v>Formas de energía y transferencia de energía</v>
      </c>
      <c r="O150" s="8" t="str">
        <f aca="false">IF(L150="","",IFERROR(INDEX(Catalogo_TIMSS!$C$5:$C$105,MATCH(L150,Catalogo_TIMSS!$A$5:$A$105,0)),"?"))</f>
        <v/>
      </c>
      <c r="P150" s="8" t="s">
        <v>513</v>
      </c>
      <c r="Q150" s="27" t="s">
        <v>1024</v>
      </c>
      <c r="R150" s="27" t="s">
        <v>1025</v>
      </c>
      <c r="S150" s="28" t="n">
        <f aca="false">IFERROR(ISNUMBER(SEARCH("Conocer",$R150))/(ISNUMBER(SEARCH("Conocer",$R150))+ISNUMBER(SEARCH("Aplicar",$R150))+ISNUMBER(SEARCH("Razonar",$R150))),0)</f>
        <v>0</v>
      </c>
      <c r="T150" s="28" t="n">
        <f aca="false">IFERROR(ISNUMBER(SEARCH("Aplicar",$R150))/(ISNUMBER(SEARCH("Conocer",$R150))+ISNUMBER(SEARCH("Aplicar",$R150))+ISNUMBER(SEARCH("Razonar",$R150))),0)</f>
        <v>0.5</v>
      </c>
      <c r="U150" s="28" t="n">
        <f aca="false">IFERROR(ISNUMBER(SEARCH("Razonar",$R150))/(ISNUMBER(SEARCH("Conocer",$R150))+ISNUMBER(SEARCH("Aplicar",$R150))+ISNUMBER(SEARCH("Razonar",$R150))),0)</f>
        <v>0.5</v>
      </c>
      <c r="V150" s="8" t="s">
        <v>47</v>
      </c>
      <c r="W150" s="8" t="s">
        <v>66</v>
      </c>
    </row>
    <row r="151" customFormat="false" ht="15" hidden="false" customHeight="false" outlineLevel="0" collapsed="false">
      <c r="A151" s="8" t="s">
        <v>1026</v>
      </c>
      <c r="B151" s="8" t="n">
        <v>4</v>
      </c>
      <c r="C151" s="8" t="s">
        <v>411</v>
      </c>
      <c r="D151" s="8" t="s">
        <v>985</v>
      </c>
      <c r="E151" s="8" t="s">
        <v>1027</v>
      </c>
      <c r="F151" s="8" t="n">
        <v>3</v>
      </c>
      <c r="G151" s="8" t="s">
        <v>1028</v>
      </c>
      <c r="H151" s="8" t="s">
        <v>1029</v>
      </c>
      <c r="I151" s="27" t="s">
        <v>1030</v>
      </c>
      <c r="J151" s="8" t="s">
        <v>109</v>
      </c>
      <c r="K151" s="8" t="s">
        <v>135</v>
      </c>
      <c r="L151" s="8"/>
      <c r="M151" s="8" t="str">
        <f aca="false">IF(K151="FUERA","Fuera del marco",IF(K151="N/A","Sin marco",IFERROR(INDEX(Catalogo_TIMSS!$C$5:$C$105,MATCH(K151,Catalogo_TIMSS!$A$5:$A$105,0)),"Pendiente de clasificar")))</f>
        <v>Ciencias de la vida</v>
      </c>
      <c r="N151" s="8" t="str">
        <f aca="false">IF(K151="FUERA","Fuera del marco",IF(K151="N/A","Sin marco",IFERROR(INDEX(Catalogo_TIMSS!$F$5:$F$105,MATCH(K151,Catalogo_TIMSS!$A$5:$A$105,0)),"Pendiente de clasificar")))</f>
        <v>Salud humana</v>
      </c>
      <c r="O151" s="8" t="str">
        <f aca="false">IF(L151="","",IFERROR(INDEX(Catalogo_TIMSS!$C$5:$C$105,MATCH(L151,Catalogo_TIMSS!$A$5:$A$105,0)),"?"))</f>
        <v/>
      </c>
      <c r="P151" s="8" t="s">
        <v>418</v>
      </c>
      <c r="Q151" s="27" t="s">
        <v>1031</v>
      </c>
      <c r="R151" s="27" t="s">
        <v>1032</v>
      </c>
      <c r="S151" s="28" t="n">
        <f aca="false">IFERROR(ISNUMBER(SEARCH("Conocer",$R151))/(ISNUMBER(SEARCH("Conocer",$R151))+ISNUMBER(SEARCH("Aplicar",$R151))+ISNUMBER(SEARCH("Razonar",$R151))),0)</f>
        <v>1</v>
      </c>
      <c r="T151" s="28" t="n">
        <f aca="false">IFERROR(ISNUMBER(SEARCH("Aplicar",$R151))/(ISNUMBER(SEARCH("Conocer",$R151))+ISNUMBER(SEARCH("Aplicar",$R151))+ISNUMBER(SEARCH("Razonar",$R151))),0)</f>
        <v>0</v>
      </c>
      <c r="U151" s="28" t="n">
        <f aca="false">IFERROR(ISNUMBER(SEARCH("Razonar",$R151))/(ISNUMBER(SEARCH("Conocer",$R151))+ISNUMBER(SEARCH("Aplicar",$R151))+ISNUMBER(SEARCH("Razonar",$R151))),0)</f>
        <v>0</v>
      </c>
      <c r="V151" s="8" t="s">
        <v>47</v>
      </c>
      <c r="W151" s="8" t="s">
        <v>66</v>
      </c>
    </row>
    <row r="152" customFormat="false" ht="15" hidden="false" customHeight="false" outlineLevel="0" collapsed="false">
      <c r="A152" s="8" t="s">
        <v>1033</v>
      </c>
      <c r="B152" s="8" t="n">
        <v>4</v>
      </c>
      <c r="C152" s="8" t="s">
        <v>411</v>
      </c>
      <c r="D152" s="8" t="s">
        <v>985</v>
      </c>
      <c r="E152" s="8" t="s">
        <v>1027</v>
      </c>
      <c r="F152" s="8" t="n">
        <v>4</v>
      </c>
      <c r="G152" s="8" t="s">
        <v>1028</v>
      </c>
      <c r="H152" s="8" t="s">
        <v>1029</v>
      </c>
      <c r="I152" s="27" t="s">
        <v>1034</v>
      </c>
      <c r="J152" s="8" t="s">
        <v>109</v>
      </c>
      <c r="K152" s="8" t="s">
        <v>135</v>
      </c>
      <c r="L152" s="8"/>
      <c r="M152" s="8" t="str">
        <f aca="false">IF(K152="FUERA","Fuera del marco",IF(K152="N/A","Sin marco",IFERROR(INDEX(Catalogo_TIMSS!$C$5:$C$105,MATCH(K152,Catalogo_TIMSS!$A$5:$A$105,0)),"Pendiente de clasificar")))</f>
        <v>Ciencias de la vida</v>
      </c>
      <c r="N152" s="8" t="str">
        <f aca="false">IF(K152="FUERA","Fuera del marco",IF(K152="N/A","Sin marco",IFERROR(INDEX(Catalogo_TIMSS!$F$5:$F$105,MATCH(K152,Catalogo_TIMSS!$A$5:$A$105,0)),"Pendiente de clasificar")))</f>
        <v>Salud humana</v>
      </c>
      <c r="O152" s="8" t="str">
        <f aca="false">IF(L152="","",IFERROR(INDEX(Catalogo_TIMSS!$C$5:$C$105,MATCH(L152,Catalogo_TIMSS!$A$5:$A$105,0)),"?"))</f>
        <v/>
      </c>
      <c r="P152" s="8" t="s">
        <v>418</v>
      </c>
      <c r="Q152" s="27" t="s">
        <v>1035</v>
      </c>
      <c r="R152" s="27" t="s">
        <v>429</v>
      </c>
      <c r="S152" s="28" t="n">
        <f aca="false">IFERROR(ISNUMBER(SEARCH("Conocer",$R152))/(ISNUMBER(SEARCH("Conocer",$R152))+ISNUMBER(SEARCH("Aplicar",$R152))+ISNUMBER(SEARCH("Razonar",$R152))),0)</f>
        <v>0</v>
      </c>
      <c r="T152" s="28" t="n">
        <f aca="false">IFERROR(ISNUMBER(SEARCH("Aplicar",$R152))/(ISNUMBER(SEARCH("Conocer",$R152))+ISNUMBER(SEARCH("Aplicar",$R152))+ISNUMBER(SEARCH("Razonar",$R152))),0)</f>
        <v>1</v>
      </c>
      <c r="U152" s="28" t="n">
        <f aca="false">IFERROR(ISNUMBER(SEARCH("Razonar",$R152))/(ISNUMBER(SEARCH("Conocer",$R152))+ISNUMBER(SEARCH("Aplicar",$R152))+ISNUMBER(SEARCH("Razonar",$R152))),0)</f>
        <v>0</v>
      </c>
      <c r="V152" s="8" t="s">
        <v>47</v>
      </c>
      <c r="W152" s="8" t="s">
        <v>66</v>
      </c>
    </row>
    <row r="153" customFormat="false" ht="15" hidden="false" customHeight="false" outlineLevel="0" collapsed="false">
      <c r="A153" s="8" t="s">
        <v>1036</v>
      </c>
      <c r="B153" s="8" t="n">
        <v>4</v>
      </c>
      <c r="C153" s="8" t="s">
        <v>411</v>
      </c>
      <c r="D153" s="8" t="s">
        <v>985</v>
      </c>
      <c r="E153" s="8" t="s">
        <v>1027</v>
      </c>
      <c r="F153" s="8" t="n">
        <v>5</v>
      </c>
      <c r="G153" s="8" t="s">
        <v>1028</v>
      </c>
      <c r="H153" s="8" t="s">
        <v>1037</v>
      </c>
      <c r="I153" s="27" t="s">
        <v>1038</v>
      </c>
      <c r="J153" s="8" t="s">
        <v>109</v>
      </c>
      <c r="K153" s="8" t="s">
        <v>135</v>
      </c>
      <c r="L153" s="8"/>
      <c r="M153" s="8" t="str">
        <f aca="false">IF(K153="FUERA","Fuera del marco",IF(K153="N/A","Sin marco",IFERROR(INDEX(Catalogo_TIMSS!$C$5:$C$105,MATCH(K153,Catalogo_TIMSS!$A$5:$A$105,0)),"Pendiente de clasificar")))</f>
        <v>Ciencias de la vida</v>
      </c>
      <c r="N153" s="8" t="str">
        <f aca="false">IF(K153="FUERA","Fuera del marco",IF(K153="N/A","Sin marco",IFERROR(INDEX(Catalogo_TIMSS!$F$5:$F$105,MATCH(K153,Catalogo_TIMSS!$A$5:$A$105,0)),"Pendiente de clasificar")))</f>
        <v>Salud humana</v>
      </c>
      <c r="O153" s="8" t="str">
        <f aca="false">IF(L153="","",IFERROR(INDEX(Catalogo_TIMSS!$C$5:$C$105,MATCH(L153,Catalogo_TIMSS!$A$5:$A$105,0)),"?"))</f>
        <v/>
      </c>
      <c r="P153" s="8" t="s">
        <v>418</v>
      </c>
      <c r="Q153" s="27" t="s">
        <v>1039</v>
      </c>
      <c r="R153" s="27" t="s">
        <v>1040</v>
      </c>
      <c r="S153" s="28" t="n">
        <f aca="false">IFERROR(ISNUMBER(SEARCH("Conocer",$R153))/(ISNUMBER(SEARCH("Conocer",$R153))+ISNUMBER(SEARCH("Aplicar",$R153))+ISNUMBER(SEARCH("Razonar",$R153))),0)</f>
        <v>0</v>
      </c>
      <c r="T153" s="28" t="n">
        <f aca="false">IFERROR(ISNUMBER(SEARCH("Aplicar",$R153))/(ISNUMBER(SEARCH("Conocer",$R153))+ISNUMBER(SEARCH("Aplicar",$R153))+ISNUMBER(SEARCH("Razonar",$R153))),0)</f>
        <v>0.5</v>
      </c>
      <c r="U153" s="28" t="n">
        <f aca="false">IFERROR(ISNUMBER(SEARCH("Razonar",$R153))/(ISNUMBER(SEARCH("Conocer",$R153))+ISNUMBER(SEARCH("Aplicar",$R153))+ISNUMBER(SEARCH("Razonar",$R153))),0)</f>
        <v>0.5</v>
      </c>
      <c r="V153" s="8" t="s">
        <v>47</v>
      </c>
      <c r="W153" s="8" t="s">
        <v>66</v>
      </c>
    </row>
    <row r="154" customFormat="false" ht="15" hidden="false" customHeight="false" outlineLevel="0" collapsed="false">
      <c r="A154" s="8" t="s">
        <v>1041</v>
      </c>
      <c r="B154" s="8" t="n">
        <v>4</v>
      </c>
      <c r="C154" s="8" t="s">
        <v>411</v>
      </c>
      <c r="D154" s="8" t="s">
        <v>985</v>
      </c>
      <c r="E154" s="8" t="s">
        <v>1027</v>
      </c>
      <c r="F154" s="8" t="n">
        <v>6</v>
      </c>
      <c r="G154" s="8" t="s">
        <v>1028</v>
      </c>
      <c r="H154" s="8" t="s">
        <v>1037</v>
      </c>
      <c r="I154" s="27" t="s">
        <v>1042</v>
      </c>
      <c r="J154" s="8" t="s">
        <v>109</v>
      </c>
      <c r="K154" s="8" t="s">
        <v>135</v>
      </c>
      <c r="L154" s="8"/>
      <c r="M154" s="8" t="str">
        <f aca="false">IF(K154="FUERA","Fuera del marco",IF(K154="N/A","Sin marco",IFERROR(INDEX(Catalogo_TIMSS!$C$5:$C$105,MATCH(K154,Catalogo_TIMSS!$A$5:$A$105,0)),"Pendiente de clasificar")))</f>
        <v>Ciencias de la vida</v>
      </c>
      <c r="N154" s="8" t="str">
        <f aca="false">IF(K154="FUERA","Fuera del marco",IF(K154="N/A","Sin marco",IFERROR(INDEX(Catalogo_TIMSS!$F$5:$F$105,MATCH(K154,Catalogo_TIMSS!$A$5:$A$105,0)),"Pendiente de clasificar")))</f>
        <v>Salud humana</v>
      </c>
      <c r="O154" s="8" t="str">
        <f aca="false">IF(L154="","",IFERROR(INDEX(Catalogo_TIMSS!$C$5:$C$105,MATCH(L154,Catalogo_TIMSS!$A$5:$A$105,0)),"?"))</f>
        <v/>
      </c>
      <c r="P154" s="8" t="s">
        <v>418</v>
      </c>
      <c r="Q154" s="27" t="s">
        <v>1043</v>
      </c>
      <c r="R154" s="27" t="s">
        <v>1044</v>
      </c>
      <c r="S154" s="28" t="n">
        <f aca="false">IFERROR(ISNUMBER(SEARCH("Conocer",$R154))/(ISNUMBER(SEARCH("Conocer",$R154))+ISNUMBER(SEARCH("Aplicar",$R154))+ISNUMBER(SEARCH("Razonar",$R154))),0)</f>
        <v>0</v>
      </c>
      <c r="T154" s="28" t="n">
        <f aca="false">IFERROR(ISNUMBER(SEARCH("Aplicar",$R154))/(ISNUMBER(SEARCH("Conocer",$R154))+ISNUMBER(SEARCH("Aplicar",$R154))+ISNUMBER(SEARCH("Razonar",$R154))),0)</f>
        <v>0.5</v>
      </c>
      <c r="U154" s="28" t="n">
        <f aca="false">IFERROR(ISNUMBER(SEARCH("Razonar",$R154))/(ISNUMBER(SEARCH("Conocer",$R154))+ISNUMBER(SEARCH("Aplicar",$R154))+ISNUMBER(SEARCH("Razonar",$R154))),0)</f>
        <v>0.5</v>
      </c>
      <c r="V154" s="8" t="s">
        <v>47</v>
      </c>
      <c r="W154" s="8" t="s">
        <v>66</v>
      </c>
    </row>
    <row r="155" customFormat="false" ht="15" hidden="false" customHeight="false" outlineLevel="0" collapsed="false">
      <c r="A155" s="8" t="s">
        <v>1045</v>
      </c>
      <c r="B155" s="8" t="n">
        <v>4</v>
      </c>
      <c r="C155" s="8" t="s">
        <v>411</v>
      </c>
      <c r="D155" s="8" t="s">
        <v>985</v>
      </c>
      <c r="E155" s="8" t="s">
        <v>1027</v>
      </c>
      <c r="F155" s="8" t="n">
        <v>7</v>
      </c>
      <c r="G155" s="8" t="s">
        <v>1028</v>
      </c>
      <c r="H155" s="8" t="s">
        <v>1037</v>
      </c>
      <c r="I155" s="27" t="s">
        <v>1046</v>
      </c>
      <c r="J155" s="8" t="s">
        <v>109</v>
      </c>
      <c r="K155" s="8" t="s">
        <v>135</v>
      </c>
      <c r="L155" s="8"/>
      <c r="M155" s="8" t="str">
        <f aca="false">IF(K155="FUERA","Fuera del marco",IF(K155="N/A","Sin marco",IFERROR(INDEX(Catalogo_TIMSS!$C$5:$C$105,MATCH(K155,Catalogo_TIMSS!$A$5:$A$105,0)),"Pendiente de clasificar")))</f>
        <v>Ciencias de la vida</v>
      </c>
      <c r="N155" s="8" t="str">
        <f aca="false">IF(K155="FUERA","Fuera del marco",IF(K155="N/A","Sin marco",IFERROR(INDEX(Catalogo_TIMSS!$F$5:$F$105,MATCH(K155,Catalogo_TIMSS!$A$5:$A$105,0)),"Pendiente de clasificar")))</f>
        <v>Salud humana</v>
      </c>
      <c r="O155" s="8" t="str">
        <f aca="false">IF(L155="","",IFERROR(INDEX(Catalogo_TIMSS!$C$5:$C$105,MATCH(L155,Catalogo_TIMSS!$A$5:$A$105,0)),"?"))</f>
        <v/>
      </c>
      <c r="P155" s="8" t="s">
        <v>460</v>
      </c>
      <c r="Q155" s="27" t="s">
        <v>1047</v>
      </c>
      <c r="R155" s="27" t="s">
        <v>1048</v>
      </c>
      <c r="S155" s="28" t="n">
        <f aca="false">IFERROR(ISNUMBER(SEARCH("Conocer",$R155))/(ISNUMBER(SEARCH("Conocer",$R155))+ISNUMBER(SEARCH("Aplicar",$R155))+ISNUMBER(SEARCH("Razonar",$R155))),0)</f>
        <v>0</v>
      </c>
      <c r="T155" s="28" t="n">
        <f aca="false">IFERROR(ISNUMBER(SEARCH("Aplicar",$R155))/(ISNUMBER(SEARCH("Conocer",$R155))+ISNUMBER(SEARCH("Aplicar",$R155))+ISNUMBER(SEARCH("Razonar",$R155))),0)</f>
        <v>1</v>
      </c>
      <c r="U155" s="28" t="n">
        <f aca="false">IFERROR(ISNUMBER(SEARCH("Razonar",$R155))/(ISNUMBER(SEARCH("Conocer",$R155))+ISNUMBER(SEARCH("Aplicar",$R155))+ISNUMBER(SEARCH("Razonar",$R155))),0)</f>
        <v>0</v>
      </c>
      <c r="V155" s="8" t="s">
        <v>47</v>
      </c>
      <c r="W155" s="8" t="s">
        <v>66</v>
      </c>
    </row>
    <row r="156" customFormat="false" ht="15" hidden="false" customHeight="false" outlineLevel="0" collapsed="false">
      <c r="A156" s="8" t="s">
        <v>1049</v>
      </c>
      <c r="B156" s="8" t="n">
        <v>4</v>
      </c>
      <c r="C156" s="8" t="s">
        <v>411</v>
      </c>
      <c r="D156" s="8" t="s">
        <v>985</v>
      </c>
      <c r="E156" s="8" t="s">
        <v>1027</v>
      </c>
      <c r="F156" s="8" t="n">
        <v>8</v>
      </c>
      <c r="G156" s="8" t="s">
        <v>1028</v>
      </c>
      <c r="H156" s="8" t="s">
        <v>707</v>
      </c>
      <c r="I156" s="27" t="s">
        <v>1050</v>
      </c>
      <c r="J156" s="8" t="s">
        <v>109</v>
      </c>
      <c r="K156" s="8" t="s">
        <v>135</v>
      </c>
      <c r="L156" s="8"/>
      <c r="M156" s="8" t="str">
        <f aca="false">IF(K156="FUERA","Fuera del marco",IF(K156="N/A","Sin marco",IFERROR(INDEX(Catalogo_TIMSS!$C$5:$C$105,MATCH(K156,Catalogo_TIMSS!$A$5:$A$105,0)),"Pendiente de clasificar")))</f>
        <v>Ciencias de la vida</v>
      </c>
      <c r="N156" s="8" t="str">
        <f aca="false">IF(K156="FUERA","Fuera del marco",IF(K156="N/A","Sin marco",IFERROR(INDEX(Catalogo_TIMSS!$F$5:$F$105,MATCH(K156,Catalogo_TIMSS!$A$5:$A$105,0)),"Pendiente de clasificar")))</f>
        <v>Salud humana</v>
      </c>
      <c r="O156" s="8" t="str">
        <f aca="false">IF(L156="","",IFERROR(INDEX(Catalogo_TIMSS!$C$5:$C$105,MATCH(L156,Catalogo_TIMSS!$A$5:$A$105,0)),"?"))</f>
        <v/>
      </c>
      <c r="P156" s="8" t="s">
        <v>418</v>
      </c>
      <c r="Q156" s="27" t="s">
        <v>1051</v>
      </c>
      <c r="R156" s="27" t="s">
        <v>429</v>
      </c>
      <c r="S156" s="28" t="n">
        <f aca="false">IFERROR(ISNUMBER(SEARCH("Conocer",$R156))/(ISNUMBER(SEARCH("Conocer",$R156))+ISNUMBER(SEARCH("Aplicar",$R156))+ISNUMBER(SEARCH("Razonar",$R156))),0)</f>
        <v>0</v>
      </c>
      <c r="T156" s="28" t="n">
        <f aca="false">IFERROR(ISNUMBER(SEARCH("Aplicar",$R156))/(ISNUMBER(SEARCH("Conocer",$R156))+ISNUMBER(SEARCH("Aplicar",$R156))+ISNUMBER(SEARCH("Razonar",$R156))),0)</f>
        <v>1</v>
      </c>
      <c r="U156" s="28" t="n">
        <f aca="false">IFERROR(ISNUMBER(SEARCH("Razonar",$R156))/(ISNUMBER(SEARCH("Conocer",$R156))+ISNUMBER(SEARCH("Aplicar",$R156))+ISNUMBER(SEARCH("Razonar",$R156))),0)</f>
        <v>0</v>
      </c>
      <c r="V156" s="8" t="s">
        <v>47</v>
      </c>
      <c r="W156" s="8" t="s">
        <v>66</v>
      </c>
    </row>
    <row r="157" customFormat="false" ht="15" hidden="false" customHeight="false" outlineLevel="0" collapsed="false">
      <c r="A157" s="8" t="s">
        <v>1052</v>
      </c>
      <c r="B157" s="8" t="n">
        <v>4</v>
      </c>
      <c r="C157" s="8" t="s">
        <v>411</v>
      </c>
      <c r="D157" s="8" t="s">
        <v>985</v>
      </c>
      <c r="E157" s="8" t="s">
        <v>1027</v>
      </c>
      <c r="F157" s="8" t="n">
        <v>9</v>
      </c>
      <c r="G157" s="8" t="s">
        <v>1028</v>
      </c>
      <c r="H157" s="8" t="s">
        <v>707</v>
      </c>
      <c r="I157" s="27" t="s">
        <v>1053</v>
      </c>
      <c r="J157" s="8" t="s">
        <v>109</v>
      </c>
      <c r="K157" s="8" t="s">
        <v>135</v>
      </c>
      <c r="L157" s="8"/>
      <c r="M157" s="8" t="str">
        <f aca="false">IF(K157="FUERA","Fuera del marco",IF(K157="N/A","Sin marco",IFERROR(INDEX(Catalogo_TIMSS!$C$5:$C$105,MATCH(K157,Catalogo_TIMSS!$A$5:$A$105,0)),"Pendiente de clasificar")))</f>
        <v>Ciencias de la vida</v>
      </c>
      <c r="N157" s="8" t="str">
        <f aca="false">IF(K157="FUERA","Fuera del marco",IF(K157="N/A","Sin marco",IFERROR(INDEX(Catalogo_TIMSS!$F$5:$F$105,MATCH(K157,Catalogo_TIMSS!$A$5:$A$105,0)),"Pendiente de clasificar")))</f>
        <v>Salud humana</v>
      </c>
      <c r="O157" s="8" t="str">
        <f aca="false">IF(L157="","",IFERROR(INDEX(Catalogo_TIMSS!$C$5:$C$105,MATCH(L157,Catalogo_TIMSS!$A$5:$A$105,0)),"?"))</f>
        <v/>
      </c>
      <c r="P157" s="8" t="s">
        <v>418</v>
      </c>
      <c r="Q157" s="27" t="s">
        <v>1054</v>
      </c>
      <c r="R157" s="27" t="s">
        <v>1055</v>
      </c>
      <c r="S157" s="28" t="n">
        <f aca="false">IFERROR(ISNUMBER(SEARCH("Conocer",$R157))/(ISNUMBER(SEARCH("Conocer",$R157))+ISNUMBER(SEARCH("Aplicar",$R157))+ISNUMBER(SEARCH("Razonar",$R157))),0)</f>
        <v>0</v>
      </c>
      <c r="T157" s="28" t="n">
        <f aca="false">IFERROR(ISNUMBER(SEARCH("Aplicar",$R157))/(ISNUMBER(SEARCH("Conocer",$R157))+ISNUMBER(SEARCH("Aplicar",$R157))+ISNUMBER(SEARCH("Razonar",$R157))),0)</f>
        <v>0.5</v>
      </c>
      <c r="U157" s="28" t="n">
        <f aca="false">IFERROR(ISNUMBER(SEARCH("Razonar",$R157))/(ISNUMBER(SEARCH("Conocer",$R157))+ISNUMBER(SEARCH("Aplicar",$R157))+ISNUMBER(SEARCH("Razonar",$R157))),0)</f>
        <v>0.5</v>
      </c>
      <c r="V157" s="8" t="s">
        <v>47</v>
      </c>
      <c r="W157" s="8" t="s">
        <v>66</v>
      </c>
    </row>
    <row r="158" customFormat="false" ht="15" hidden="false" customHeight="false" outlineLevel="0" collapsed="false">
      <c r="A158" s="8" t="s">
        <v>1056</v>
      </c>
      <c r="B158" s="8" t="n">
        <v>4</v>
      </c>
      <c r="C158" s="8" t="s">
        <v>411</v>
      </c>
      <c r="D158" s="8" t="s">
        <v>985</v>
      </c>
      <c r="E158" s="8" t="s">
        <v>1027</v>
      </c>
      <c r="F158" s="8" t="n">
        <v>10</v>
      </c>
      <c r="G158" s="8" t="s">
        <v>1028</v>
      </c>
      <c r="H158" s="8" t="s">
        <v>707</v>
      </c>
      <c r="I158" s="27" t="s">
        <v>1057</v>
      </c>
      <c r="J158" s="8" t="s">
        <v>109</v>
      </c>
      <c r="K158" s="8" t="s">
        <v>135</v>
      </c>
      <c r="L158" s="8" t="s">
        <v>138</v>
      </c>
      <c r="M158" s="8" t="str">
        <f aca="false">IF(K158="FUERA","Fuera del marco",IF(K158="N/A","Sin marco",IFERROR(INDEX(Catalogo_TIMSS!$C$5:$C$105,MATCH(K158,Catalogo_TIMSS!$A$5:$A$105,0)),"Pendiente de clasificar")))</f>
        <v>Ciencias de la vida</v>
      </c>
      <c r="N158" s="8" t="str">
        <f aca="false">IF(K158="FUERA","Fuera del marco",IF(K158="N/A","Sin marco",IFERROR(INDEX(Catalogo_TIMSS!$F$5:$F$105,MATCH(K158,Catalogo_TIMSS!$A$5:$A$105,0)),"Pendiente de clasificar")))</f>
        <v>Salud humana</v>
      </c>
      <c r="O158" s="8" t="str">
        <f aca="false">IF(L158="","",IFERROR(INDEX(Catalogo_TIMSS!$C$5:$C$105,MATCH(L158,Catalogo_TIMSS!$A$5:$A$105,0)),"?"))</f>
        <v>Ciencias de la vida</v>
      </c>
      <c r="P158" s="8" t="s">
        <v>460</v>
      </c>
      <c r="Q158" s="27" t="s">
        <v>1058</v>
      </c>
      <c r="R158" s="27" t="s">
        <v>451</v>
      </c>
      <c r="S158" s="28" t="n">
        <f aca="false">IFERROR(ISNUMBER(SEARCH("Conocer",$R158))/(ISNUMBER(SEARCH("Conocer",$R158))+ISNUMBER(SEARCH("Aplicar",$R158))+ISNUMBER(SEARCH("Razonar",$R158))),0)</f>
        <v>0</v>
      </c>
      <c r="T158" s="28" t="n">
        <f aca="false">IFERROR(ISNUMBER(SEARCH("Aplicar",$R158))/(ISNUMBER(SEARCH("Conocer",$R158))+ISNUMBER(SEARCH("Aplicar",$R158))+ISNUMBER(SEARCH("Razonar",$R158))),0)</f>
        <v>1</v>
      </c>
      <c r="U158" s="28" t="n">
        <f aca="false">IFERROR(ISNUMBER(SEARCH("Razonar",$R158))/(ISNUMBER(SEARCH("Conocer",$R158))+ISNUMBER(SEARCH("Aplicar",$R158))+ISNUMBER(SEARCH("Razonar",$R158))),0)</f>
        <v>0</v>
      </c>
      <c r="V158" s="8" t="s">
        <v>47</v>
      </c>
      <c r="W158" s="8" t="s">
        <v>66</v>
      </c>
    </row>
    <row r="159" customFormat="false" ht="15" hidden="false" customHeight="false" outlineLevel="0" collapsed="false">
      <c r="A159" s="8" t="s">
        <v>1059</v>
      </c>
      <c r="B159" s="8" t="n">
        <v>4</v>
      </c>
      <c r="C159" s="8" t="s">
        <v>411</v>
      </c>
      <c r="D159" s="8" t="s">
        <v>985</v>
      </c>
      <c r="E159" s="8" t="s">
        <v>1027</v>
      </c>
      <c r="F159" s="8" t="n">
        <v>11</v>
      </c>
      <c r="G159" s="8" t="s">
        <v>1028</v>
      </c>
      <c r="H159" s="8" t="s">
        <v>1060</v>
      </c>
      <c r="I159" s="27" t="s">
        <v>1061</v>
      </c>
      <c r="J159" s="8" t="s">
        <v>109</v>
      </c>
      <c r="K159" s="8" t="s">
        <v>135</v>
      </c>
      <c r="L159" s="8"/>
      <c r="M159" s="8" t="str">
        <f aca="false">IF(K159="FUERA","Fuera del marco",IF(K159="N/A","Sin marco",IFERROR(INDEX(Catalogo_TIMSS!$C$5:$C$105,MATCH(K159,Catalogo_TIMSS!$A$5:$A$105,0)),"Pendiente de clasificar")))</f>
        <v>Ciencias de la vida</v>
      </c>
      <c r="N159" s="8" t="str">
        <f aca="false">IF(K159="FUERA","Fuera del marco",IF(K159="N/A","Sin marco",IFERROR(INDEX(Catalogo_TIMSS!$F$5:$F$105,MATCH(K159,Catalogo_TIMSS!$A$5:$A$105,0)),"Pendiente de clasificar")))</f>
        <v>Salud humana</v>
      </c>
      <c r="O159" s="8" t="str">
        <f aca="false">IF(L159="","",IFERROR(INDEX(Catalogo_TIMSS!$C$5:$C$105,MATCH(L159,Catalogo_TIMSS!$A$5:$A$105,0)),"?"))</f>
        <v/>
      </c>
      <c r="P159" s="8" t="s">
        <v>513</v>
      </c>
      <c r="Q159" s="27" t="s">
        <v>1062</v>
      </c>
      <c r="R159" s="27" t="s">
        <v>1063</v>
      </c>
      <c r="S159" s="28" t="n">
        <f aca="false">IFERROR(ISNUMBER(SEARCH("Conocer",$R159))/(ISNUMBER(SEARCH("Conocer",$R159))+ISNUMBER(SEARCH("Aplicar",$R159))+ISNUMBER(SEARCH("Razonar",$R159))),0)</f>
        <v>0</v>
      </c>
      <c r="T159" s="28" t="n">
        <f aca="false">IFERROR(ISNUMBER(SEARCH("Aplicar",$R159))/(ISNUMBER(SEARCH("Conocer",$R159))+ISNUMBER(SEARCH("Aplicar",$R159))+ISNUMBER(SEARCH("Razonar",$R159))),0)</f>
        <v>1</v>
      </c>
      <c r="U159" s="28" t="n">
        <f aca="false">IFERROR(ISNUMBER(SEARCH("Razonar",$R159))/(ISNUMBER(SEARCH("Conocer",$R159))+ISNUMBER(SEARCH("Aplicar",$R159))+ISNUMBER(SEARCH("Razonar",$R159))),0)</f>
        <v>0</v>
      </c>
      <c r="V159" s="8" t="s">
        <v>47</v>
      </c>
      <c r="W159" s="8" t="s">
        <v>66</v>
      </c>
    </row>
    <row r="160" customFormat="false" ht="15" hidden="false" customHeight="false" outlineLevel="0" collapsed="false">
      <c r="A160" s="8" t="s">
        <v>1064</v>
      </c>
      <c r="B160" s="8" t="n">
        <v>4</v>
      </c>
      <c r="C160" s="8" t="s">
        <v>411</v>
      </c>
      <c r="D160" s="8" t="s">
        <v>985</v>
      </c>
      <c r="E160" s="8" t="s">
        <v>1027</v>
      </c>
      <c r="F160" s="8" t="n">
        <v>12</v>
      </c>
      <c r="G160" s="8" t="s">
        <v>1028</v>
      </c>
      <c r="H160" s="8" t="s">
        <v>1060</v>
      </c>
      <c r="I160" s="27" t="s">
        <v>1065</v>
      </c>
      <c r="J160" s="8" t="s">
        <v>109</v>
      </c>
      <c r="K160" s="8" t="s">
        <v>417</v>
      </c>
      <c r="L160" s="8"/>
      <c r="M160" s="8" t="str">
        <f aca="false">IF(K160="FUERA","Fuera del marco",IF(K160="N/A","Sin marco",IFERROR(INDEX(Catalogo_TIMSS!$C$5:$C$105,MATCH(K160,Catalogo_TIMSS!$A$5:$A$105,0)),"Pendiente de clasificar")))</f>
        <v>Fuera del marco</v>
      </c>
      <c r="N160" s="8" t="str">
        <f aca="false">IF(K160="FUERA","Fuera del marco",IF(K160="N/A","Sin marco",IFERROR(INDEX(Catalogo_TIMSS!$F$5:$F$105,MATCH(K160,Catalogo_TIMSS!$A$5:$A$105,0)),"Pendiente de clasificar")))</f>
        <v>Fuera del marco</v>
      </c>
      <c r="O160" s="8" t="str">
        <f aca="false">IF(L160="","",IFERROR(INDEX(Catalogo_TIMSS!$C$5:$C$105,MATCH(L160,Catalogo_TIMSS!$A$5:$A$105,0)),"?"))</f>
        <v/>
      </c>
      <c r="P160" s="8" t="s">
        <v>460</v>
      </c>
      <c r="Q160" s="27" t="s">
        <v>1066</v>
      </c>
      <c r="R160" s="27" t="s">
        <v>1067</v>
      </c>
      <c r="S160" s="28" t="n">
        <f aca="false">IFERROR(ISNUMBER(SEARCH("Conocer",$R160))/(ISNUMBER(SEARCH("Conocer",$R160))+ISNUMBER(SEARCH("Aplicar",$R160))+ISNUMBER(SEARCH("Razonar",$R160))),0)</f>
        <v>0</v>
      </c>
      <c r="T160" s="28" t="n">
        <f aca="false">IFERROR(ISNUMBER(SEARCH("Aplicar",$R160))/(ISNUMBER(SEARCH("Conocer",$R160))+ISNUMBER(SEARCH("Aplicar",$R160))+ISNUMBER(SEARCH("Razonar",$R160))),0)</f>
        <v>0.5</v>
      </c>
      <c r="U160" s="28" t="n">
        <f aca="false">IFERROR(ISNUMBER(SEARCH("Razonar",$R160))/(ISNUMBER(SEARCH("Conocer",$R160))+ISNUMBER(SEARCH("Aplicar",$R160))+ISNUMBER(SEARCH("Razonar",$R160))),0)</f>
        <v>0.5</v>
      </c>
      <c r="V160" s="8" t="s">
        <v>47</v>
      </c>
      <c r="W160" s="8" t="s">
        <v>66</v>
      </c>
    </row>
    <row r="161" customFormat="false" ht="15" hidden="false" customHeight="false" outlineLevel="0" collapsed="false">
      <c r="A161" s="8" t="s">
        <v>1068</v>
      </c>
      <c r="B161" s="8" t="n">
        <v>4</v>
      </c>
      <c r="C161" s="8" t="s">
        <v>411</v>
      </c>
      <c r="D161" s="8" t="s">
        <v>985</v>
      </c>
      <c r="E161" s="8" t="s">
        <v>1027</v>
      </c>
      <c r="F161" s="8" t="n">
        <v>13</v>
      </c>
      <c r="G161" s="8" t="s">
        <v>1028</v>
      </c>
      <c r="H161" s="8" t="s">
        <v>1069</v>
      </c>
      <c r="I161" s="27" t="s">
        <v>1070</v>
      </c>
      <c r="J161" s="8" t="s">
        <v>109</v>
      </c>
      <c r="K161" s="8" t="s">
        <v>108</v>
      </c>
      <c r="L161" s="8"/>
      <c r="M161" s="8" t="str">
        <f aca="false">IF(K161="FUERA","Fuera del marco",IF(K161="N/A","Sin marco",IFERROR(INDEX(Catalogo_TIMSS!$C$5:$C$105,MATCH(K161,Catalogo_TIMSS!$A$5:$A$105,0)),"Pendiente de clasificar")))</f>
        <v>Ciencias de la vida</v>
      </c>
      <c r="N161" s="8" t="str">
        <f aca="false">IF(K161="FUERA","Fuera del marco",IF(K161="N/A","Sin marco",IFERROR(INDEX(Catalogo_TIMSS!$F$5:$F$105,MATCH(K161,Catalogo_TIMSS!$A$5:$A$105,0)),"Pendiente de clasificar")))</f>
        <v>Características y procesos vitales de los organismos</v>
      </c>
      <c r="O161" s="8" t="str">
        <f aca="false">IF(L161="","",IFERROR(INDEX(Catalogo_TIMSS!$C$5:$C$105,MATCH(L161,Catalogo_TIMSS!$A$5:$A$105,0)),"?"))</f>
        <v/>
      </c>
      <c r="P161" s="8" t="s">
        <v>513</v>
      </c>
      <c r="Q161" s="27" t="s">
        <v>1071</v>
      </c>
      <c r="R161" s="27" t="s">
        <v>1072</v>
      </c>
      <c r="S161" s="28" t="n">
        <f aca="false">IFERROR(ISNUMBER(SEARCH("Conocer",$R161))/(ISNUMBER(SEARCH("Conocer",$R161))+ISNUMBER(SEARCH("Aplicar",$R161))+ISNUMBER(SEARCH("Razonar",$R161))),0)</f>
        <v>0</v>
      </c>
      <c r="T161" s="28" t="n">
        <f aca="false">IFERROR(ISNUMBER(SEARCH("Aplicar",$R161))/(ISNUMBER(SEARCH("Conocer",$R161))+ISNUMBER(SEARCH("Aplicar",$R161))+ISNUMBER(SEARCH("Razonar",$R161))),0)</f>
        <v>0.5</v>
      </c>
      <c r="U161" s="28" t="n">
        <f aca="false">IFERROR(ISNUMBER(SEARCH("Razonar",$R161))/(ISNUMBER(SEARCH("Conocer",$R161))+ISNUMBER(SEARCH("Aplicar",$R161))+ISNUMBER(SEARCH("Razonar",$R161))),0)</f>
        <v>0.5</v>
      </c>
      <c r="V161" s="8" t="s">
        <v>47</v>
      </c>
      <c r="W161" s="8" t="s">
        <v>66</v>
      </c>
    </row>
    <row r="162" customFormat="false" ht="15" hidden="false" customHeight="false" outlineLevel="0" collapsed="false">
      <c r="A162" s="8" t="s">
        <v>1073</v>
      </c>
      <c r="B162" s="8" t="n">
        <v>4</v>
      </c>
      <c r="C162" s="8" t="s">
        <v>411</v>
      </c>
      <c r="D162" s="8" t="s">
        <v>985</v>
      </c>
      <c r="E162" s="8" t="s">
        <v>1027</v>
      </c>
      <c r="F162" s="8" t="n">
        <v>14</v>
      </c>
      <c r="G162" s="8" t="s">
        <v>1028</v>
      </c>
      <c r="H162" s="8" t="s">
        <v>1069</v>
      </c>
      <c r="I162" s="27" t="s">
        <v>1074</v>
      </c>
      <c r="J162" s="8" t="s">
        <v>109</v>
      </c>
      <c r="K162" s="8" t="s">
        <v>168</v>
      </c>
      <c r="L162" s="8"/>
      <c r="M162" s="8" t="str">
        <f aca="false">IF(K162="FUERA","Fuera del marco",IF(K162="N/A","Sin marco",IFERROR(INDEX(Catalogo_TIMSS!$C$5:$C$105,MATCH(K162,Catalogo_TIMSS!$A$5:$A$105,0)),"Pendiente de clasificar")))</f>
        <v>Ciencias de la Tierra</v>
      </c>
      <c r="N162" s="8" t="str">
        <f aca="false">IF(K162="FUERA","Fuera del marco",IF(K162="N/A","Sin marco",IFERROR(INDEX(Catalogo_TIMSS!$F$5:$F$105,MATCH(K162,Catalogo_TIMSS!$A$5:$A$105,0)),"Pendiente de clasificar")))</f>
        <v>Características físicas, recursos e historia de la Tierra</v>
      </c>
      <c r="O162" s="8" t="str">
        <f aca="false">IF(L162="","",IFERROR(INDEX(Catalogo_TIMSS!$C$5:$C$105,MATCH(L162,Catalogo_TIMSS!$A$5:$A$105,0)),"?"))</f>
        <v/>
      </c>
      <c r="P162" s="8" t="s">
        <v>513</v>
      </c>
      <c r="Q162" s="27" t="s">
        <v>1075</v>
      </c>
      <c r="R162" s="27" t="s">
        <v>429</v>
      </c>
      <c r="S162" s="28" t="n">
        <f aca="false">IFERROR(ISNUMBER(SEARCH("Conocer",$R162))/(ISNUMBER(SEARCH("Conocer",$R162))+ISNUMBER(SEARCH("Aplicar",$R162))+ISNUMBER(SEARCH("Razonar",$R162))),0)</f>
        <v>0</v>
      </c>
      <c r="T162" s="28" t="n">
        <f aca="false">IFERROR(ISNUMBER(SEARCH("Aplicar",$R162))/(ISNUMBER(SEARCH("Conocer",$R162))+ISNUMBER(SEARCH("Aplicar",$R162))+ISNUMBER(SEARCH("Razonar",$R162))),0)</f>
        <v>1</v>
      </c>
      <c r="U162" s="28" t="n">
        <f aca="false">IFERROR(ISNUMBER(SEARCH("Razonar",$R162))/(ISNUMBER(SEARCH("Conocer",$R162))+ISNUMBER(SEARCH("Aplicar",$R162))+ISNUMBER(SEARCH("Razonar",$R162))),0)</f>
        <v>0</v>
      </c>
      <c r="V162" s="8" t="s">
        <v>47</v>
      </c>
      <c r="W162" s="8" t="s">
        <v>66</v>
      </c>
    </row>
    <row r="163" customFormat="false" ht="15" hidden="false" customHeight="false" outlineLevel="0" collapsed="false">
      <c r="A163" s="8" t="s">
        <v>1076</v>
      </c>
      <c r="B163" s="8" t="n">
        <v>4</v>
      </c>
      <c r="C163" s="8" t="s">
        <v>411</v>
      </c>
      <c r="D163" s="8" t="s">
        <v>985</v>
      </c>
      <c r="E163" s="8" t="s">
        <v>1027</v>
      </c>
      <c r="F163" s="8" t="n">
        <v>15</v>
      </c>
      <c r="G163" s="8" t="s">
        <v>1028</v>
      </c>
      <c r="H163" s="8" t="s">
        <v>1069</v>
      </c>
      <c r="I163" s="27" t="s">
        <v>1077</v>
      </c>
      <c r="J163" s="8" t="s">
        <v>109</v>
      </c>
      <c r="K163" s="8" t="s">
        <v>417</v>
      </c>
      <c r="L163" s="8"/>
      <c r="M163" s="8" t="str">
        <f aca="false">IF(K163="FUERA","Fuera del marco",IF(K163="N/A","Sin marco",IFERROR(INDEX(Catalogo_TIMSS!$C$5:$C$105,MATCH(K163,Catalogo_TIMSS!$A$5:$A$105,0)),"Pendiente de clasificar")))</f>
        <v>Fuera del marco</v>
      </c>
      <c r="N163" s="8" t="str">
        <f aca="false">IF(K163="FUERA","Fuera del marco",IF(K163="N/A","Sin marco",IFERROR(INDEX(Catalogo_TIMSS!$F$5:$F$105,MATCH(K163,Catalogo_TIMSS!$A$5:$A$105,0)),"Pendiente de clasificar")))</f>
        <v>Fuera del marco</v>
      </c>
      <c r="O163" s="8" t="str">
        <f aca="false">IF(L163="","",IFERROR(INDEX(Catalogo_TIMSS!$C$5:$C$105,MATCH(L163,Catalogo_TIMSS!$A$5:$A$105,0)),"?"))</f>
        <v/>
      </c>
      <c r="P163" s="8" t="s">
        <v>460</v>
      </c>
      <c r="Q163" s="27" t="s">
        <v>1078</v>
      </c>
      <c r="R163" s="27" t="s">
        <v>1079</v>
      </c>
      <c r="S163" s="28" t="n">
        <f aca="false">IFERROR(ISNUMBER(SEARCH("Conocer",$R163))/(ISNUMBER(SEARCH("Conocer",$R163))+ISNUMBER(SEARCH("Aplicar",$R163))+ISNUMBER(SEARCH("Razonar",$R163))),0)</f>
        <v>0</v>
      </c>
      <c r="T163" s="28" t="n">
        <f aca="false">IFERROR(ISNUMBER(SEARCH("Aplicar",$R163))/(ISNUMBER(SEARCH("Conocer",$R163))+ISNUMBER(SEARCH("Aplicar",$R163))+ISNUMBER(SEARCH("Razonar",$R163))),0)</f>
        <v>0.5</v>
      </c>
      <c r="U163" s="28" t="n">
        <f aca="false">IFERROR(ISNUMBER(SEARCH("Razonar",$R163))/(ISNUMBER(SEARCH("Conocer",$R163))+ISNUMBER(SEARCH("Aplicar",$R163))+ISNUMBER(SEARCH("Razonar",$R163))),0)</f>
        <v>0.5</v>
      </c>
      <c r="V163" s="8" t="s">
        <v>47</v>
      </c>
      <c r="W163" s="8" t="s">
        <v>66</v>
      </c>
    </row>
    <row r="164" customFormat="false" ht="15" hidden="false" customHeight="false" outlineLevel="0" collapsed="false">
      <c r="A164" s="8" t="s">
        <v>1080</v>
      </c>
      <c r="B164" s="8" t="n">
        <v>4</v>
      </c>
      <c r="C164" s="8" t="s">
        <v>411</v>
      </c>
      <c r="D164" s="8" t="s">
        <v>985</v>
      </c>
      <c r="E164" s="8" t="s">
        <v>1081</v>
      </c>
      <c r="F164" s="8" t="n">
        <v>3</v>
      </c>
      <c r="G164" s="8" t="s">
        <v>1082</v>
      </c>
      <c r="H164" s="8" t="s">
        <v>1083</v>
      </c>
      <c r="I164" s="27" t="s">
        <v>1084</v>
      </c>
      <c r="J164" s="8" t="s">
        <v>109</v>
      </c>
      <c r="K164" s="8" t="s">
        <v>128</v>
      </c>
      <c r="L164" s="8" t="s">
        <v>108</v>
      </c>
      <c r="M164" s="8" t="str">
        <f aca="false">IF(K164="FUERA","Fuera del marco",IF(K164="N/A","Sin marco",IFERROR(INDEX(Catalogo_TIMSS!$C$5:$C$105,MATCH(K164,Catalogo_TIMSS!$A$5:$A$105,0)),"Pendiente de clasificar")))</f>
        <v>Ciencias de la vida</v>
      </c>
      <c r="N164" s="8" t="str">
        <f aca="false">IF(K164="FUERA","Fuera del marco",IF(K164="N/A","Sin marco",IFERROR(INDEX(Catalogo_TIMSS!$F$5:$F$105,MATCH(K164,Catalogo_TIMSS!$A$5:$A$105,0)),"Pendiente de clasificar")))</f>
        <v>Ecosistemas</v>
      </c>
      <c r="O164" s="8" t="str">
        <f aca="false">IF(L164="","",IFERROR(INDEX(Catalogo_TIMSS!$C$5:$C$105,MATCH(L164,Catalogo_TIMSS!$A$5:$A$105,0)),"?"))</f>
        <v>Ciencias de la vida</v>
      </c>
      <c r="P164" s="8" t="s">
        <v>460</v>
      </c>
      <c r="Q164" s="27" t="s">
        <v>1085</v>
      </c>
      <c r="R164" s="27" t="s">
        <v>1086</v>
      </c>
      <c r="S164" s="28" t="n">
        <f aca="false">IFERROR(ISNUMBER(SEARCH("Conocer",$R164))/(ISNUMBER(SEARCH("Conocer",$R164))+ISNUMBER(SEARCH("Aplicar",$R164))+ISNUMBER(SEARCH("Razonar",$R164))),0)</f>
        <v>1</v>
      </c>
      <c r="T164" s="28" t="n">
        <f aca="false">IFERROR(ISNUMBER(SEARCH("Aplicar",$R164))/(ISNUMBER(SEARCH("Conocer",$R164))+ISNUMBER(SEARCH("Aplicar",$R164))+ISNUMBER(SEARCH("Razonar",$R164))),0)</f>
        <v>0</v>
      </c>
      <c r="U164" s="28" t="n">
        <f aca="false">IFERROR(ISNUMBER(SEARCH("Razonar",$R164))/(ISNUMBER(SEARCH("Conocer",$R164))+ISNUMBER(SEARCH("Aplicar",$R164))+ISNUMBER(SEARCH("Razonar",$R164))),0)</f>
        <v>0</v>
      </c>
      <c r="V164" s="8" t="s">
        <v>47</v>
      </c>
      <c r="W164" s="8" t="s">
        <v>66</v>
      </c>
    </row>
    <row r="165" customFormat="false" ht="15" hidden="false" customHeight="false" outlineLevel="0" collapsed="false">
      <c r="A165" s="8" t="s">
        <v>1087</v>
      </c>
      <c r="B165" s="8" t="n">
        <v>4</v>
      </c>
      <c r="C165" s="8" t="s">
        <v>411</v>
      </c>
      <c r="D165" s="8" t="s">
        <v>985</v>
      </c>
      <c r="E165" s="8" t="s">
        <v>1081</v>
      </c>
      <c r="F165" s="8" t="n">
        <v>4</v>
      </c>
      <c r="G165" s="8" t="s">
        <v>1082</v>
      </c>
      <c r="H165" s="8" t="s">
        <v>1083</v>
      </c>
      <c r="I165" s="27" t="s">
        <v>1088</v>
      </c>
      <c r="J165" s="8" t="s">
        <v>109</v>
      </c>
      <c r="K165" s="8" t="s">
        <v>108</v>
      </c>
      <c r="L165" s="8" t="s">
        <v>128</v>
      </c>
      <c r="M165" s="8" t="str">
        <f aca="false">IF(K165="FUERA","Fuera del marco",IF(K165="N/A","Sin marco",IFERROR(INDEX(Catalogo_TIMSS!$C$5:$C$105,MATCH(K165,Catalogo_TIMSS!$A$5:$A$105,0)),"Pendiente de clasificar")))</f>
        <v>Ciencias de la vida</v>
      </c>
      <c r="N165" s="8" t="str">
        <f aca="false">IF(K165="FUERA","Fuera del marco",IF(K165="N/A","Sin marco",IFERROR(INDEX(Catalogo_TIMSS!$F$5:$F$105,MATCH(K165,Catalogo_TIMSS!$A$5:$A$105,0)),"Pendiente de clasificar")))</f>
        <v>Características y procesos vitales de los organismos</v>
      </c>
      <c r="O165" s="8" t="str">
        <f aca="false">IF(L165="","",IFERROR(INDEX(Catalogo_TIMSS!$C$5:$C$105,MATCH(L165,Catalogo_TIMSS!$A$5:$A$105,0)),"?"))</f>
        <v>Ciencias de la vida</v>
      </c>
      <c r="P165" s="8" t="s">
        <v>460</v>
      </c>
      <c r="Q165" s="27" t="s">
        <v>1089</v>
      </c>
      <c r="R165" s="27" t="s">
        <v>429</v>
      </c>
      <c r="S165" s="28" t="n">
        <f aca="false">IFERROR(ISNUMBER(SEARCH("Conocer",$R165))/(ISNUMBER(SEARCH("Conocer",$R165))+ISNUMBER(SEARCH("Aplicar",$R165))+ISNUMBER(SEARCH("Razonar",$R165))),0)</f>
        <v>0</v>
      </c>
      <c r="T165" s="28" t="n">
        <f aca="false">IFERROR(ISNUMBER(SEARCH("Aplicar",$R165))/(ISNUMBER(SEARCH("Conocer",$R165))+ISNUMBER(SEARCH("Aplicar",$R165))+ISNUMBER(SEARCH("Razonar",$R165))),0)</f>
        <v>1</v>
      </c>
      <c r="U165" s="28" t="n">
        <f aca="false">IFERROR(ISNUMBER(SEARCH("Razonar",$R165))/(ISNUMBER(SEARCH("Conocer",$R165))+ISNUMBER(SEARCH("Aplicar",$R165))+ISNUMBER(SEARCH("Razonar",$R165))),0)</f>
        <v>0</v>
      </c>
      <c r="V165" s="8" t="s">
        <v>47</v>
      </c>
      <c r="W165" s="8" t="s">
        <v>66</v>
      </c>
    </row>
    <row r="166" customFormat="false" ht="15" hidden="false" customHeight="false" outlineLevel="0" collapsed="false">
      <c r="A166" s="8" t="s">
        <v>1090</v>
      </c>
      <c r="B166" s="8" t="n">
        <v>4</v>
      </c>
      <c r="C166" s="8" t="s">
        <v>411</v>
      </c>
      <c r="D166" s="8" t="s">
        <v>985</v>
      </c>
      <c r="E166" s="8" t="s">
        <v>1081</v>
      </c>
      <c r="F166" s="8" t="n">
        <v>5</v>
      </c>
      <c r="G166" s="8" t="s">
        <v>1082</v>
      </c>
      <c r="H166" s="8" t="s">
        <v>1091</v>
      </c>
      <c r="I166" s="27" t="s">
        <v>1092</v>
      </c>
      <c r="J166" s="8" t="s">
        <v>109</v>
      </c>
      <c r="K166" s="8" t="s">
        <v>128</v>
      </c>
      <c r="L166" s="8"/>
      <c r="M166" s="8" t="str">
        <f aca="false">IF(K166="FUERA","Fuera del marco",IF(K166="N/A","Sin marco",IFERROR(INDEX(Catalogo_TIMSS!$C$5:$C$105,MATCH(K166,Catalogo_TIMSS!$A$5:$A$105,0)),"Pendiente de clasificar")))</f>
        <v>Ciencias de la vida</v>
      </c>
      <c r="N166" s="8" t="str">
        <f aca="false">IF(K166="FUERA","Fuera del marco",IF(K166="N/A","Sin marco",IFERROR(INDEX(Catalogo_TIMSS!$F$5:$F$105,MATCH(K166,Catalogo_TIMSS!$A$5:$A$105,0)),"Pendiente de clasificar")))</f>
        <v>Ecosistemas</v>
      </c>
      <c r="O166" s="8" t="str">
        <f aca="false">IF(L166="","",IFERROR(INDEX(Catalogo_TIMSS!$C$5:$C$105,MATCH(L166,Catalogo_TIMSS!$A$5:$A$105,0)),"?"))</f>
        <v/>
      </c>
      <c r="P166" s="8" t="s">
        <v>513</v>
      </c>
      <c r="Q166" s="27" t="s">
        <v>1093</v>
      </c>
      <c r="R166" s="27" t="s">
        <v>642</v>
      </c>
      <c r="S166" s="28" t="n">
        <f aca="false">IFERROR(ISNUMBER(SEARCH("Conocer",$R166))/(ISNUMBER(SEARCH("Conocer",$R166))+ISNUMBER(SEARCH("Aplicar",$R166))+ISNUMBER(SEARCH("Razonar",$R166))),0)</f>
        <v>0</v>
      </c>
      <c r="T166" s="28" t="n">
        <f aca="false">IFERROR(ISNUMBER(SEARCH("Aplicar",$R166))/(ISNUMBER(SEARCH("Conocer",$R166))+ISNUMBER(SEARCH("Aplicar",$R166))+ISNUMBER(SEARCH("Razonar",$R166))),0)</f>
        <v>1</v>
      </c>
      <c r="U166" s="28" t="n">
        <f aca="false">IFERROR(ISNUMBER(SEARCH("Razonar",$R166))/(ISNUMBER(SEARCH("Conocer",$R166))+ISNUMBER(SEARCH("Aplicar",$R166))+ISNUMBER(SEARCH("Razonar",$R166))),0)</f>
        <v>0</v>
      </c>
      <c r="V166" s="8" t="s">
        <v>47</v>
      </c>
      <c r="W166" s="8" t="s">
        <v>66</v>
      </c>
    </row>
    <row r="167" customFormat="false" ht="15" hidden="false" customHeight="false" outlineLevel="0" collapsed="false">
      <c r="A167" s="8" t="s">
        <v>1094</v>
      </c>
      <c r="B167" s="8" t="n">
        <v>4</v>
      </c>
      <c r="C167" s="8" t="s">
        <v>411</v>
      </c>
      <c r="D167" s="8" t="s">
        <v>985</v>
      </c>
      <c r="E167" s="8" t="s">
        <v>1081</v>
      </c>
      <c r="F167" s="8" t="n">
        <v>6</v>
      </c>
      <c r="G167" s="8" t="s">
        <v>1082</v>
      </c>
      <c r="H167" s="8" t="s">
        <v>1095</v>
      </c>
      <c r="I167" s="27" t="s">
        <v>1096</v>
      </c>
      <c r="J167" s="8" t="s">
        <v>109</v>
      </c>
      <c r="K167" s="8" t="s">
        <v>128</v>
      </c>
      <c r="L167" s="8"/>
      <c r="M167" s="8" t="str">
        <f aca="false">IF(K167="FUERA","Fuera del marco",IF(K167="N/A","Sin marco",IFERROR(INDEX(Catalogo_TIMSS!$C$5:$C$105,MATCH(K167,Catalogo_TIMSS!$A$5:$A$105,0)),"Pendiente de clasificar")))</f>
        <v>Ciencias de la vida</v>
      </c>
      <c r="N167" s="8" t="str">
        <f aca="false">IF(K167="FUERA","Fuera del marco",IF(K167="N/A","Sin marco",IFERROR(INDEX(Catalogo_TIMSS!$F$5:$F$105,MATCH(K167,Catalogo_TIMSS!$A$5:$A$105,0)),"Pendiente de clasificar")))</f>
        <v>Ecosistemas</v>
      </c>
      <c r="O167" s="8" t="str">
        <f aca="false">IF(L167="","",IFERROR(INDEX(Catalogo_TIMSS!$C$5:$C$105,MATCH(L167,Catalogo_TIMSS!$A$5:$A$105,0)),"?"))</f>
        <v/>
      </c>
      <c r="P167" s="8" t="s">
        <v>418</v>
      </c>
      <c r="Q167" s="27" t="s">
        <v>1097</v>
      </c>
      <c r="R167" s="27" t="s">
        <v>1098</v>
      </c>
      <c r="S167" s="28" t="n">
        <f aca="false">IFERROR(ISNUMBER(SEARCH("Conocer",$R167))/(ISNUMBER(SEARCH("Conocer",$R167))+ISNUMBER(SEARCH("Aplicar",$R167))+ISNUMBER(SEARCH("Razonar",$R167))),0)</f>
        <v>0.5</v>
      </c>
      <c r="T167" s="28" t="n">
        <f aca="false">IFERROR(ISNUMBER(SEARCH("Aplicar",$R167))/(ISNUMBER(SEARCH("Conocer",$R167))+ISNUMBER(SEARCH("Aplicar",$R167))+ISNUMBER(SEARCH("Razonar",$R167))),0)</f>
        <v>0.5</v>
      </c>
      <c r="U167" s="28" t="n">
        <f aca="false">IFERROR(ISNUMBER(SEARCH("Razonar",$R167))/(ISNUMBER(SEARCH("Conocer",$R167))+ISNUMBER(SEARCH("Aplicar",$R167))+ISNUMBER(SEARCH("Razonar",$R167))),0)</f>
        <v>0</v>
      </c>
      <c r="V167" s="8" t="s">
        <v>47</v>
      </c>
      <c r="W167" s="8" t="s">
        <v>66</v>
      </c>
    </row>
    <row r="168" customFormat="false" ht="15" hidden="false" customHeight="false" outlineLevel="0" collapsed="false">
      <c r="A168" s="8" t="s">
        <v>1099</v>
      </c>
      <c r="B168" s="8" t="n">
        <v>4</v>
      </c>
      <c r="C168" s="8" t="s">
        <v>411</v>
      </c>
      <c r="D168" s="8" t="s">
        <v>985</v>
      </c>
      <c r="E168" s="8" t="s">
        <v>1081</v>
      </c>
      <c r="F168" s="8" t="n">
        <v>7</v>
      </c>
      <c r="G168" s="8" t="s">
        <v>1082</v>
      </c>
      <c r="H168" s="8" t="s">
        <v>1095</v>
      </c>
      <c r="I168" s="27" t="s">
        <v>1100</v>
      </c>
      <c r="J168" s="8" t="s">
        <v>109</v>
      </c>
      <c r="K168" s="8" t="s">
        <v>128</v>
      </c>
      <c r="L168" s="8"/>
      <c r="M168" s="8" t="str">
        <f aca="false">IF(K168="FUERA","Fuera del marco",IF(K168="N/A","Sin marco",IFERROR(INDEX(Catalogo_TIMSS!$C$5:$C$105,MATCH(K168,Catalogo_TIMSS!$A$5:$A$105,0)),"Pendiente de clasificar")))</f>
        <v>Ciencias de la vida</v>
      </c>
      <c r="N168" s="8" t="str">
        <f aca="false">IF(K168="FUERA","Fuera del marco",IF(K168="N/A","Sin marco",IFERROR(INDEX(Catalogo_TIMSS!$F$5:$F$105,MATCH(K168,Catalogo_TIMSS!$A$5:$A$105,0)),"Pendiente de clasificar")))</f>
        <v>Ecosistemas</v>
      </c>
      <c r="O168" s="8" t="str">
        <f aca="false">IF(L168="","",IFERROR(INDEX(Catalogo_TIMSS!$C$5:$C$105,MATCH(L168,Catalogo_TIMSS!$A$5:$A$105,0)),"?"))</f>
        <v/>
      </c>
      <c r="P168" s="8" t="s">
        <v>460</v>
      </c>
      <c r="Q168" s="27" t="s">
        <v>1101</v>
      </c>
      <c r="R168" s="27" t="s">
        <v>1102</v>
      </c>
      <c r="S168" s="28" t="n">
        <f aca="false">IFERROR(ISNUMBER(SEARCH("Conocer",$R168))/(ISNUMBER(SEARCH("Conocer",$R168))+ISNUMBER(SEARCH("Aplicar",$R168))+ISNUMBER(SEARCH("Razonar",$R168))),0)</f>
        <v>0.5</v>
      </c>
      <c r="T168" s="28" t="n">
        <f aca="false">IFERROR(ISNUMBER(SEARCH("Aplicar",$R168))/(ISNUMBER(SEARCH("Conocer",$R168))+ISNUMBER(SEARCH("Aplicar",$R168))+ISNUMBER(SEARCH("Razonar",$R168))),0)</f>
        <v>0</v>
      </c>
      <c r="U168" s="28" t="n">
        <f aca="false">IFERROR(ISNUMBER(SEARCH("Razonar",$R168))/(ISNUMBER(SEARCH("Conocer",$R168))+ISNUMBER(SEARCH("Aplicar",$R168))+ISNUMBER(SEARCH("Razonar",$R168))),0)</f>
        <v>0.5</v>
      </c>
      <c r="V168" s="8" t="s">
        <v>47</v>
      </c>
      <c r="W168" s="8" t="s">
        <v>66</v>
      </c>
    </row>
    <row r="169" customFormat="false" ht="15" hidden="false" customHeight="false" outlineLevel="0" collapsed="false">
      <c r="A169" s="8" t="s">
        <v>1103</v>
      </c>
      <c r="B169" s="8" t="n">
        <v>4</v>
      </c>
      <c r="C169" s="8" t="s">
        <v>411</v>
      </c>
      <c r="D169" s="8" t="s">
        <v>985</v>
      </c>
      <c r="E169" s="8" t="s">
        <v>1081</v>
      </c>
      <c r="F169" s="8" t="n">
        <v>8</v>
      </c>
      <c r="G169" s="8" t="s">
        <v>1082</v>
      </c>
      <c r="H169" s="8" t="s">
        <v>1095</v>
      </c>
      <c r="I169" s="27" t="s">
        <v>1104</v>
      </c>
      <c r="J169" s="8" t="s">
        <v>109</v>
      </c>
      <c r="K169" s="8" t="s">
        <v>131</v>
      </c>
      <c r="L169" s="8" t="s">
        <v>133</v>
      </c>
      <c r="M169" s="8" t="str">
        <f aca="false">IF(K169="FUERA","Fuera del marco",IF(K169="N/A","Sin marco",IFERROR(INDEX(Catalogo_TIMSS!$C$5:$C$105,MATCH(K169,Catalogo_TIMSS!$A$5:$A$105,0)),"Pendiente de clasificar")))</f>
        <v>Ciencias de la vida</v>
      </c>
      <c r="N169" s="8" t="str">
        <f aca="false">IF(K169="FUERA","Fuera del marco",IF(K169="N/A","Sin marco",IFERROR(INDEX(Catalogo_TIMSS!$F$5:$F$105,MATCH(K169,Catalogo_TIMSS!$A$5:$A$105,0)),"Pendiente de clasificar")))</f>
        <v>Ecosistemas</v>
      </c>
      <c r="O169" s="8" t="str">
        <f aca="false">IF(L169="","",IFERROR(INDEX(Catalogo_TIMSS!$C$5:$C$105,MATCH(L169,Catalogo_TIMSS!$A$5:$A$105,0)),"?"))</f>
        <v>Ciencias de la vida</v>
      </c>
      <c r="P169" s="8" t="s">
        <v>460</v>
      </c>
      <c r="Q169" s="27" t="s">
        <v>1105</v>
      </c>
      <c r="R169" s="27" t="s">
        <v>1106</v>
      </c>
      <c r="S169" s="28" t="n">
        <f aca="false">IFERROR(ISNUMBER(SEARCH("Conocer",$R169))/(ISNUMBER(SEARCH("Conocer",$R169))+ISNUMBER(SEARCH("Aplicar",$R169))+ISNUMBER(SEARCH("Razonar",$R169))),0)</f>
        <v>0</v>
      </c>
      <c r="T169" s="28" t="n">
        <f aca="false">IFERROR(ISNUMBER(SEARCH("Aplicar",$R169))/(ISNUMBER(SEARCH("Conocer",$R169))+ISNUMBER(SEARCH("Aplicar",$R169))+ISNUMBER(SEARCH("Razonar",$R169))),0)</f>
        <v>0.5</v>
      </c>
      <c r="U169" s="28" t="n">
        <f aca="false">IFERROR(ISNUMBER(SEARCH("Razonar",$R169))/(ISNUMBER(SEARCH("Conocer",$R169))+ISNUMBER(SEARCH("Aplicar",$R169))+ISNUMBER(SEARCH("Razonar",$R169))),0)</f>
        <v>0.5</v>
      </c>
      <c r="V169" s="8" t="s">
        <v>47</v>
      </c>
      <c r="W169" s="8" t="s">
        <v>66</v>
      </c>
    </row>
    <row r="170" customFormat="false" ht="15" hidden="false" customHeight="false" outlineLevel="0" collapsed="false">
      <c r="A170" s="8" t="s">
        <v>1107</v>
      </c>
      <c r="B170" s="8" t="n">
        <v>4</v>
      </c>
      <c r="C170" s="8" t="s">
        <v>411</v>
      </c>
      <c r="D170" s="8" t="s">
        <v>985</v>
      </c>
      <c r="E170" s="8" t="s">
        <v>1081</v>
      </c>
      <c r="F170" s="8" t="n">
        <v>9</v>
      </c>
      <c r="G170" s="8" t="s">
        <v>1082</v>
      </c>
      <c r="H170" s="8" t="s">
        <v>1095</v>
      </c>
      <c r="I170" s="27" t="s">
        <v>1108</v>
      </c>
      <c r="J170" s="8" t="s">
        <v>109</v>
      </c>
      <c r="K170" s="8" t="s">
        <v>131</v>
      </c>
      <c r="L170" s="8"/>
      <c r="M170" s="8" t="str">
        <f aca="false">IF(K170="FUERA","Fuera del marco",IF(K170="N/A","Sin marco",IFERROR(INDEX(Catalogo_TIMSS!$C$5:$C$105,MATCH(K170,Catalogo_TIMSS!$A$5:$A$105,0)),"Pendiente de clasificar")))</f>
        <v>Ciencias de la vida</v>
      </c>
      <c r="N170" s="8" t="str">
        <f aca="false">IF(K170="FUERA","Fuera del marco",IF(K170="N/A","Sin marco",IFERROR(INDEX(Catalogo_TIMSS!$F$5:$F$105,MATCH(K170,Catalogo_TIMSS!$A$5:$A$105,0)),"Pendiente de clasificar")))</f>
        <v>Ecosistemas</v>
      </c>
      <c r="O170" s="8" t="str">
        <f aca="false">IF(L170="","",IFERROR(INDEX(Catalogo_TIMSS!$C$5:$C$105,MATCH(L170,Catalogo_TIMSS!$A$5:$A$105,0)),"?"))</f>
        <v/>
      </c>
      <c r="P170" s="8" t="s">
        <v>418</v>
      </c>
      <c r="Q170" s="27" t="s">
        <v>1109</v>
      </c>
      <c r="R170" s="27" t="s">
        <v>1110</v>
      </c>
      <c r="S170" s="28" t="n">
        <f aca="false">IFERROR(ISNUMBER(SEARCH("Conocer",$R170))/(ISNUMBER(SEARCH("Conocer",$R170))+ISNUMBER(SEARCH("Aplicar",$R170))+ISNUMBER(SEARCH("Razonar",$R170))),0)</f>
        <v>0</v>
      </c>
      <c r="T170" s="28" t="n">
        <f aca="false">IFERROR(ISNUMBER(SEARCH("Aplicar",$R170))/(ISNUMBER(SEARCH("Conocer",$R170))+ISNUMBER(SEARCH("Aplicar",$R170))+ISNUMBER(SEARCH("Razonar",$R170))),0)</f>
        <v>0.5</v>
      </c>
      <c r="U170" s="28" t="n">
        <f aca="false">IFERROR(ISNUMBER(SEARCH("Razonar",$R170))/(ISNUMBER(SEARCH("Conocer",$R170))+ISNUMBER(SEARCH("Aplicar",$R170))+ISNUMBER(SEARCH("Razonar",$R170))),0)</f>
        <v>0.5</v>
      </c>
      <c r="V170" s="8" t="s">
        <v>47</v>
      </c>
      <c r="W170" s="8" t="s">
        <v>66</v>
      </c>
    </row>
    <row r="171" customFormat="false" ht="15" hidden="false" customHeight="false" outlineLevel="0" collapsed="false">
      <c r="A171" s="8" t="s">
        <v>1111</v>
      </c>
      <c r="B171" s="8" t="n">
        <v>4</v>
      </c>
      <c r="C171" s="8" t="s">
        <v>411</v>
      </c>
      <c r="D171" s="8" t="s">
        <v>985</v>
      </c>
      <c r="E171" s="8" t="s">
        <v>1081</v>
      </c>
      <c r="F171" s="8" t="n">
        <v>10</v>
      </c>
      <c r="G171" s="8" t="s">
        <v>1082</v>
      </c>
      <c r="H171" s="8" t="s">
        <v>1095</v>
      </c>
      <c r="I171" s="27" t="s">
        <v>1112</v>
      </c>
      <c r="J171" s="8" t="s">
        <v>109</v>
      </c>
      <c r="K171" s="8" t="s">
        <v>128</v>
      </c>
      <c r="L171" s="8" t="s">
        <v>121</v>
      </c>
      <c r="M171" s="8" t="str">
        <f aca="false">IF(K171="FUERA","Fuera del marco",IF(K171="N/A","Sin marco",IFERROR(INDEX(Catalogo_TIMSS!$C$5:$C$105,MATCH(K171,Catalogo_TIMSS!$A$5:$A$105,0)),"Pendiente de clasificar")))</f>
        <v>Ciencias de la vida</v>
      </c>
      <c r="N171" s="8" t="str">
        <f aca="false">IF(K171="FUERA","Fuera del marco",IF(K171="N/A","Sin marco",IFERROR(INDEX(Catalogo_TIMSS!$F$5:$F$105,MATCH(K171,Catalogo_TIMSS!$A$5:$A$105,0)),"Pendiente de clasificar")))</f>
        <v>Ecosistemas</v>
      </c>
      <c r="O171" s="8" t="str">
        <f aca="false">IF(L171="","",IFERROR(INDEX(Catalogo_TIMSS!$C$5:$C$105,MATCH(L171,Catalogo_TIMSS!$A$5:$A$105,0)),"?"))</f>
        <v>Ciencias de la vida</v>
      </c>
      <c r="P171" s="8" t="s">
        <v>460</v>
      </c>
      <c r="Q171" s="27" t="s">
        <v>1113</v>
      </c>
      <c r="R171" s="27" t="s">
        <v>1086</v>
      </c>
      <c r="S171" s="28" t="n">
        <f aca="false">IFERROR(ISNUMBER(SEARCH("Conocer",$R171))/(ISNUMBER(SEARCH("Conocer",$R171))+ISNUMBER(SEARCH("Aplicar",$R171))+ISNUMBER(SEARCH("Razonar",$R171))),0)</f>
        <v>1</v>
      </c>
      <c r="T171" s="28" t="n">
        <f aca="false">IFERROR(ISNUMBER(SEARCH("Aplicar",$R171))/(ISNUMBER(SEARCH("Conocer",$R171))+ISNUMBER(SEARCH("Aplicar",$R171))+ISNUMBER(SEARCH("Razonar",$R171))),0)</f>
        <v>0</v>
      </c>
      <c r="U171" s="28" t="n">
        <f aca="false">IFERROR(ISNUMBER(SEARCH("Razonar",$R171))/(ISNUMBER(SEARCH("Conocer",$R171))+ISNUMBER(SEARCH("Aplicar",$R171))+ISNUMBER(SEARCH("Razonar",$R171))),0)</f>
        <v>0</v>
      </c>
      <c r="V171" s="8" t="s">
        <v>47</v>
      </c>
      <c r="W171" s="8" t="s">
        <v>66</v>
      </c>
    </row>
    <row r="172" customFormat="false" ht="15" hidden="false" customHeight="false" outlineLevel="0" collapsed="false">
      <c r="A172" s="8" t="s">
        <v>1114</v>
      </c>
      <c r="B172" s="8" t="n">
        <v>4</v>
      </c>
      <c r="C172" s="8" t="s">
        <v>411</v>
      </c>
      <c r="D172" s="8" t="s">
        <v>985</v>
      </c>
      <c r="E172" s="8" t="s">
        <v>1081</v>
      </c>
      <c r="F172" s="8" t="n">
        <v>11</v>
      </c>
      <c r="G172" s="8" t="s">
        <v>1082</v>
      </c>
      <c r="H172" s="8" t="s">
        <v>1115</v>
      </c>
      <c r="I172" s="27" t="s">
        <v>1116</v>
      </c>
      <c r="J172" s="8" t="s">
        <v>109</v>
      </c>
      <c r="K172" s="8" t="s">
        <v>172</v>
      </c>
      <c r="L172" s="8"/>
      <c r="M172" s="8" t="str">
        <f aca="false">IF(K172="FUERA","Fuera del marco",IF(K172="N/A","Sin marco",IFERROR(INDEX(Catalogo_TIMSS!$C$5:$C$105,MATCH(K172,Catalogo_TIMSS!$A$5:$A$105,0)),"Pendiente de clasificar")))</f>
        <v>Ciencias de la Tierra</v>
      </c>
      <c r="N172" s="8" t="str">
        <f aca="false">IF(K172="FUERA","Fuera del marco",IF(K172="N/A","Sin marco",IFERROR(INDEX(Catalogo_TIMSS!$F$5:$F$105,MATCH(K172,Catalogo_TIMSS!$A$5:$A$105,0)),"Pendiente de clasificar")))</f>
        <v>Tiempo atmosférico y clima</v>
      </c>
      <c r="O172" s="8" t="str">
        <f aca="false">IF(L172="","",IFERROR(INDEX(Catalogo_TIMSS!$C$5:$C$105,MATCH(L172,Catalogo_TIMSS!$A$5:$A$105,0)),"?"))</f>
        <v/>
      </c>
      <c r="P172" s="8" t="s">
        <v>460</v>
      </c>
      <c r="Q172" s="27" t="s">
        <v>1117</v>
      </c>
      <c r="R172" s="27" t="s">
        <v>1118</v>
      </c>
      <c r="S172" s="28" t="n">
        <f aca="false">IFERROR(ISNUMBER(SEARCH("Conocer",$R172))/(ISNUMBER(SEARCH("Conocer",$R172))+ISNUMBER(SEARCH("Aplicar",$R172))+ISNUMBER(SEARCH("Razonar",$R172))),0)</f>
        <v>0.5</v>
      </c>
      <c r="T172" s="28" t="n">
        <f aca="false">IFERROR(ISNUMBER(SEARCH("Aplicar",$R172))/(ISNUMBER(SEARCH("Conocer",$R172))+ISNUMBER(SEARCH("Aplicar",$R172))+ISNUMBER(SEARCH("Razonar",$R172))),0)</f>
        <v>0.5</v>
      </c>
      <c r="U172" s="28" t="n">
        <f aca="false">IFERROR(ISNUMBER(SEARCH("Razonar",$R172))/(ISNUMBER(SEARCH("Conocer",$R172))+ISNUMBER(SEARCH("Aplicar",$R172))+ISNUMBER(SEARCH("Razonar",$R172))),0)</f>
        <v>0</v>
      </c>
      <c r="V172" s="8" t="s">
        <v>47</v>
      </c>
      <c r="W172" s="8" t="s">
        <v>66</v>
      </c>
    </row>
    <row r="173" customFormat="false" ht="15" hidden="false" customHeight="false" outlineLevel="0" collapsed="false">
      <c r="A173" s="8" t="s">
        <v>1119</v>
      </c>
      <c r="B173" s="8" t="n">
        <v>4</v>
      </c>
      <c r="C173" s="8" t="s">
        <v>411</v>
      </c>
      <c r="D173" s="8" t="s">
        <v>985</v>
      </c>
      <c r="E173" s="8" t="s">
        <v>1081</v>
      </c>
      <c r="F173" s="8" t="n">
        <v>12</v>
      </c>
      <c r="G173" s="8" t="s">
        <v>1082</v>
      </c>
      <c r="H173" s="8" t="s">
        <v>1115</v>
      </c>
      <c r="I173" s="27" t="s">
        <v>1120</v>
      </c>
      <c r="J173" s="8" t="s">
        <v>109</v>
      </c>
      <c r="K173" s="8" t="s">
        <v>172</v>
      </c>
      <c r="L173" s="8"/>
      <c r="M173" s="8" t="str">
        <f aca="false">IF(K173="FUERA","Fuera del marco",IF(K173="N/A","Sin marco",IFERROR(INDEX(Catalogo_TIMSS!$C$5:$C$105,MATCH(K173,Catalogo_TIMSS!$A$5:$A$105,0)),"Pendiente de clasificar")))</f>
        <v>Ciencias de la Tierra</v>
      </c>
      <c r="N173" s="8" t="str">
        <f aca="false">IF(K173="FUERA","Fuera del marco",IF(K173="N/A","Sin marco",IFERROR(INDEX(Catalogo_TIMSS!$F$5:$F$105,MATCH(K173,Catalogo_TIMSS!$A$5:$A$105,0)),"Pendiente de clasificar")))</f>
        <v>Tiempo atmosférico y clima</v>
      </c>
      <c r="O173" s="8" t="str">
        <f aca="false">IF(L173="","",IFERROR(INDEX(Catalogo_TIMSS!$C$5:$C$105,MATCH(L173,Catalogo_TIMSS!$A$5:$A$105,0)),"?"))</f>
        <v/>
      </c>
      <c r="P173" s="8" t="s">
        <v>513</v>
      </c>
      <c r="Q173" s="27" t="s">
        <v>1121</v>
      </c>
      <c r="R173" s="27" t="s">
        <v>1122</v>
      </c>
      <c r="S173" s="28" t="n">
        <f aca="false">IFERROR(ISNUMBER(SEARCH("Conocer",$R173))/(ISNUMBER(SEARCH("Conocer",$R173))+ISNUMBER(SEARCH("Aplicar",$R173))+ISNUMBER(SEARCH("Razonar",$R173))),0)</f>
        <v>0.5</v>
      </c>
      <c r="T173" s="28" t="n">
        <f aca="false">IFERROR(ISNUMBER(SEARCH("Aplicar",$R173))/(ISNUMBER(SEARCH("Conocer",$R173))+ISNUMBER(SEARCH("Aplicar",$R173))+ISNUMBER(SEARCH("Razonar",$R173))),0)</f>
        <v>0</v>
      </c>
      <c r="U173" s="28" t="n">
        <f aca="false">IFERROR(ISNUMBER(SEARCH("Razonar",$R173))/(ISNUMBER(SEARCH("Conocer",$R173))+ISNUMBER(SEARCH("Aplicar",$R173))+ISNUMBER(SEARCH("Razonar",$R173))),0)</f>
        <v>0.5</v>
      </c>
      <c r="V173" s="8" t="s">
        <v>47</v>
      </c>
      <c r="W173" s="8" t="s">
        <v>66</v>
      </c>
    </row>
    <row r="174" customFormat="false" ht="15" hidden="false" customHeight="false" outlineLevel="0" collapsed="false">
      <c r="A174" s="8" t="s">
        <v>1123</v>
      </c>
      <c r="B174" s="8" t="n">
        <v>4</v>
      </c>
      <c r="C174" s="8" t="s">
        <v>411</v>
      </c>
      <c r="D174" s="8" t="s">
        <v>985</v>
      </c>
      <c r="E174" s="8" t="s">
        <v>1081</v>
      </c>
      <c r="F174" s="8" t="n">
        <v>13</v>
      </c>
      <c r="G174" s="8" t="s">
        <v>1082</v>
      </c>
      <c r="H174" s="8" t="s">
        <v>1115</v>
      </c>
      <c r="I174" s="27" t="s">
        <v>1124</v>
      </c>
      <c r="J174" s="8" t="s">
        <v>109</v>
      </c>
      <c r="K174" s="8" t="s">
        <v>177</v>
      </c>
      <c r="L174" s="8" t="s">
        <v>175</v>
      </c>
      <c r="M174" s="8" t="str">
        <f aca="false">IF(K174="FUERA","Fuera del marco",IF(K174="N/A","Sin marco",IFERROR(INDEX(Catalogo_TIMSS!$C$5:$C$105,MATCH(K174,Catalogo_TIMSS!$A$5:$A$105,0)),"Pendiente de clasificar")))</f>
        <v>Ciencias de la Tierra</v>
      </c>
      <c r="N174" s="8" t="str">
        <f aca="false">IF(K174="FUERA","Fuera del marco",IF(K174="N/A","Sin marco",IFERROR(INDEX(Catalogo_TIMSS!$F$5:$F$105,MATCH(K174,Catalogo_TIMSS!$A$5:$A$105,0)),"Pendiente de clasificar")))</f>
        <v>Tiempo atmosférico y clima</v>
      </c>
      <c r="O174" s="8" t="str">
        <f aca="false">IF(L174="","",IFERROR(INDEX(Catalogo_TIMSS!$C$5:$C$105,MATCH(L174,Catalogo_TIMSS!$A$5:$A$105,0)),"?"))</f>
        <v>Ciencias de la Tierra</v>
      </c>
      <c r="P174" s="8" t="s">
        <v>460</v>
      </c>
      <c r="Q174" s="27" t="s">
        <v>1125</v>
      </c>
      <c r="R174" s="27" t="s">
        <v>1126</v>
      </c>
      <c r="S174" s="28" t="n">
        <f aca="false">IFERROR(ISNUMBER(SEARCH("Conocer",$R174))/(ISNUMBER(SEARCH("Conocer",$R174))+ISNUMBER(SEARCH("Aplicar",$R174))+ISNUMBER(SEARCH("Razonar",$R174))),0)</f>
        <v>0</v>
      </c>
      <c r="T174" s="28" t="n">
        <f aca="false">IFERROR(ISNUMBER(SEARCH("Aplicar",$R174))/(ISNUMBER(SEARCH("Conocer",$R174))+ISNUMBER(SEARCH("Aplicar",$R174))+ISNUMBER(SEARCH("Razonar",$R174))),0)</f>
        <v>1</v>
      </c>
      <c r="U174" s="28" t="n">
        <f aca="false">IFERROR(ISNUMBER(SEARCH("Razonar",$R174))/(ISNUMBER(SEARCH("Conocer",$R174))+ISNUMBER(SEARCH("Aplicar",$R174))+ISNUMBER(SEARCH("Razonar",$R174))),0)</f>
        <v>0</v>
      </c>
      <c r="V174" s="8" t="s">
        <v>47</v>
      </c>
      <c r="W174" s="8" t="s">
        <v>66</v>
      </c>
    </row>
    <row r="175" customFormat="false" ht="15" hidden="false" customHeight="false" outlineLevel="0" collapsed="false">
      <c r="A175" s="8" t="s">
        <v>1127</v>
      </c>
      <c r="B175" s="8" t="n">
        <v>4</v>
      </c>
      <c r="C175" s="8" t="s">
        <v>411</v>
      </c>
      <c r="D175" s="8" t="s">
        <v>985</v>
      </c>
      <c r="E175" s="8" t="s">
        <v>1081</v>
      </c>
      <c r="F175" s="8" t="n">
        <v>14</v>
      </c>
      <c r="G175" s="8" t="s">
        <v>1082</v>
      </c>
      <c r="H175" s="8" t="s">
        <v>1128</v>
      </c>
      <c r="I175" s="27" t="s">
        <v>1129</v>
      </c>
      <c r="J175" s="8" t="s">
        <v>109</v>
      </c>
      <c r="K175" s="8" t="s">
        <v>170</v>
      </c>
      <c r="L175" s="8"/>
      <c r="M175" s="8" t="str">
        <f aca="false">IF(K175="FUERA","Fuera del marco",IF(K175="N/A","Sin marco",IFERROR(INDEX(Catalogo_TIMSS!$C$5:$C$105,MATCH(K175,Catalogo_TIMSS!$A$5:$A$105,0)),"Pendiente de clasificar")))</f>
        <v>Ciencias de la Tierra</v>
      </c>
      <c r="N175" s="8" t="str">
        <f aca="false">IF(K175="FUERA","Fuera del marco",IF(K175="N/A","Sin marco",IFERROR(INDEX(Catalogo_TIMSS!$F$5:$F$105,MATCH(K175,Catalogo_TIMSS!$A$5:$A$105,0)),"Pendiente de clasificar")))</f>
        <v>Características físicas, recursos e historia de la Tierra</v>
      </c>
      <c r="O175" s="8" t="str">
        <f aca="false">IF(L175="","",IFERROR(INDEX(Catalogo_TIMSS!$C$5:$C$105,MATCH(L175,Catalogo_TIMSS!$A$5:$A$105,0)),"?"))</f>
        <v/>
      </c>
      <c r="P175" s="8" t="s">
        <v>513</v>
      </c>
      <c r="Q175" s="27" t="s">
        <v>1130</v>
      </c>
      <c r="R175" s="27" t="s">
        <v>769</v>
      </c>
      <c r="S175" s="28" t="n">
        <f aca="false">IFERROR(ISNUMBER(SEARCH("Conocer",$R175))/(ISNUMBER(SEARCH("Conocer",$R175))+ISNUMBER(SEARCH("Aplicar",$R175))+ISNUMBER(SEARCH("Razonar",$R175))),0)</f>
        <v>0.5</v>
      </c>
      <c r="T175" s="28" t="n">
        <f aca="false">IFERROR(ISNUMBER(SEARCH("Aplicar",$R175))/(ISNUMBER(SEARCH("Conocer",$R175))+ISNUMBER(SEARCH("Aplicar",$R175))+ISNUMBER(SEARCH("Razonar",$R175))),0)</f>
        <v>0.5</v>
      </c>
      <c r="U175" s="28" t="n">
        <f aca="false">IFERROR(ISNUMBER(SEARCH("Razonar",$R175))/(ISNUMBER(SEARCH("Conocer",$R175))+ISNUMBER(SEARCH("Aplicar",$R175))+ISNUMBER(SEARCH("Razonar",$R175))),0)</f>
        <v>0</v>
      </c>
      <c r="V175" s="8" t="s">
        <v>47</v>
      </c>
      <c r="W175" s="8" t="s">
        <v>66</v>
      </c>
    </row>
    <row r="176" customFormat="false" ht="15" hidden="false" customHeight="false" outlineLevel="0" collapsed="false">
      <c r="A176" s="8" t="s">
        <v>1131</v>
      </c>
      <c r="B176" s="8" t="n">
        <v>4</v>
      </c>
      <c r="C176" s="8" t="s">
        <v>411</v>
      </c>
      <c r="D176" s="8" t="s">
        <v>985</v>
      </c>
      <c r="E176" s="8" t="s">
        <v>1081</v>
      </c>
      <c r="F176" s="8" t="n">
        <v>15</v>
      </c>
      <c r="G176" s="8" t="s">
        <v>1082</v>
      </c>
      <c r="H176" s="8" t="s">
        <v>1128</v>
      </c>
      <c r="I176" s="27" t="s">
        <v>1132</v>
      </c>
      <c r="J176" s="8" t="s">
        <v>109</v>
      </c>
      <c r="K176" s="8" t="s">
        <v>170</v>
      </c>
      <c r="L176" s="8"/>
      <c r="M176" s="8" t="str">
        <f aca="false">IF(K176="FUERA","Fuera del marco",IF(K176="N/A","Sin marco",IFERROR(INDEX(Catalogo_TIMSS!$C$5:$C$105,MATCH(K176,Catalogo_TIMSS!$A$5:$A$105,0)),"Pendiente de clasificar")))</f>
        <v>Ciencias de la Tierra</v>
      </c>
      <c r="N176" s="8" t="str">
        <f aca="false">IF(K176="FUERA","Fuera del marco",IF(K176="N/A","Sin marco",IFERROR(INDEX(Catalogo_TIMSS!$F$5:$F$105,MATCH(K176,Catalogo_TIMSS!$A$5:$A$105,0)),"Pendiente de clasificar")))</f>
        <v>Características físicas, recursos e historia de la Tierra</v>
      </c>
      <c r="O176" s="8" t="str">
        <f aca="false">IF(L176="","",IFERROR(INDEX(Catalogo_TIMSS!$C$5:$C$105,MATCH(L176,Catalogo_TIMSS!$A$5:$A$105,0)),"?"))</f>
        <v/>
      </c>
      <c r="P176" s="8" t="s">
        <v>513</v>
      </c>
      <c r="Q176" s="27" t="s">
        <v>1133</v>
      </c>
      <c r="R176" s="27" t="s">
        <v>794</v>
      </c>
      <c r="S176" s="28" t="n">
        <f aca="false">IFERROR(ISNUMBER(SEARCH("Conocer",$R176))/(ISNUMBER(SEARCH("Conocer",$R176))+ISNUMBER(SEARCH("Aplicar",$R176))+ISNUMBER(SEARCH("Razonar",$R176))),0)</f>
        <v>0</v>
      </c>
      <c r="T176" s="28" t="n">
        <f aca="false">IFERROR(ISNUMBER(SEARCH("Aplicar",$R176))/(ISNUMBER(SEARCH("Conocer",$R176))+ISNUMBER(SEARCH("Aplicar",$R176))+ISNUMBER(SEARCH("Razonar",$R176))),0)</f>
        <v>0.5</v>
      </c>
      <c r="U176" s="28" t="n">
        <f aca="false">IFERROR(ISNUMBER(SEARCH("Razonar",$R176))/(ISNUMBER(SEARCH("Conocer",$R176))+ISNUMBER(SEARCH("Aplicar",$R176))+ISNUMBER(SEARCH("Razonar",$R176))),0)</f>
        <v>0.5</v>
      </c>
      <c r="V176" s="8" t="s">
        <v>47</v>
      </c>
      <c r="W176" s="8" t="s">
        <v>66</v>
      </c>
    </row>
    <row r="177" customFormat="false" ht="15" hidden="false" customHeight="false" outlineLevel="0" collapsed="false">
      <c r="A177" s="8" t="s">
        <v>1134</v>
      </c>
      <c r="B177" s="8" t="n">
        <v>4</v>
      </c>
      <c r="C177" s="8" t="s">
        <v>411</v>
      </c>
      <c r="D177" s="8" t="s">
        <v>985</v>
      </c>
      <c r="E177" s="8" t="s">
        <v>1081</v>
      </c>
      <c r="F177" s="8" t="n">
        <v>16</v>
      </c>
      <c r="G177" s="8" t="s">
        <v>1082</v>
      </c>
      <c r="H177" s="8" t="s">
        <v>1128</v>
      </c>
      <c r="I177" s="27" t="s">
        <v>1135</v>
      </c>
      <c r="J177" s="8" t="s">
        <v>109</v>
      </c>
      <c r="K177" s="8" t="s">
        <v>417</v>
      </c>
      <c r="L177" s="8"/>
      <c r="M177" s="8" t="str">
        <f aca="false">IF(K177="FUERA","Fuera del marco",IF(K177="N/A","Sin marco",IFERROR(INDEX(Catalogo_TIMSS!$C$5:$C$105,MATCH(K177,Catalogo_TIMSS!$A$5:$A$105,0)),"Pendiente de clasificar")))</f>
        <v>Fuera del marco</v>
      </c>
      <c r="N177" s="8" t="str">
        <f aca="false">IF(K177="FUERA","Fuera del marco",IF(K177="N/A","Sin marco",IFERROR(INDEX(Catalogo_TIMSS!$F$5:$F$105,MATCH(K177,Catalogo_TIMSS!$A$5:$A$105,0)),"Pendiente de clasificar")))</f>
        <v>Fuera del marco</v>
      </c>
      <c r="O177" s="8" t="str">
        <f aca="false">IF(L177="","",IFERROR(INDEX(Catalogo_TIMSS!$C$5:$C$105,MATCH(L177,Catalogo_TIMSS!$A$5:$A$105,0)),"?"))</f>
        <v/>
      </c>
      <c r="P177" s="8" t="s">
        <v>460</v>
      </c>
      <c r="Q177" s="27" t="s">
        <v>1136</v>
      </c>
      <c r="R177" s="27" t="s">
        <v>1137</v>
      </c>
      <c r="S177" s="28" t="n">
        <f aca="false">IFERROR(ISNUMBER(SEARCH("Conocer",$R177))/(ISNUMBER(SEARCH("Conocer",$R177))+ISNUMBER(SEARCH("Aplicar",$R177))+ISNUMBER(SEARCH("Razonar",$R177))),0)</f>
        <v>0</v>
      </c>
      <c r="T177" s="28" t="n">
        <f aca="false">IFERROR(ISNUMBER(SEARCH("Aplicar",$R177))/(ISNUMBER(SEARCH("Conocer",$R177))+ISNUMBER(SEARCH("Aplicar",$R177))+ISNUMBER(SEARCH("Razonar",$R177))),0)</f>
        <v>0.5</v>
      </c>
      <c r="U177" s="28" t="n">
        <f aca="false">IFERROR(ISNUMBER(SEARCH("Razonar",$R177))/(ISNUMBER(SEARCH("Conocer",$R177))+ISNUMBER(SEARCH("Aplicar",$R177))+ISNUMBER(SEARCH("Razonar",$R177))),0)</f>
        <v>0.5</v>
      </c>
      <c r="V177" s="8" t="s">
        <v>47</v>
      </c>
      <c r="W177" s="8" t="s">
        <v>66</v>
      </c>
    </row>
    <row r="178" customFormat="false" ht="15" hidden="false" customHeight="false" outlineLevel="0" collapsed="false">
      <c r="A178" s="8" t="s">
        <v>1138</v>
      </c>
      <c r="B178" s="8" t="n">
        <v>4</v>
      </c>
      <c r="C178" s="8" t="s">
        <v>411</v>
      </c>
      <c r="D178" s="8" t="s">
        <v>985</v>
      </c>
      <c r="E178" s="8" t="s">
        <v>1081</v>
      </c>
      <c r="F178" s="8" t="n">
        <v>17</v>
      </c>
      <c r="G178" s="8" t="s">
        <v>1082</v>
      </c>
      <c r="H178" s="8" t="s">
        <v>1139</v>
      </c>
      <c r="I178" s="27" t="s">
        <v>1140</v>
      </c>
      <c r="J178" s="8" t="s">
        <v>109</v>
      </c>
      <c r="K178" s="8" t="s">
        <v>417</v>
      </c>
      <c r="L178" s="8"/>
      <c r="M178" s="8" t="str">
        <f aca="false">IF(K178="FUERA","Fuera del marco",IF(K178="N/A","Sin marco",IFERROR(INDEX(Catalogo_TIMSS!$C$5:$C$105,MATCH(K178,Catalogo_TIMSS!$A$5:$A$105,0)),"Pendiente de clasificar")))</f>
        <v>Fuera del marco</v>
      </c>
      <c r="N178" s="8" t="str">
        <f aca="false">IF(K178="FUERA","Fuera del marco",IF(K178="N/A","Sin marco",IFERROR(INDEX(Catalogo_TIMSS!$F$5:$F$105,MATCH(K178,Catalogo_TIMSS!$A$5:$A$105,0)),"Pendiente de clasificar")))</f>
        <v>Fuera del marco</v>
      </c>
      <c r="O178" s="8" t="str">
        <f aca="false">IF(L178="","",IFERROR(INDEX(Catalogo_TIMSS!$C$5:$C$105,MATCH(L178,Catalogo_TIMSS!$A$5:$A$105,0)),"?"))</f>
        <v/>
      </c>
      <c r="P178" s="8" t="s">
        <v>460</v>
      </c>
      <c r="Q178" s="27" t="s">
        <v>1141</v>
      </c>
      <c r="R178" s="27" t="s">
        <v>595</v>
      </c>
      <c r="S178" s="28" t="n">
        <f aca="false">IFERROR(ISNUMBER(SEARCH("Conocer",$R178))/(ISNUMBER(SEARCH("Conocer",$R178))+ISNUMBER(SEARCH("Aplicar",$R178))+ISNUMBER(SEARCH("Razonar",$R178))),0)</f>
        <v>0</v>
      </c>
      <c r="T178" s="28" t="n">
        <f aca="false">IFERROR(ISNUMBER(SEARCH("Aplicar",$R178))/(ISNUMBER(SEARCH("Conocer",$R178))+ISNUMBER(SEARCH("Aplicar",$R178))+ISNUMBER(SEARCH("Razonar",$R178))),0)</f>
        <v>0.5</v>
      </c>
      <c r="U178" s="28" t="n">
        <f aca="false">IFERROR(ISNUMBER(SEARCH("Razonar",$R178))/(ISNUMBER(SEARCH("Conocer",$R178))+ISNUMBER(SEARCH("Aplicar",$R178))+ISNUMBER(SEARCH("Razonar",$R178))),0)</f>
        <v>0.5</v>
      </c>
      <c r="V178" s="8" t="s">
        <v>47</v>
      </c>
      <c r="W178" s="8" t="s">
        <v>66</v>
      </c>
    </row>
    <row r="179" customFormat="false" ht="15" hidden="false" customHeight="false" outlineLevel="0" collapsed="false">
      <c r="A179" s="8" t="s">
        <v>1142</v>
      </c>
      <c r="B179" s="8" t="n">
        <v>4</v>
      </c>
      <c r="C179" s="8" t="s">
        <v>411</v>
      </c>
      <c r="D179" s="8" t="s">
        <v>985</v>
      </c>
      <c r="E179" s="8" t="s">
        <v>1081</v>
      </c>
      <c r="F179" s="8" t="n">
        <v>18</v>
      </c>
      <c r="G179" s="8" t="s">
        <v>1082</v>
      </c>
      <c r="H179" s="8" t="s">
        <v>1139</v>
      </c>
      <c r="I179" s="27" t="s">
        <v>1143</v>
      </c>
      <c r="J179" s="8" t="s">
        <v>109</v>
      </c>
      <c r="K179" s="8" t="s">
        <v>417</v>
      </c>
      <c r="L179" s="8"/>
      <c r="M179" s="8" t="str">
        <f aca="false">IF(K179="FUERA","Fuera del marco",IF(K179="N/A","Sin marco",IFERROR(INDEX(Catalogo_TIMSS!$C$5:$C$105,MATCH(K179,Catalogo_TIMSS!$A$5:$A$105,0)),"Pendiente de clasificar")))</f>
        <v>Fuera del marco</v>
      </c>
      <c r="N179" s="8" t="str">
        <f aca="false">IF(K179="FUERA","Fuera del marco",IF(K179="N/A","Sin marco",IFERROR(INDEX(Catalogo_TIMSS!$F$5:$F$105,MATCH(K179,Catalogo_TIMSS!$A$5:$A$105,0)),"Pendiente de clasificar")))</f>
        <v>Fuera del marco</v>
      </c>
      <c r="O179" s="8" t="str">
        <f aca="false">IF(L179="","",IFERROR(INDEX(Catalogo_TIMSS!$C$5:$C$105,MATCH(L179,Catalogo_TIMSS!$A$5:$A$105,0)),"?"))</f>
        <v/>
      </c>
      <c r="P179" s="8" t="s">
        <v>418</v>
      </c>
      <c r="Q179" s="27" t="s">
        <v>1144</v>
      </c>
      <c r="R179" s="27" t="s">
        <v>1145</v>
      </c>
      <c r="S179" s="28" t="n">
        <f aca="false">IFERROR(ISNUMBER(SEARCH("Conocer",$R179))/(ISNUMBER(SEARCH("Conocer",$R179))+ISNUMBER(SEARCH("Aplicar",$R179))+ISNUMBER(SEARCH("Razonar",$R179))),0)</f>
        <v>1</v>
      </c>
      <c r="T179" s="28" t="n">
        <f aca="false">IFERROR(ISNUMBER(SEARCH("Aplicar",$R179))/(ISNUMBER(SEARCH("Conocer",$R179))+ISNUMBER(SEARCH("Aplicar",$R179))+ISNUMBER(SEARCH("Razonar",$R179))),0)</f>
        <v>0</v>
      </c>
      <c r="U179" s="28" t="n">
        <f aca="false">IFERROR(ISNUMBER(SEARCH("Razonar",$R179))/(ISNUMBER(SEARCH("Conocer",$R179))+ISNUMBER(SEARCH("Aplicar",$R179))+ISNUMBER(SEARCH("Razonar",$R179))),0)</f>
        <v>0</v>
      </c>
      <c r="V179" s="8" t="s">
        <v>47</v>
      </c>
      <c r="W179" s="8" t="s">
        <v>66</v>
      </c>
    </row>
    <row r="180" customFormat="false" ht="15" hidden="false" customHeight="false" outlineLevel="0" collapsed="false">
      <c r="A180" s="8" t="s">
        <v>1146</v>
      </c>
      <c r="B180" s="8" t="n">
        <v>4</v>
      </c>
      <c r="C180" s="8" t="s">
        <v>411</v>
      </c>
      <c r="D180" s="8" t="s">
        <v>985</v>
      </c>
      <c r="E180" s="8" t="s">
        <v>1081</v>
      </c>
      <c r="F180" s="8" t="n">
        <v>19</v>
      </c>
      <c r="G180" s="8" t="s">
        <v>1082</v>
      </c>
      <c r="H180" s="8" t="s">
        <v>1139</v>
      </c>
      <c r="I180" s="27" t="s">
        <v>1147</v>
      </c>
      <c r="J180" s="8" t="s">
        <v>109</v>
      </c>
      <c r="K180" s="8" t="s">
        <v>417</v>
      </c>
      <c r="L180" s="8"/>
      <c r="M180" s="8" t="str">
        <f aca="false">IF(K180="FUERA","Fuera del marco",IF(K180="N/A","Sin marco",IFERROR(INDEX(Catalogo_TIMSS!$C$5:$C$105,MATCH(K180,Catalogo_TIMSS!$A$5:$A$105,0)),"Pendiente de clasificar")))</f>
        <v>Fuera del marco</v>
      </c>
      <c r="N180" s="8" t="str">
        <f aca="false">IF(K180="FUERA","Fuera del marco",IF(K180="N/A","Sin marco",IFERROR(INDEX(Catalogo_TIMSS!$F$5:$F$105,MATCH(K180,Catalogo_TIMSS!$A$5:$A$105,0)),"Pendiente de clasificar")))</f>
        <v>Fuera del marco</v>
      </c>
      <c r="O180" s="8" t="str">
        <f aca="false">IF(L180="","",IFERROR(INDEX(Catalogo_TIMSS!$C$5:$C$105,MATCH(L180,Catalogo_TIMSS!$A$5:$A$105,0)),"?"))</f>
        <v/>
      </c>
      <c r="P180" s="8" t="s">
        <v>418</v>
      </c>
      <c r="Q180" s="27" t="s">
        <v>1148</v>
      </c>
      <c r="R180" s="27" t="s">
        <v>1149</v>
      </c>
      <c r="S180" s="28" t="n">
        <f aca="false">IFERROR(ISNUMBER(SEARCH("Conocer",$R180))/(ISNUMBER(SEARCH("Conocer",$R180))+ISNUMBER(SEARCH("Aplicar",$R180))+ISNUMBER(SEARCH("Razonar",$R180))),0)</f>
        <v>0</v>
      </c>
      <c r="T180" s="28" t="n">
        <f aca="false">IFERROR(ISNUMBER(SEARCH("Aplicar",$R180))/(ISNUMBER(SEARCH("Conocer",$R180))+ISNUMBER(SEARCH("Aplicar",$R180))+ISNUMBER(SEARCH("Razonar",$R180))),0)</f>
        <v>0.5</v>
      </c>
      <c r="U180" s="28" t="n">
        <f aca="false">IFERROR(ISNUMBER(SEARCH("Razonar",$R180))/(ISNUMBER(SEARCH("Conocer",$R180))+ISNUMBER(SEARCH("Aplicar",$R180))+ISNUMBER(SEARCH("Razonar",$R180))),0)</f>
        <v>0.5</v>
      </c>
      <c r="V180" s="8" t="s">
        <v>47</v>
      </c>
      <c r="W180" s="8" t="s">
        <v>66</v>
      </c>
    </row>
    <row r="181" customFormat="false" ht="15" hidden="false" customHeight="false" outlineLevel="0" collapsed="false">
      <c r="A181" s="8" t="s">
        <v>1150</v>
      </c>
      <c r="B181" s="8" t="n">
        <v>4</v>
      </c>
      <c r="C181" s="8" t="s">
        <v>411</v>
      </c>
      <c r="D181" s="8" t="s">
        <v>985</v>
      </c>
      <c r="E181" s="8" t="s">
        <v>1081</v>
      </c>
      <c r="F181" s="8" t="n">
        <v>20</v>
      </c>
      <c r="G181" s="8" t="s">
        <v>1082</v>
      </c>
      <c r="H181" s="8" t="s">
        <v>1139</v>
      </c>
      <c r="I181" s="27" t="s">
        <v>1151</v>
      </c>
      <c r="J181" s="8" t="s">
        <v>109</v>
      </c>
      <c r="K181" s="8" t="s">
        <v>417</v>
      </c>
      <c r="L181" s="8"/>
      <c r="M181" s="8" t="str">
        <f aca="false">IF(K181="FUERA","Fuera del marco",IF(K181="N/A","Sin marco",IFERROR(INDEX(Catalogo_TIMSS!$C$5:$C$105,MATCH(K181,Catalogo_TIMSS!$A$5:$A$105,0)),"Pendiente de clasificar")))</f>
        <v>Fuera del marco</v>
      </c>
      <c r="N181" s="8" t="str">
        <f aca="false">IF(K181="FUERA","Fuera del marco",IF(K181="N/A","Sin marco",IFERROR(INDEX(Catalogo_TIMSS!$F$5:$F$105,MATCH(K181,Catalogo_TIMSS!$A$5:$A$105,0)),"Pendiente de clasificar")))</f>
        <v>Fuera del marco</v>
      </c>
      <c r="O181" s="8" t="str">
        <f aca="false">IF(L181="","",IFERROR(INDEX(Catalogo_TIMSS!$C$5:$C$105,MATCH(L181,Catalogo_TIMSS!$A$5:$A$105,0)),"?"))</f>
        <v/>
      </c>
      <c r="P181" s="8" t="s">
        <v>418</v>
      </c>
      <c r="Q181" s="27" t="s">
        <v>1152</v>
      </c>
      <c r="R181" s="27" t="s">
        <v>1153</v>
      </c>
      <c r="S181" s="28" t="n">
        <f aca="false">IFERROR(ISNUMBER(SEARCH("Conocer",$R181))/(ISNUMBER(SEARCH("Conocer",$R181))+ISNUMBER(SEARCH("Aplicar",$R181))+ISNUMBER(SEARCH("Razonar",$R181))),0)</f>
        <v>0</v>
      </c>
      <c r="T181" s="28" t="n">
        <f aca="false">IFERROR(ISNUMBER(SEARCH("Aplicar",$R181))/(ISNUMBER(SEARCH("Conocer",$R181))+ISNUMBER(SEARCH("Aplicar",$R181))+ISNUMBER(SEARCH("Razonar",$R181))),0)</f>
        <v>0.5</v>
      </c>
      <c r="U181" s="28" t="n">
        <f aca="false">IFERROR(ISNUMBER(SEARCH("Razonar",$R181))/(ISNUMBER(SEARCH("Conocer",$R181))+ISNUMBER(SEARCH("Aplicar",$R181))+ISNUMBER(SEARCH("Razonar",$R181))),0)</f>
        <v>0.5</v>
      </c>
      <c r="V181" s="8" t="s">
        <v>47</v>
      </c>
      <c r="W181" s="8" t="s">
        <v>66</v>
      </c>
    </row>
    <row r="182" customFormat="false" ht="15" hidden="false" customHeight="false" outlineLevel="0" collapsed="false">
      <c r="A182" s="8" t="s">
        <v>1154</v>
      </c>
      <c r="B182" s="8" t="n">
        <v>4</v>
      </c>
      <c r="C182" s="8" t="s">
        <v>411</v>
      </c>
      <c r="D182" s="8" t="s">
        <v>985</v>
      </c>
      <c r="E182" s="8" t="s">
        <v>1155</v>
      </c>
      <c r="F182" s="8" t="n">
        <v>3</v>
      </c>
      <c r="G182" s="8" t="s">
        <v>1156</v>
      </c>
      <c r="H182" s="8" t="s">
        <v>1157</v>
      </c>
      <c r="I182" s="27" t="s">
        <v>1158</v>
      </c>
      <c r="J182" s="8" t="s">
        <v>109</v>
      </c>
      <c r="K182" s="8" t="s">
        <v>179</v>
      </c>
      <c r="L182" s="8"/>
      <c r="M182" s="8" t="str">
        <f aca="false">IF(K182="FUERA","Fuera del marco",IF(K182="N/A","Sin marco",IFERROR(INDEX(Catalogo_TIMSS!$C$5:$C$105,MATCH(K182,Catalogo_TIMSS!$A$5:$A$105,0)),"Pendiente de clasificar")))</f>
        <v>Ciencias de la Tierra</v>
      </c>
      <c r="N182" s="8" t="str">
        <f aca="false">IF(K182="FUERA","Fuera del marco",IF(K182="N/A","Sin marco",IFERROR(INDEX(Catalogo_TIMSS!$F$5:$F$105,MATCH(K182,Catalogo_TIMSS!$A$5:$A$105,0)),"Pendiente de clasificar")))</f>
        <v>La Tierra en el Sistema Solar</v>
      </c>
      <c r="O182" s="8" t="str">
        <f aca="false">IF(L182="","",IFERROR(INDEX(Catalogo_TIMSS!$C$5:$C$105,MATCH(L182,Catalogo_TIMSS!$A$5:$A$105,0)),"?"))</f>
        <v/>
      </c>
      <c r="P182" s="8" t="s">
        <v>418</v>
      </c>
      <c r="Q182" s="27" t="s">
        <v>1159</v>
      </c>
      <c r="R182" s="27" t="s">
        <v>1160</v>
      </c>
      <c r="S182" s="28" t="n">
        <f aca="false">IFERROR(ISNUMBER(SEARCH("Conocer",$R182))/(ISNUMBER(SEARCH("Conocer",$R182))+ISNUMBER(SEARCH("Aplicar",$R182))+ISNUMBER(SEARCH("Razonar",$R182))),0)</f>
        <v>0</v>
      </c>
      <c r="T182" s="28" t="n">
        <f aca="false">IFERROR(ISNUMBER(SEARCH("Aplicar",$R182))/(ISNUMBER(SEARCH("Conocer",$R182))+ISNUMBER(SEARCH("Aplicar",$R182))+ISNUMBER(SEARCH("Razonar",$R182))),0)</f>
        <v>0.5</v>
      </c>
      <c r="U182" s="28" t="n">
        <f aca="false">IFERROR(ISNUMBER(SEARCH("Razonar",$R182))/(ISNUMBER(SEARCH("Conocer",$R182))+ISNUMBER(SEARCH("Aplicar",$R182))+ISNUMBER(SEARCH("Razonar",$R182))),0)</f>
        <v>0.5</v>
      </c>
      <c r="V182" s="8" t="s">
        <v>47</v>
      </c>
      <c r="W182" s="8" t="s">
        <v>66</v>
      </c>
    </row>
    <row r="183" customFormat="false" ht="15" hidden="false" customHeight="false" outlineLevel="0" collapsed="false">
      <c r="A183" s="8" t="s">
        <v>1161</v>
      </c>
      <c r="B183" s="8" t="n">
        <v>4</v>
      </c>
      <c r="C183" s="8" t="s">
        <v>411</v>
      </c>
      <c r="D183" s="8" t="s">
        <v>985</v>
      </c>
      <c r="E183" s="8" t="s">
        <v>1155</v>
      </c>
      <c r="F183" s="8" t="n">
        <v>4</v>
      </c>
      <c r="G183" s="8" t="s">
        <v>1156</v>
      </c>
      <c r="H183" s="8" t="s">
        <v>1157</v>
      </c>
      <c r="I183" s="27" t="s">
        <v>1162</v>
      </c>
      <c r="J183" s="8" t="s">
        <v>109</v>
      </c>
      <c r="K183" s="8" t="s">
        <v>179</v>
      </c>
      <c r="L183" s="8"/>
      <c r="M183" s="8" t="str">
        <f aca="false">IF(K183="FUERA","Fuera del marco",IF(K183="N/A","Sin marco",IFERROR(INDEX(Catalogo_TIMSS!$C$5:$C$105,MATCH(K183,Catalogo_TIMSS!$A$5:$A$105,0)),"Pendiente de clasificar")))</f>
        <v>Ciencias de la Tierra</v>
      </c>
      <c r="N183" s="8" t="str">
        <f aca="false">IF(K183="FUERA","Fuera del marco",IF(K183="N/A","Sin marco",IFERROR(INDEX(Catalogo_TIMSS!$F$5:$F$105,MATCH(K183,Catalogo_TIMSS!$A$5:$A$105,0)),"Pendiente de clasificar")))</f>
        <v>La Tierra en el Sistema Solar</v>
      </c>
      <c r="O183" s="8" t="str">
        <f aca="false">IF(L183="","",IFERROR(INDEX(Catalogo_TIMSS!$C$5:$C$105,MATCH(L183,Catalogo_TIMSS!$A$5:$A$105,0)),"?"))</f>
        <v/>
      </c>
      <c r="P183" s="8" t="s">
        <v>460</v>
      </c>
      <c r="Q183" s="27" t="s">
        <v>1163</v>
      </c>
      <c r="R183" s="27" t="s">
        <v>642</v>
      </c>
      <c r="S183" s="28" t="n">
        <f aca="false">IFERROR(ISNUMBER(SEARCH("Conocer",$R183))/(ISNUMBER(SEARCH("Conocer",$R183))+ISNUMBER(SEARCH("Aplicar",$R183))+ISNUMBER(SEARCH("Razonar",$R183))),0)</f>
        <v>0</v>
      </c>
      <c r="T183" s="28" t="n">
        <f aca="false">IFERROR(ISNUMBER(SEARCH("Aplicar",$R183))/(ISNUMBER(SEARCH("Conocer",$R183))+ISNUMBER(SEARCH("Aplicar",$R183))+ISNUMBER(SEARCH("Razonar",$R183))),0)</f>
        <v>1</v>
      </c>
      <c r="U183" s="28" t="n">
        <f aca="false">IFERROR(ISNUMBER(SEARCH("Razonar",$R183))/(ISNUMBER(SEARCH("Conocer",$R183))+ISNUMBER(SEARCH("Aplicar",$R183))+ISNUMBER(SEARCH("Razonar",$R183))),0)</f>
        <v>0</v>
      </c>
      <c r="V183" s="8" t="s">
        <v>47</v>
      </c>
      <c r="W183" s="8" t="s">
        <v>66</v>
      </c>
    </row>
    <row r="184" customFormat="false" ht="15" hidden="false" customHeight="false" outlineLevel="0" collapsed="false">
      <c r="A184" s="8" t="s">
        <v>1164</v>
      </c>
      <c r="B184" s="8" t="n">
        <v>4</v>
      </c>
      <c r="C184" s="8" t="s">
        <v>411</v>
      </c>
      <c r="D184" s="8" t="s">
        <v>985</v>
      </c>
      <c r="E184" s="8" t="s">
        <v>1155</v>
      </c>
      <c r="F184" s="8" t="n">
        <v>5</v>
      </c>
      <c r="G184" s="8" t="s">
        <v>1156</v>
      </c>
      <c r="H184" s="8" t="s">
        <v>1165</v>
      </c>
      <c r="I184" s="27" t="s">
        <v>1166</v>
      </c>
      <c r="J184" s="8" t="s">
        <v>109</v>
      </c>
      <c r="K184" s="8" t="s">
        <v>179</v>
      </c>
      <c r="L184" s="8"/>
      <c r="M184" s="8" t="str">
        <f aca="false">IF(K184="FUERA","Fuera del marco",IF(K184="N/A","Sin marco",IFERROR(INDEX(Catalogo_TIMSS!$C$5:$C$105,MATCH(K184,Catalogo_TIMSS!$A$5:$A$105,0)),"Pendiente de clasificar")))</f>
        <v>Ciencias de la Tierra</v>
      </c>
      <c r="N184" s="8" t="str">
        <f aca="false">IF(K184="FUERA","Fuera del marco",IF(K184="N/A","Sin marco",IFERROR(INDEX(Catalogo_TIMSS!$F$5:$F$105,MATCH(K184,Catalogo_TIMSS!$A$5:$A$105,0)),"Pendiente de clasificar")))</f>
        <v>La Tierra en el Sistema Solar</v>
      </c>
      <c r="O184" s="8" t="str">
        <f aca="false">IF(L184="","",IFERROR(INDEX(Catalogo_TIMSS!$C$5:$C$105,MATCH(L184,Catalogo_TIMSS!$A$5:$A$105,0)),"?"))</f>
        <v/>
      </c>
      <c r="P184" s="8" t="s">
        <v>460</v>
      </c>
      <c r="Q184" s="27" t="s">
        <v>1167</v>
      </c>
      <c r="R184" s="27" t="s">
        <v>1168</v>
      </c>
      <c r="S184" s="28" t="n">
        <f aca="false">IFERROR(ISNUMBER(SEARCH("Conocer",$R184))/(ISNUMBER(SEARCH("Conocer",$R184))+ISNUMBER(SEARCH("Aplicar",$R184))+ISNUMBER(SEARCH("Razonar",$R184))),0)</f>
        <v>0</v>
      </c>
      <c r="T184" s="28" t="n">
        <f aca="false">IFERROR(ISNUMBER(SEARCH("Aplicar",$R184))/(ISNUMBER(SEARCH("Conocer",$R184))+ISNUMBER(SEARCH("Aplicar",$R184))+ISNUMBER(SEARCH("Razonar",$R184))),0)</f>
        <v>0.5</v>
      </c>
      <c r="U184" s="28" t="n">
        <f aca="false">IFERROR(ISNUMBER(SEARCH("Razonar",$R184))/(ISNUMBER(SEARCH("Conocer",$R184))+ISNUMBER(SEARCH("Aplicar",$R184))+ISNUMBER(SEARCH("Razonar",$R184))),0)</f>
        <v>0.5</v>
      </c>
      <c r="V184" s="8" t="s">
        <v>47</v>
      </c>
      <c r="W184" s="8" t="s">
        <v>66</v>
      </c>
    </row>
    <row r="185" customFormat="false" ht="15" hidden="false" customHeight="false" outlineLevel="0" collapsed="false">
      <c r="A185" s="8" t="s">
        <v>1169</v>
      </c>
      <c r="B185" s="8" t="n">
        <v>4</v>
      </c>
      <c r="C185" s="8" t="s">
        <v>411</v>
      </c>
      <c r="D185" s="8" t="s">
        <v>985</v>
      </c>
      <c r="E185" s="8" t="s">
        <v>1155</v>
      </c>
      <c r="F185" s="8" t="n">
        <v>6</v>
      </c>
      <c r="G185" s="8" t="s">
        <v>1156</v>
      </c>
      <c r="H185" s="8" t="s">
        <v>1165</v>
      </c>
      <c r="I185" s="27" t="s">
        <v>1170</v>
      </c>
      <c r="J185" s="8" t="s">
        <v>109</v>
      </c>
      <c r="K185" s="8" t="s">
        <v>179</v>
      </c>
      <c r="L185" s="8"/>
      <c r="M185" s="8" t="str">
        <f aca="false">IF(K185="FUERA","Fuera del marco",IF(K185="N/A","Sin marco",IFERROR(INDEX(Catalogo_TIMSS!$C$5:$C$105,MATCH(K185,Catalogo_TIMSS!$A$5:$A$105,0)),"Pendiente de clasificar")))</f>
        <v>Ciencias de la Tierra</v>
      </c>
      <c r="N185" s="8" t="str">
        <f aca="false">IF(K185="FUERA","Fuera del marco",IF(K185="N/A","Sin marco",IFERROR(INDEX(Catalogo_TIMSS!$F$5:$F$105,MATCH(K185,Catalogo_TIMSS!$A$5:$A$105,0)),"Pendiente de clasificar")))</f>
        <v>La Tierra en el Sistema Solar</v>
      </c>
      <c r="O185" s="8" t="str">
        <f aca="false">IF(L185="","",IFERROR(INDEX(Catalogo_TIMSS!$C$5:$C$105,MATCH(L185,Catalogo_TIMSS!$A$5:$A$105,0)),"?"))</f>
        <v/>
      </c>
      <c r="P185" s="8" t="s">
        <v>513</v>
      </c>
      <c r="Q185" s="27" t="s">
        <v>1171</v>
      </c>
      <c r="R185" s="27" t="s">
        <v>1172</v>
      </c>
      <c r="S185" s="28" t="n">
        <f aca="false">IFERROR(ISNUMBER(SEARCH("Conocer",$R185))/(ISNUMBER(SEARCH("Conocer",$R185))+ISNUMBER(SEARCH("Aplicar",$R185))+ISNUMBER(SEARCH("Razonar",$R185))),0)</f>
        <v>1</v>
      </c>
      <c r="T185" s="28" t="n">
        <f aca="false">IFERROR(ISNUMBER(SEARCH("Aplicar",$R185))/(ISNUMBER(SEARCH("Conocer",$R185))+ISNUMBER(SEARCH("Aplicar",$R185))+ISNUMBER(SEARCH("Razonar",$R185))),0)</f>
        <v>0</v>
      </c>
      <c r="U185" s="28" t="n">
        <f aca="false">IFERROR(ISNUMBER(SEARCH("Razonar",$R185))/(ISNUMBER(SEARCH("Conocer",$R185))+ISNUMBER(SEARCH("Aplicar",$R185))+ISNUMBER(SEARCH("Razonar",$R185))),0)</f>
        <v>0</v>
      </c>
      <c r="V185" s="8" t="s">
        <v>47</v>
      </c>
      <c r="W185" s="8" t="s">
        <v>66</v>
      </c>
    </row>
    <row r="186" customFormat="false" ht="15" hidden="false" customHeight="false" outlineLevel="0" collapsed="false">
      <c r="A186" s="8" t="s">
        <v>1173</v>
      </c>
      <c r="B186" s="8" t="n">
        <v>4</v>
      </c>
      <c r="C186" s="8" t="s">
        <v>411</v>
      </c>
      <c r="D186" s="8" t="s">
        <v>985</v>
      </c>
      <c r="E186" s="8" t="s">
        <v>1155</v>
      </c>
      <c r="F186" s="8" t="n">
        <v>7</v>
      </c>
      <c r="G186" s="8" t="s">
        <v>1156</v>
      </c>
      <c r="H186" s="8" t="s">
        <v>1165</v>
      </c>
      <c r="I186" s="27" t="s">
        <v>1174</v>
      </c>
      <c r="J186" s="8" t="s">
        <v>109</v>
      </c>
      <c r="K186" s="8" t="s">
        <v>179</v>
      </c>
      <c r="L186" s="8"/>
      <c r="M186" s="8" t="str">
        <f aca="false">IF(K186="FUERA","Fuera del marco",IF(K186="N/A","Sin marco",IFERROR(INDEX(Catalogo_TIMSS!$C$5:$C$105,MATCH(K186,Catalogo_TIMSS!$A$5:$A$105,0)),"Pendiente de clasificar")))</f>
        <v>Ciencias de la Tierra</v>
      </c>
      <c r="N186" s="8" t="str">
        <f aca="false">IF(K186="FUERA","Fuera del marco",IF(K186="N/A","Sin marco",IFERROR(INDEX(Catalogo_TIMSS!$F$5:$F$105,MATCH(K186,Catalogo_TIMSS!$A$5:$A$105,0)),"Pendiente de clasificar")))</f>
        <v>La Tierra en el Sistema Solar</v>
      </c>
      <c r="O186" s="8" t="str">
        <f aca="false">IF(L186="","",IFERROR(INDEX(Catalogo_TIMSS!$C$5:$C$105,MATCH(L186,Catalogo_TIMSS!$A$5:$A$105,0)),"?"))</f>
        <v/>
      </c>
      <c r="P186" s="8" t="s">
        <v>418</v>
      </c>
      <c r="Q186" s="27" t="s">
        <v>1175</v>
      </c>
      <c r="R186" s="27" t="s">
        <v>1176</v>
      </c>
      <c r="S186" s="28" t="n">
        <f aca="false">IFERROR(ISNUMBER(SEARCH("Conocer",$R186))/(ISNUMBER(SEARCH("Conocer",$R186))+ISNUMBER(SEARCH("Aplicar",$R186))+ISNUMBER(SEARCH("Razonar",$R186))),0)</f>
        <v>0</v>
      </c>
      <c r="T186" s="28" t="n">
        <f aca="false">IFERROR(ISNUMBER(SEARCH("Aplicar",$R186))/(ISNUMBER(SEARCH("Conocer",$R186))+ISNUMBER(SEARCH("Aplicar",$R186))+ISNUMBER(SEARCH("Razonar",$R186))),0)</f>
        <v>0.5</v>
      </c>
      <c r="U186" s="28" t="n">
        <f aca="false">IFERROR(ISNUMBER(SEARCH("Razonar",$R186))/(ISNUMBER(SEARCH("Conocer",$R186))+ISNUMBER(SEARCH("Aplicar",$R186))+ISNUMBER(SEARCH("Razonar",$R186))),0)</f>
        <v>0.5</v>
      </c>
      <c r="V186" s="8" t="s">
        <v>47</v>
      </c>
      <c r="W186" s="8" t="s">
        <v>66</v>
      </c>
    </row>
    <row r="187" customFormat="false" ht="15" hidden="false" customHeight="false" outlineLevel="0" collapsed="false">
      <c r="A187" s="8" t="s">
        <v>1177</v>
      </c>
      <c r="B187" s="8" t="n">
        <v>4</v>
      </c>
      <c r="C187" s="8" t="s">
        <v>411</v>
      </c>
      <c r="D187" s="8" t="s">
        <v>985</v>
      </c>
      <c r="E187" s="8" t="s">
        <v>1155</v>
      </c>
      <c r="F187" s="8" t="n">
        <v>8</v>
      </c>
      <c r="G187" s="8" t="s">
        <v>1156</v>
      </c>
      <c r="H187" s="8" t="s">
        <v>1178</v>
      </c>
      <c r="I187" s="27" t="s">
        <v>1179</v>
      </c>
      <c r="J187" s="8" t="s">
        <v>109</v>
      </c>
      <c r="K187" s="8" t="s">
        <v>182</v>
      </c>
      <c r="L187" s="8"/>
      <c r="M187" s="8" t="str">
        <f aca="false">IF(K187="FUERA","Fuera del marco",IF(K187="N/A","Sin marco",IFERROR(INDEX(Catalogo_TIMSS!$C$5:$C$105,MATCH(K187,Catalogo_TIMSS!$A$5:$A$105,0)),"Pendiente de clasificar")))</f>
        <v>Ciencias de la Tierra</v>
      </c>
      <c r="N187" s="8" t="str">
        <f aca="false">IF(K187="FUERA","Fuera del marco",IF(K187="N/A","Sin marco",IFERROR(INDEX(Catalogo_TIMSS!$F$5:$F$105,MATCH(K187,Catalogo_TIMSS!$A$5:$A$105,0)),"Pendiente de clasificar")))</f>
        <v>La Tierra en el Sistema Solar</v>
      </c>
      <c r="O187" s="8" t="str">
        <f aca="false">IF(L187="","",IFERROR(INDEX(Catalogo_TIMSS!$C$5:$C$105,MATCH(L187,Catalogo_TIMSS!$A$5:$A$105,0)),"?"))</f>
        <v/>
      </c>
      <c r="P187" s="8" t="s">
        <v>418</v>
      </c>
      <c r="Q187" s="27" t="s">
        <v>1180</v>
      </c>
      <c r="R187" s="27" t="s">
        <v>642</v>
      </c>
      <c r="S187" s="28" t="n">
        <f aca="false">IFERROR(ISNUMBER(SEARCH("Conocer",$R187))/(ISNUMBER(SEARCH("Conocer",$R187))+ISNUMBER(SEARCH("Aplicar",$R187))+ISNUMBER(SEARCH("Razonar",$R187))),0)</f>
        <v>0</v>
      </c>
      <c r="T187" s="28" t="n">
        <f aca="false">IFERROR(ISNUMBER(SEARCH("Aplicar",$R187))/(ISNUMBER(SEARCH("Conocer",$R187))+ISNUMBER(SEARCH("Aplicar",$R187))+ISNUMBER(SEARCH("Razonar",$R187))),0)</f>
        <v>1</v>
      </c>
      <c r="U187" s="28" t="n">
        <f aca="false">IFERROR(ISNUMBER(SEARCH("Razonar",$R187))/(ISNUMBER(SEARCH("Conocer",$R187))+ISNUMBER(SEARCH("Aplicar",$R187))+ISNUMBER(SEARCH("Razonar",$R187))),0)</f>
        <v>0</v>
      </c>
      <c r="V187" s="8" t="s">
        <v>47</v>
      </c>
      <c r="W187" s="8" t="s">
        <v>66</v>
      </c>
    </row>
    <row r="188" customFormat="false" ht="15" hidden="false" customHeight="false" outlineLevel="0" collapsed="false">
      <c r="A188" s="8" t="s">
        <v>1181</v>
      </c>
      <c r="B188" s="8" t="n">
        <v>4</v>
      </c>
      <c r="C188" s="8" t="s">
        <v>411</v>
      </c>
      <c r="D188" s="8" t="s">
        <v>985</v>
      </c>
      <c r="E188" s="8" t="s">
        <v>1155</v>
      </c>
      <c r="F188" s="8" t="n">
        <v>9</v>
      </c>
      <c r="G188" s="8" t="s">
        <v>1156</v>
      </c>
      <c r="H188" s="8" t="s">
        <v>1178</v>
      </c>
      <c r="I188" s="27" t="s">
        <v>1182</v>
      </c>
      <c r="J188" s="8" t="s">
        <v>109</v>
      </c>
      <c r="K188" s="8" t="s">
        <v>182</v>
      </c>
      <c r="L188" s="8"/>
      <c r="M188" s="8" t="str">
        <f aca="false">IF(K188="FUERA","Fuera del marco",IF(K188="N/A","Sin marco",IFERROR(INDEX(Catalogo_TIMSS!$C$5:$C$105,MATCH(K188,Catalogo_TIMSS!$A$5:$A$105,0)),"Pendiente de clasificar")))</f>
        <v>Ciencias de la Tierra</v>
      </c>
      <c r="N188" s="8" t="str">
        <f aca="false">IF(K188="FUERA","Fuera del marco",IF(K188="N/A","Sin marco",IFERROR(INDEX(Catalogo_TIMSS!$F$5:$F$105,MATCH(K188,Catalogo_TIMSS!$A$5:$A$105,0)),"Pendiente de clasificar")))</f>
        <v>La Tierra en el Sistema Solar</v>
      </c>
      <c r="O188" s="8" t="str">
        <f aca="false">IF(L188="","",IFERROR(INDEX(Catalogo_TIMSS!$C$5:$C$105,MATCH(L188,Catalogo_TIMSS!$A$5:$A$105,0)),"?"))</f>
        <v/>
      </c>
      <c r="P188" s="8" t="s">
        <v>513</v>
      </c>
      <c r="Q188" s="27" t="s">
        <v>1183</v>
      </c>
      <c r="R188" s="27" t="s">
        <v>1184</v>
      </c>
      <c r="S188" s="28" t="n">
        <f aca="false">IFERROR(ISNUMBER(SEARCH("Conocer",$R188))/(ISNUMBER(SEARCH("Conocer",$R188))+ISNUMBER(SEARCH("Aplicar",$R188))+ISNUMBER(SEARCH("Razonar",$R188))),0)</f>
        <v>0.5</v>
      </c>
      <c r="T188" s="28" t="n">
        <f aca="false">IFERROR(ISNUMBER(SEARCH("Aplicar",$R188))/(ISNUMBER(SEARCH("Conocer",$R188))+ISNUMBER(SEARCH("Aplicar",$R188))+ISNUMBER(SEARCH("Razonar",$R188))),0)</f>
        <v>0.5</v>
      </c>
      <c r="U188" s="28" t="n">
        <f aca="false">IFERROR(ISNUMBER(SEARCH("Razonar",$R188))/(ISNUMBER(SEARCH("Conocer",$R188))+ISNUMBER(SEARCH("Aplicar",$R188))+ISNUMBER(SEARCH("Razonar",$R188))),0)</f>
        <v>0</v>
      </c>
      <c r="V188" s="8" t="s">
        <v>47</v>
      </c>
      <c r="W188" s="8" t="s">
        <v>66</v>
      </c>
    </row>
    <row r="189" customFormat="false" ht="15" hidden="false" customHeight="false" outlineLevel="0" collapsed="false">
      <c r="A189" s="8" t="s">
        <v>1185</v>
      </c>
      <c r="B189" s="8" t="n">
        <v>4</v>
      </c>
      <c r="C189" s="8" t="s">
        <v>411</v>
      </c>
      <c r="D189" s="8" t="s">
        <v>985</v>
      </c>
      <c r="E189" s="8" t="s">
        <v>1155</v>
      </c>
      <c r="F189" s="8" t="n">
        <v>10</v>
      </c>
      <c r="G189" s="8" t="s">
        <v>1156</v>
      </c>
      <c r="H189" s="8" t="s">
        <v>1186</v>
      </c>
      <c r="I189" s="27" t="s">
        <v>1187</v>
      </c>
      <c r="J189" s="8" t="s">
        <v>109</v>
      </c>
      <c r="K189" s="8" t="s">
        <v>179</v>
      </c>
      <c r="L189" s="8"/>
      <c r="M189" s="8" t="str">
        <f aca="false">IF(K189="FUERA","Fuera del marco",IF(K189="N/A","Sin marco",IFERROR(INDEX(Catalogo_TIMSS!$C$5:$C$105,MATCH(K189,Catalogo_TIMSS!$A$5:$A$105,0)),"Pendiente de clasificar")))</f>
        <v>Ciencias de la Tierra</v>
      </c>
      <c r="N189" s="8" t="str">
        <f aca="false">IF(K189="FUERA","Fuera del marco",IF(K189="N/A","Sin marco",IFERROR(INDEX(Catalogo_TIMSS!$F$5:$F$105,MATCH(K189,Catalogo_TIMSS!$A$5:$A$105,0)),"Pendiente de clasificar")))</f>
        <v>La Tierra en el Sistema Solar</v>
      </c>
      <c r="O189" s="8" t="str">
        <f aca="false">IF(L189="","",IFERROR(INDEX(Catalogo_TIMSS!$C$5:$C$105,MATCH(L189,Catalogo_TIMSS!$A$5:$A$105,0)),"?"))</f>
        <v/>
      </c>
      <c r="P189" s="8" t="s">
        <v>460</v>
      </c>
      <c r="Q189" s="27" t="s">
        <v>1188</v>
      </c>
      <c r="R189" s="27" t="s">
        <v>642</v>
      </c>
      <c r="S189" s="28" t="n">
        <f aca="false">IFERROR(ISNUMBER(SEARCH("Conocer",$R189))/(ISNUMBER(SEARCH("Conocer",$R189))+ISNUMBER(SEARCH("Aplicar",$R189))+ISNUMBER(SEARCH("Razonar",$R189))),0)</f>
        <v>0</v>
      </c>
      <c r="T189" s="28" t="n">
        <f aca="false">IFERROR(ISNUMBER(SEARCH("Aplicar",$R189))/(ISNUMBER(SEARCH("Conocer",$R189))+ISNUMBER(SEARCH("Aplicar",$R189))+ISNUMBER(SEARCH("Razonar",$R189))),0)</f>
        <v>1</v>
      </c>
      <c r="U189" s="28" t="n">
        <f aca="false">IFERROR(ISNUMBER(SEARCH("Razonar",$R189))/(ISNUMBER(SEARCH("Conocer",$R189))+ISNUMBER(SEARCH("Aplicar",$R189))+ISNUMBER(SEARCH("Razonar",$R189))),0)</f>
        <v>0</v>
      </c>
      <c r="V189" s="8" t="s">
        <v>47</v>
      </c>
      <c r="W189" s="8" t="s">
        <v>66</v>
      </c>
    </row>
    <row r="190" customFormat="false" ht="15" hidden="false" customHeight="false" outlineLevel="0" collapsed="false">
      <c r="A190" s="8" t="s">
        <v>1189</v>
      </c>
      <c r="B190" s="8" t="n">
        <v>4</v>
      </c>
      <c r="C190" s="8" t="s">
        <v>411</v>
      </c>
      <c r="D190" s="8" t="s">
        <v>985</v>
      </c>
      <c r="E190" s="8" t="s">
        <v>1155</v>
      </c>
      <c r="F190" s="8" t="n">
        <v>11</v>
      </c>
      <c r="G190" s="8" t="s">
        <v>1156</v>
      </c>
      <c r="H190" s="8" t="s">
        <v>1190</v>
      </c>
      <c r="I190" s="27" t="s">
        <v>1191</v>
      </c>
      <c r="J190" s="8" t="s">
        <v>109</v>
      </c>
      <c r="K190" s="8" t="s">
        <v>179</v>
      </c>
      <c r="L190" s="8"/>
      <c r="M190" s="8" t="str">
        <f aca="false">IF(K190="FUERA","Fuera del marco",IF(K190="N/A","Sin marco",IFERROR(INDEX(Catalogo_TIMSS!$C$5:$C$105,MATCH(K190,Catalogo_TIMSS!$A$5:$A$105,0)),"Pendiente de clasificar")))</f>
        <v>Ciencias de la Tierra</v>
      </c>
      <c r="N190" s="8" t="str">
        <f aca="false">IF(K190="FUERA","Fuera del marco",IF(K190="N/A","Sin marco",IFERROR(INDEX(Catalogo_TIMSS!$F$5:$F$105,MATCH(K190,Catalogo_TIMSS!$A$5:$A$105,0)),"Pendiente de clasificar")))</f>
        <v>La Tierra en el Sistema Solar</v>
      </c>
      <c r="O190" s="8" t="str">
        <f aca="false">IF(L190="","",IFERROR(INDEX(Catalogo_TIMSS!$C$5:$C$105,MATCH(L190,Catalogo_TIMSS!$A$5:$A$105,0)),"?"))</f>
        <v/>
      </c>
      <c r="P190" s="8" t="s">
        <v>418</v>
      </c>
      <c r="Q190" s="27" t="s">
        <v>1192</v>
      </c>
      <c r="R190" s="27" t="s">
        <v>1193</v>
      </c>
      <c r="S190" s="28" t="n">
        <f aca="false">IFERROR(ISNUMBER(SEARCH("Conocer",$R190))/(ISNUMBER(SEARCH("Conocer",$R190))+ISNUMBER(SEARCH("Aplicar",$R190))+ISNUMBER(SEARCH("Razonar",$R190))),0)</f>
        <v>0</v>
      </c>
      <c r="T190" s="28" t="n">
        <f aca="false">IFERROR(ISNUMBER(SEARCH("Aplicar",$R190))/(ISNUMBER(SEARCH("Conocer",$R190))+ISNUMBER(SEARCH("Aplicar",$R190))+ISNUMBER(SEARCH("Razonar",$R190))),0)</f>
        <v>0.5</v>
      </c>
      <c r="U190" s="28" t="n">
        <f aca="false">IFERROR(ISNUMBER(SEARCH("Razonar",$R190))/(ISNUMBER(SEARCH("Conocer",$R190))+ISNUMBER(SEARCH("Aplicar",$R190))+ISNUMBER(SEARCH("Razonar",$R190))),0)</f>
        <v>0.5</v>
      </c>
      <c r="V190" s="8" t="s">
        <v>47</v>
      </c>
      <c r="W190" s="8" t="s">
        <v>66</v>
      </c>
    </row>
    <row r="191" customFormat="false" ht="15" hidden="false" customHeight="false" outlineLevel="0" collapsed="false">
      <c r="A191" s="8" t="s">
        <v>1194</v>
      </c>
      <c r="B191" s="8" t="n">
        <v>4</v>
      </c>
      <c r="C191" s="8" t="s">
        <v>411</v>
      </c>
      <c r="D191" s="8" t="s">
        <v>985</v>
      </c>
      <c r="E191" s="8" t="s">
        <v>1155</v>
      </c>
      <c r="F191" s="8" t="n">
        <v>12</v>
      </c>
      <c r="G191" s="8" t="s">
        <v>1156</v>
      </c>
      <c r="H191" s="8" t="s">
        <v>1195</v>
      </c>
      <c r="I191" s="27" t="s">
        <v>1196</v>
      </c>
      <c r="J191" s="8" t="s">
        <v>109</v>
      </c>
      <c r="K191" s="8" t="s">
        <v>179</v>
      </c>
      <c r="L191" s="8"/>
      <c r="M191" s="8" t="str">
        <f aca="false">IF(K191="FUERA","Fuera del marco",IF(K191="N/A","Sin marco",IFERROR(INDEX(Catalogo_TIMSS!$C$5:$C$105,MATCH(K191,Catalogo_TIMSS!$A$5:$A$105,0)),"Pendiente de clasificar")))</f>
        <v>Ciencias de la Tierra</v>
      </c>
      <c r="N191" s="8" t="str">
        <f aca="false">IF(K191="FUERA","Fuera del marco",IF(K191="N/A","Sin marco",IFERROR(INDEX(Catalogo_TIMSS!$F$5:$F$105,MATCH(K191,Catalogo_TIMSS!$A$5:$A$105,0)),"Pendiente de clasificar")))</f>
        <v>La Tierra en el Sistema Solar</v>
      </c>
      <c r="O191" s="8" t="str">
        <f aca="false">IF(L191="","",IFERROR(INDEX(Catalogo_TIMSS!$C$5:$C$105,MATCH(L191,Catalogo_TIMSS!$A$5:$A$105,0)),"?"))</f>
        <v/>
      </c>
      <c r="P191" s="8" t="s">
        <v>460</v>
      </c>
      <c r="Q191" s="27" t="s">
        <v>1197</v>
      </c>
      <c r="R191" s="27" t="s">
        <v>1086</v>
      </c>
      <c r="S191" s="28" t="n">
        <f aca="false">IFERROR(ISNUMBER(SEARCH("Conocer",$R191))/(ISNUMBER(SEARCH("Conocer",$R191))+ISNUMBER(SEARCH("Aplicar",$R191))+ISNUMBER(SEARCH("Razonar",$R191))),0)</f>
        <v>1</v>
      </c>
      <c r="T191" s="28" t="n">
        <f aca="false">IFERROR(ISNUMBER(SEARCH("Aplicar",$R191))/(ISNUMBER(SEARCH("Conocer",$R191))+ISNUMBER(SEARCH("Aplicar",$R191))+ISNUMBER(SEARCH("Razonar",$R191))),0)</f>
        <v>0</v>
      </c>
      <c r="U191" s="28" t="n">
        <f aca="false">IFERROR(ISNUMBER(SEARCH("Razonar",$R191))/(ISNUMBER(SEARCH("Conocer",$R191))+ISNUMBER(SEARCH("Aplicar",$R191))+ISNUMBER(SEARCH("Razonar",$R191))),0)</f>
        <v>0</v>
      </c>
      <c r="V191" s="8" t="s">
        <v>47</v>
      </c>
      <c r="W191" s="8" t="s">
        <v>66</v>
      </c>
    </row>
    <row r="192" customFormat="false" ht="15" hidden="false" customHeight="false" outlineLevel="0" collapsed="false">
      <c r="A192" s="8" t="s">
        <v>1198</v>
      </c>
      <c r="B192" s="8" t="n">
        <v>4</v>
      </c>
      <c r="C192" s="8" t="s">
        <v>411</v>
      </c>
      <c r="D192" s="8" t="s">
        <v>985</v>
      </c>
      <c r="E192" s="8" t="s">
        <v>1155</v>
      </c>
      <c r="F192" s="8" t="n">
        <v>13</v>
      </c>
      <c r="G192" s="8" t="s">
        <v>1156</v>
      </c>
      <c r="H192" s="8" t="s">
        <v>1195</v>
      </c>
      <c r="I192" s="27" t="s">
        <v>1199</v>
      </c>
      <c r="J192" s="8" t="s">
        <v>109</v>
      </c>
      <c r="K192" s="8" t="s">
        <v>179</v>
      </c>
      <c r="L192" s="8"/>
      <c r="M192" s="8" t="str">
        <f aca="false">IF(K192="FUERA","Fuera del marco",IF(K192="N/A","Sin marco",IFERROR(INDEX(Catalogo_TIMSS!$C$5:$C$105,MATCH(K192,Catalogo_TIMSS!$A$5:$A$105,0)),"Pendiente de clasificar")))</f>
        <v>Ciencias de la Tierra</v>
      </c>
      <c r="N192" s="8" t="str">
        <f aca="false">IF(K192="FUERA","Fuera del marco",IF(K192="N/A","Sin marco",IFERROR(INDEX(Catalogo_TIMSS!$F$5:$F$105,MATCH(K192,Catalogo_TIMSS!$A$5:$A$105,0)),"Pendiente de clasificar")))</f>
        <v>La Tierra en el Sistema Solar</v>
      </c>
      <c r="O192" s="8" t="str">
        <f aca="false">IF(L192="","",IFERROR(INDEX(Catalogo_TIMSS!$C$5:$C$105,MATCH(L192,Catalogo_TIMSS!$A$5:$A$105,0)),"?"))</f>
        <v/>
      </c>
      <c r="P192" s="8" t="s">
        <v>460</v>
      </c>
      <c r="Q192" s="27" t="s">
        <v>1200</v>
      </c>
      <c r="R192" s="27" t="s">
        <v>680</v>
      </c>
      <c r="S192" s="28" t="n">
        <f aca="false">IFERROR(ISNUMBER(SEARCH("Conocer",$R192))/(ISNUMBER(SEARCH("Conocer",$R192))+ISNUMBER(SEARCH("Aplicar",$R192))+ISNUMBER(SEARCH("Razonar",$R192))),0)</f>
        <v>1</v>
      </c>
      <c r="T192" s="28" t="n">
        <f aca="false">IFERROR(ISNUMBER(SEARCH("Aplicar",$R192))/(ISNUMBER(SEARCH("Conocer",$R192))+ISNUMBER(SEARCH("Aplicar",$R192))+ISNUMBER(SEARCH("Razonar",$R192))),0)</f>
        <v>0</v>
      </c>
      <c r="U192" s="28" t="n">
        <f aca="false">IFERROR(ISNUMBER(SEARCH("Razonar",$R192))/(ISNUMBER(SEARCH("Conocer",$R192))+ISNUMBER(SEARCH("Aplicar",$R192))+ISNUMBER(SEARCH("Razonar",$R192))),0)</f>
        <v>0</v>
      </c>
      <c r="V192" s="8" t="s">
        <v>47</v>
      </c>
      <c r="W192" s="8" t="s">
        <v>66</v>
      </c>
    </row>
    <row r="193" customFormat="false" ht="15" hidden="false" customHeight="false" outlineLevel="0" collapsed="false">
      <c r="A193" s="8" t="s">
        <v>1201</v>
      </c>
      <c r="B193" s="8" t="n">
        <v>4</v>
      </c>
      <c r="C193" s="8" t="s">
        <v>411</v>
      </c>
      <c r="D193" s="8" t="s">
        <v>985</v>
      </c>
      <c r="E193" s="8" t="s">
        <v>1155</v>
      </c>
      <c r="F193" s="8" t="n">
        <v>14</v>
      </c>
      <c r="G193" s="8" t="s">
        <v>1156</v>
      </c>
      <c r="H193" s="8" t="s">
        <v>1195</v>
      </c>
      <c r="I193" s="27" t="s">
        <v>1202</v>
      </c>
      <c r="J193" s="8" t="s">
        <v>109</v>
      </c>
      <c r="K193" s="8" t="s">
        <v>179</v>
      </c>
      <c r="L193" s="8"/>
      <c r="M193" s="8" t="str">
        <f aca="false">IF(K193="FUERA","Fuera del marco",IF(K193="N/A","Sin marco",IFERROR(INDEX(Catalogo_TIMSS!$C$5:$C$105,MATCH(K193,Catalogo_TIMSS!$A$5:$A$105,0)),"Pendiente de clasificar")))</f>
        <v>Ciencias de la Tierra</v>
      </c>
      <c r="N193" s="8" t="str">
        <f aca="false">IF(K193="FUERA","Fuera del marco",IF(K193="N/A","Sin marco",IFERROR(INDEX(Catalogo_TIMSS!$F$5:$F$105,MATCH(K193,Catalogo_TIMSS!$A$5:$A$105,0)),"Pendiente de clasificar")))</f>
        <v>La Tierra en el Sistema Solar</v>
      </c>
      <c r="O193" s="8" t="str">
        <f aca="false">IF(L193="","",IFERROR(INDEX(Catalogo_TIMSS!$C$5:$C$105,MATCH(L193,Catalogo_TIMSS!$A$5:$A$105,0)),"?"))</f>
        <v/>
      </c>
      <c r="P193" s="8" t="s">
        <v>460</v>
      </c>
      <c r="Q193" s="27" t="s">
        <v>1203</v>
      </c>
      <c r="R193" s="27" t="s">
        <v>1204</v>
      </c>
      <c r="S193" s="28" t="n">
        <f aca="false">IFERROR(ISNUMBER(SEARCH("Conocer",$R193))/(ISNUMBER(SEARCH("Conocer",$R193))+ISNUMBER(SEARCH("Aplicar",$R193))+ISNUMBER(SEARCH("Razonar",$R193))),0)</f>
        <v>0</v>
      </c>
      <c r="T193" s="28" t="n">
        <f aca="false">IFERROR(ISNUMBER(SEARCH("Aplicar",$R193))/(ISNUMBER(SEARCH("Conocer",$R193))+ISNUMBER(SEARCH("Aplicar",$R193))+ISNUMBER(SEARCH("Razonar",$R193))),0)</f>
        <v>1</v>
      </c>
      <c r="U193" s="28" t="n">
        <f aca="false">IFERROR(ISNUMBER(SEARCH("Razonar",$R193))/(ISNUMBER(SEARCH("Conocer",$R193))+ISNUMBER(SEARCH("Aplicar",$R193))+ISNUMBER(SEARCH("Razonar",$R193))),0)</f>
        <v>0</v>
      </c>
      <c r="V193" s="8" t="s">
        <v>47</v>
      </c>
      <c r="W193" s="8" t="s">
        <v>66</v>
      </c>
    </row>
    <row r="194" customFormat="false" ht="15" hidden="false" customHeight="false" outlineLevel="0" collapsed="false">
      <c r="A194" s="8" t="s">
        <v>1205</v>
      </c>
      <c r="B194" s="8" t="n">
        <v>4</v>
      </c>
      <c r="C194" s="8" t="s">
        <v>411</v>
      </c>
      <c r="D194" s="8" t="s">
        <v>985</v>
      </c>
      <c r="E194" s="8" t="s">
        <v>1206</v>
      </c>
      <c r="F194" s="8" t="n">
        <v>3</v>
      </c>
      <c r="G194" s="8" t="s">
        <v>1207</v>
      </c>
      <c r="H194" s="8" t="s">
        <v>1208</v>
      </c>
      <c r="I194" s="27" t="s">
        <v>1209</v>
      </c>
      <c r="J194" s="8" t="s">
        <v>109</v>
      </c>
      <c r="K194" s="8" t="s">
        <v>114</v>
      </c>
      <c r="L194" s="8" t="s">
        <v>135</v>
      </c>
      <c r="M194" s="8" t="str">
        <f aca="false">IF(K194="FUERA","Fuera del marco",IF(K194="N/A","Sin marco",IFERROR(INDEX(Catalogo_TIMSS!$C$5:$C$105,MATCH(K194,Catalogo_TIMSS!$A$5:$A$105,0)),"Pendiente de clasificar")))</f>
        <v>Ciencias de la vida</v>
      </c>
      <c r="N194" s="8" t="str">
        <f aca="false">IF(K194="FUERA","Fuera del marco",IF(K194="N/A","Sin marco",IFERROR(INDEX(Catalogo_TIMSS!$F$5:$F$105,MATCH(K194,Catalogo_TIMSS!$A$5:$A$105,0)),"Pendiente de clasificar")))</f>
        <v>Características y procesos vitales de los organismos</v>
      </c>
      <c r="O194" s="8" t="str">
        <f aca="false">IF(L194="","",IFERROR(INDEX(Catalogo_TIMSS!$C$5:$C$105,MATCH(L194,Catalogo_TIMSS!$A$5:$A$105,0)),"?"))</f>
        <v>Ciencias de la vida</v>
      </c>
      <c r="P194" s="8" t="s">
        <v>418</v>
      </c>
      <c r="Q194" s="27" t="s">
        <v>1210</v>
      </c>
      <c r="R194" s="27" t="s">
        <v>1211</v>
      </c>
      <c r="S194" s="28" t="n">
        <f aca="false">IFERROR(ISNUMBER(SEARCH("Conocer",$R194))/(ISNUMBER(SEARCH("Conocer",$R194))+ISNUMBER(SEARCH("Aplicar",$R194))+ISNUMBER(SEARCH("Razonar",$R194))),0)</f>
        <v>1</v>
      </c>
      <c r="T194" s="28" t="n">
        <f aca="false">IFERROR(ISNUMBER(SEARCH("Aplicar",$R194))/(ISNUMBER(SEARCH("Conocer",$R194))+ISNUMBER(SEARCH("Aplicar",$R194))+ISNUMBER(SEARCH("Razonar",$R194))),0)</f>
        <v>0</v>
      </c>
      <c r="U194" s="28" t="n">
        <f aca="false">IFERROR(ISNUMBER(SEARCH("Razonar",$R194))/(ISNUMBER(SEARCH("Conocer",$R194))+ISNUMBER(SEARCH("Aplicar",$R194))+ISNUMBER(SEARCH("Razonar",$R194))),0)</f>
        <v>0</v>
      </c>
      <c r="V194" s="8" t="s">
        <v>47</v>
      </c>
      <c r="W194" s="8" t="s">
        <v>66</v>
      </c>
    </row>
    <row r="195" customFormat="false" ht="15" hidden="false" customHeight="false" outlineLevel="0" collapsed="false">
      <c r="A195" s="8" t="s">
        <v>1212</v>
      </c>
      <c r="B195" s="8" t="n">
        <v>4</v>
      </c>
      <c r="C195" s="8" t="s">
        <v>411</v>
      </c>
      <c r="D195" s="8" t="s">
        <v>985</v>
      </c>
      <c r="E195" s="8" t="s">
        <v>1206</v>
      </c>
      <c r="F195" s="8" t="n">
        <v>4</v>
      </c>
      <c r="G195" s="8" t="s">
        <v>1207</v>
      </c>
      <c r="H195" s="8" t="s">
        <v>1208</v>
      </c>
      <c r="I195" s="27" t="s">
        <v>1213</v>
      </c>
      <c r="J195" s="8" t="s">
        <v>109</v>
      </c>
      <c r="K195" s="8" t="s">
        <v>114</v>
      </c>
      <c r="L195" s="8"/>
      <c r="M195" s="8" t="str">
        <f aca="false">IF(K195="FUERA","Fuera del marco",IF(K195="N/A","Sin marco",IFERROR(INDEX(Catalogo_TIMSS!$C$5:$C$105,MATCH(K195,Catalogo_TIMSS!$A$5:$A$105,0)),"Pendiente de clasificar")))</f>
        <v>Ciencias de la vida</v>
      </c>
      <c r="N195" s="8" t="str">
        <f aca="false">IF(K195="FUERA","Fuera del marco",IF(K195="N/A","Sin marco",IFERROR(INDEX(Catalogo_TIMSS!$F$5:$F$105,MATCH(K195,Catalogo_TIMSS!$A$5:$A$105,0)),"Pendiente de clasificar")))</f>
        <v>Características y procesos vitales de los organismos</v>
      </c>
      <c r="O195" s="8" t="str">
        <f aca="false">IF(L195="","",IFERROR(INDEX(Catalogo_TIMSS!$C$5:$C$105,MATCH(L195,Catalogo_TIMSS!$A$5:$A$105,0)),"?"))</f>
        <v/>
      </c>
      <c r="P195" s="8" t="s">
        <v>418</v>
      </c>
      <c r="Q195" s="27" t="s">
        <v>1214</v>
      </c>
      <c r="R195" s="27" t="s">
        <v>1215</v>
      </c>
      <c r="S195" s="28" t="n">
        <f aca="false">IFERROR(ISNUMBER(SEARCH("Conocer",$R195))/(ISNUMBER(SEARCH("Conocer",$R195))+ISNUMBER(SEARCH("Aplicar",$R195))+ISNUMBER(SEARCH("Razonar",$R195))),0)</f>
        <v>0</v>
      </c>
      <c r="T195" s="28" t="n">
        <f aca="false">IFERROR(ISNUMBER(SEARCH("Aplicar",$R195))/(ISNUMBER(SEARCH("Conocer",$R195))+ISNUMBER(SEARCH("Aplicar",$R195))+ISNUMBER(SEARCH("Razonar",$R195))),0)</f>
        <v>0.5</v>
      </c>
      <c r="U195" s="28" t="n">
        <f aca="false">IFERROR(ISNUMBER(SEARCH("Razonar",$R195))/(ISNUMBER(SEARCH("Conocer",$R195))+ISNUMBER(SEARCH("Aplicar",$R195))+ISNUMBER(SEARCH("Razonar",$R195))),0)</f>
        <v>0.5</v>
      </c>
      <c r="V195" s="8" t="s">
        <v>47</v>
      </c>
      <c r="W195" s="8" t="s">
        <v>66</v>
      </c>
    </row>
    <row r="196" customFormat="false" ht="15" hidden="false" customHeight="false" outlineLevel="0" collapsed="false">
      <c r="A196" s="8" t="s">
        <v>1216</v>
      </c>
      <c r="B196" s="8" t="n">
        <v>4</v>
      </c>
      <c r="C196" s="8" t="s">
        <v>411</v>
      </c>
      <c r="D196" s="8" t="s">
        <v>985</v>
      </c>
      <c r="E196" s="8" t="s">
        <v>1206</v>
      </c>
      <c r="F196" s="8" t="n">
        <v>5</v>
      </c>
      <c r="G196" s="8" t="s">
        <v>1207</v>
      </c>
      <c r="H196" s="8" t="s">
        <v>1217</v>
      </c>
      <c r="I196" s="27" t="s">
        <v>1218</v>
      </c>
      <c r="J196" s="8" t="s">
        <v>109</v>
      </c>
      <c r="K196" s="8" t="s">
        <v>114</v>
      </c>
      <c r="L196" s="8"/>
      <c r="M196" s="8" t="str">
        <f aca="false">IF(K196="FUERA","Fuera del marco",IF(K196="N/A","Sin marco",IFERROR(INDEX(Catalogo_TIMSS!$C$5:$C$105,MATCH(K196,Catalogo_TIMSS!$A$5:$A$105,0)),"Pendiente de clasificar")))</f>
        <v>Ciencias de la vida</v>
      </c>
      <c r="N196" s="8" t="str">
        <f aca="false">IF(K196="FUERA","Fuera del marco",IF(K196="N/A","Sin marco",IFERROR(INDEX(Catalogo_TIMSS!$F$5:$F$105,MATCH(K196,Catalogo_TIMSS!$A$5:$A$105,0)),"Pendiente de clasificar")))</f>
        <v>Características y procesos vitales de los organismos</v>
      </c>
      <c r="O196" s="8" t="str">
        <f aca="false">IF(L196="","",IFERROR(INDEX(Catalogo_TIMSS!$C$5:$C$105,MATCH(L196,Catalogo_TIMSS!$A$5:$A$105,0)),"?"))</f>
        <v/>
      </c>
      <c r="P196" s="8" t="s">
        <v>418</v>
      </c>
      <c r="Q196" s="27" t="s">
        <v>1219</v>
      </c>
      <c r="R196" s="27" t="s">
        <v>1220</v>
      </c>
      <c r="S196" s="28" t="n">
        <f aca="false">IFERROR(ISNUMBER(SEARCH("Conocer",$R196))/(ISNUMBER(SEARCH("Conocer",$R196))+ISNUMBER(SEARCH("Aplicar",$R196))+ISNUMBER(SEARCH("Razonar",$R196))),0)</f>
        <v>0.5</v>
      </c>
      <c r="T196" s="28" t="n">
        <f aca="false">IFERROR(ISNUMBER(SEARCH("Aplicar",$R196))/(ISNUMBER(SEARCH("Conocer",$R196))+ISNUMBER(SEARCH("Aplicar",$R196))+ISNUMBER(SEARCH("Razonar",$R196))),0)</f>
        <v>0.5</v>
      </c>
      <c r="U196" s="28" t="n">
        <f aca="false">IFERROR(ISNUMBER(SEARCH("Razonar",$R196))/(ISNUMBER(SEARCH("Conocer",$R196))+ISNUMBER(SEARCH("Aplicar",$R196))+ISNUMBER(SEARCH("Razonar",$R196))),0)</f>
        <v>0</v>
      </c>
      <c r="V196" s="8" t="s">
        <v>47</v>
      </c>
      <c r="W196" s="8" t="s">
        <v>66</v>
      </c>
    </row>
    <row r="197" customFormat="false" ht="15" hidden="false" customHeight="false" outlineLevel="0" collapsed="false">
      <c r="A197" s="8" t="s">
        <v>1221</v>
      </c>
      <c r="B197" s="8" t="n">
        <v>4</v>
      </c>
      <c r="C197" s="8" t="s">
        <v>411</v>
      </c>
      <c r="D197" s="8" t="s">
        <v>985</v>
      </c>
      <c r="E197" s="8" t="s">
        <v>1206</v>
      </c>
      <c r="F197" s="8" t="n">
        <v>6</v>
      </c>
      <c r="G197" s="8" t="s">
        <v>1207</v>
      </c>
      <c r="H197" s="8" t="s">
        <v>1217</v>
      </c>
      <c r="I197" s="27" t="s">
        <v>1222</v>
      </c>
      <c r="J197" s="8" t="s">
        <v>109</v>
      </c>
      <c r="K197" s="8" t="s">
        <v>114</v>
      </c>
      <c r="L197" s="8"/>
      <c r="M197" s="8" t="str">
        <f aca="false">IF(K197="FUERA","Fuera del marco",IF(K197="N/A","Sin marco",IFERROR(INDEX(Catalogo_TIMSS!$C$5:$C$105,MATCH(K197,Catalogo_TIMSS!$A$5:$A$105,0)),"Pendiente de clasificar")))</f>
        <v>Ciencias de la vida</v>
      </c>
      <c r="N197" s="8" t="str">
        <f aca="false">IF(K197="FUERA","Fuera del marco",IF(K197="N/A","Sin marco",IFERROR(INDEX(Catalogo_TIMSS!$F$5:$F$105,MATCH(K197,Catalogo_TIMSS!$A$5:$A$105,0)),"Pendiente de clasificar")))</f>
        <v>Características y procesos vitales de los organismos</v>
      </c>
      <c r="O197" s="8" t="str">
        <f aca="false">IF(L197="","",IFERROR(INDEX(Catalogo_TIMSS!$C$5:$C$105,MATCH(L197,Catalogo_TIMSS!$A$5:$A$105,0)),"?"))</f>
        <v/>
      </c>
      <c r="P197" s="8" t="s">
        <v>418</v>
      </c>
      <c r="Q197" s="27" t="s">
        <v>1223</v>
      </c>
      <c r="R197" s="27" t="s">
        <v>1224</v>
      </c>
      <c r="S197" s="28" t="n">
        <f aca="false">IFERROR(ISNUMBER(SEARCH("Conocer",$R197))/(ISNUMBER(SEARCH("Conocer",$R197))+ISNUMBER(SEARCH("Aplicar",$R197))+ISNUMBER(SEARCH("Razonar",$R197))),0)</f>
        <v>0</v>
      </c>
      <c r="T197" s="28" t="n">
        <f aca="false">IFERROR(ISNUMBER(SEARCH("Aplicar",$R197))/(ISNUMBER(SEARCH("Conocer",$R197))+ISNUMBER(SEARCH("Aplicar",$R197))+ISNUMBER(SEARCH("Razonar",$R197))),0)</f>
        <v>1</v>
      </c>
      <c r="U197" s="28" t="n">
        <f aca="false">IFERROR(ISNUMBER(SEARCH("Razonar",$R197))/(ISNUMBER(SEARCH("Conocer",$R197))+ISNUMBER(SEARCH("Aplicar",$R197))+ISNUMBER(SEARCH("Razonar",$R197))),0)</f>
        <v>0</v>
      </c>
      <c r="V197" s="8" t="s">
        <v>47</v>
      </c>
      <c r="W197" s="8" t="s">
        <v>66</v>
      </c>
    </row>
    <row r="198" customFormat="false" ht="15" hidden="false" customHeight="false" outlineLevel="0" collapsed="false">
      <c r="A198" s="8" t="s">
        <v>1225</v>
      </c>
      <c r="B198" s="8" t="n">
        <v>4</v>
      </c>
      <c r="C198" s="8" t="s">
        <v>411</v>
      </c>
      <c r="D198" s="8" t="s">
        <v>985</v>
      </c>
      <c r="E198" s="8" t="s">
        <v>1206</v>
      </c>
      <c r="F198" s="8" t="n">
        <v>7</v>
      </c>
      <c r="G198" s="8" t="s">
        <v>1207</v>
      </c>
      <c r="H198" s="8" t="s">
        <v>1226</v>
      </c>
      <c r="I198" s="27" t="s">
        <v>1227</v>
      </c>
      <c r="J198" s="8" t="s">
        <v>109</v>
      </c>
      <c r="K198" s="8" t="s">
        <v>114</v>
      </c>
      <c r="L198" s="8"/>
      <c r="M198" s="8" t="str">
        <f aca="false">IF(K198="FUERA","Fuera del marco",IF(K198="N/A","Sin marco",IFERROR(INDEX(Catalogo_TIMSS!$C$5:$C$105,MATCH(K198,Catalogo_TIMSS!$A$5:$A$105,0)),"Pendiente de clasificar")))</f>
        <v>Ciencias de la vida</v>
      </c>
      <c r="N198" s="8" t="str">
        <f aca="false">IF(K198="FUERA","Fuera del marco",IF(K198="N/A","Sin marco",IFERROR(INDEX(Catalogo_TIMSS!$F$5:$F$105,MATCH(K198,Catalogo_TIMSS!$A$5:$A$105,0)),"Pendiente de clasificar")))</f>
        <v>Características y procesos vitales de los organismos</v>
      </c>
      <c r="O198" s="8" t="str">
        <f aca="false">IF(L198="","",IFERROR(INDEX(Catalogo_TIMSS!$C$5:$C$105,MATCH(L198,Catalogo_TIMSS!$A$5:$A$105,0)),"?"))</f>
        <v/>
      </c>
      <c r="P198" s="8" t="s">
        <v>460</v>
      </c>
      <c r="Q198" s="27" t="s">
        <v>1228</v>
      </c>
      <c r="R198" s="27" t="s">
        <v>1229</v>
      </c>
      <c r="S198" s="28" t="n">
        <f aca="false">IFERROR(ISNUMBER(SEARCH("Conocer",$R198))/(ISNUMBER(SEARCH("Conocer",$R198))+ISNUMBER(SEARCH("Aplicar",$R198))+ISNUMBER(SEARCH("Razonar",$R198))),0)</f>
        <v>0</v>
      </c>
      <c r="T198" s="28" t="n">
        <f aca="false">IFERROR(ISNUMBER(SEARCH("Aplicar",$R198))/(ISNUMBER(SEARCH("Conocer",$R198))+ISNUMBER(SEARCH("Aplicar",$R198))+ISNUMBER(SEARCH("Razonar",$R198))),0)</f>
        <v>0.5</v>
      </c>
      <c r="U198" s="28" t="n">
        <f aca="false">IFERROR(ISNUMBER(SEARCH("Razonar",$R198))/(ISNUMBER(SEARCH("Conocer",$R198))+ISNUMBER(SEARCH("Aplicar",$R198))+ISNUMBER(SEARCH("Razonar",$R198))),0)</f>
        <v>0.5</v>
      </c>
      <c r="V198" s="8" t="s">
        <v>47</v>
      </c>
      <c r="W198" s="8" t="s">
        <v>66</v>
      </c>
    </row>
    <row r="199" customFormat="false" ht="15" hidden="false" customHeight="false" outlineLevel="0" collapsed="false">
      <c r="A199" s="8" t="s">
        <v>1230</v>
      </c>
      <c r="B199" s="8" t="n">
        <v>4</v>
      </c>
      <c r="C199" s="8" t="s">
        <v>411</v>
      </c>
      <c r="D199" s="8" t="s">
        <v>985</v>
      </c>
      <c r="E199" s="8" t="s">
        <v>1206</v>
      </c>
      <c r="F199" s="8" t="n">
        <v>8</v>
      </c>
      <c r="G199" s="8" t="s">
        <v>1207</v>
      </c>
      <c r="H199" s="8" t="s">
        <v>1226</v>
      </c>
      <c r="I199" s="27" t="s">
        <v>1231</v>
      </c>
      <c r="J199" s="8" t="s">
        <v>109</v>
      </c>
      <c r="K199" s="8" t="s">
        <v>114</v>
      </c>
      <c r="L199" s="8"/>
      <c r="M199" s="8" t="str">
        <f aca="false">IF(K199="FUERA","Fuera del marco",IF(K199="N/A","Sin marco",IFERROR(INDEX(Catalogo_TIMSS!$C$5:$C$105,MATCH(K199,Catalogo_TIMSS!$A$5:$A$105,0)),"Pendiente de clasificar")))</f>
        <v>Ciencias de la vida</v>
      </c>
      <c r="N199" s="8" t="str">
        <f aca="false">IF(K199="FUERA","Fuera del marco",IF(K199="N/A","Sin marco",IFERROR(INDEX(Catalogo_TIMSS!$F$5:$F$105,MATCH(K199,Catalogo_TIMSS!$A$5:$A$105,0)),"Pendiente de clasificar")))</f>
        <v>Características y procesos vitales de los organismos</v>
      </c>
      <c r="O199" s="8" t="str">
        <f aca="false">IF(L199="","",IFERROR(INDEX(Catalogo_TIMSS!$C$5:$C$105,MATCH(L199,Catalogo_TIMSS!$A$5:$A$105,0)),"?"))</f>
        <v/>
      </c>
      <c r="P199" s="8" t="s">
        <v>418</v>
      </c>
      <c r="Q199" s="27" t="s">
        <v>1232</v>
      </c>
      <c r="R199" s="27" t="s">
        <v>1220</v>
      </c>
      <c r="S199" s="28" t="n">
        <f aca="false">IFERROR(ISNUMBER(SEARCH("Conocer",$R199))/(ISNUMBER(SEARCH("Conocer",$R199))+ISNUMBER(SEARCH("Aplicar",$R199))+ISNUMBER(SEARCH("Razonar",$R199))),0)</f>
        <v>0.5</v>
      </c>
      <c r="T199" s="28" t="n">
        <f aca="false">IFERROR(ISNUMBER(SEARCH("Aplicar",$R199))/(ISNUMBER(SEARCH("Conocer",$R199))+ISNUMBER(SEARCH("Aplicar",$R199))+ISNUMBER(SEARCH("Razonar",$R199))),0)</f>
        <v>0.5</v>
      </c>
      <c r="U199" s="28" t="n">
        <f aca="false">IFERROR(ISNUMBER(SEARCH("Razonar",$R199))/(ISNUMBER(SEARCH("Conocer",$R199))+ISNUMBER(SEARCH("Aplicar",$R199))+ISNUMBER(SEARCH("Razonar",$R199))),0)</f>
        <v>0</v>
      </c>
      <c r="V199" s="8" t="s">
        <v>47</v>
      </c>
      <c r="W199" s="8" t="s">
        <v>66</v>
      </c>
    </row>
    <row r="200" customFormat="false" ht="15" hidden="false" customHeight="false" outlineLevel="0" collapsed="false">
      <c r="A200" s="8" t="s">
        <v>1233</v>
      </c>
      <c r="B200" s="8" t="n">
        <v>4</v>
      </c>
      <c r="C200" s="8" t="s">
        <v>411</v>
      </c>
      <c r="D200" s="8" t="s">
        <v>985</v>
      </c>
      <c r="E200" s="8" t="s">
        <v>1206</v>
      </c>
      <c r="F200" s="8" t="n">
        <v>9</v>
      </c>
      <c r="G200" s="8" t="s">
        <v>1207</v>
      </c>
      <c r="H200" s="8" t="s">
        <v>1226</v>
      </c>
      <c r="I200" s="27" t="s">
        <v>1234</v>
      </c>
      <c r="J200" s="8" t="s">
        <v>109</v>
      </c>
      <c r="K200" s="8" t="s">
        <v>114</v>
      </c>
      <c r="L200" s="8"/>
      <c r="M200" s="8" t="str">
        <f aca="false">IF(K200="FUERA","Fuera del marco",IF(K200="N/A","Sin marco",IFERROR(INDEX(Catalogo_TIMSS!$C$5:$C$105,MATCH(K200,Catalogo_TIMSS!$A$5:$A$105,0)),"Pendiente de clasificar")))</f>
        <v>Ciencias de la vida</v>
      </c>
      <c r="N200" s="8" t="str">
        <f aca="false">IF(K200="FUERA","Fuera del marco",IF(K200="N/A","Sin marco",IFERROR(INDEX(Catalogo_TIMSS!$F$5:$F$105,MATCH(K200,Catalogo_TIMSS!$A$5:$A$105,0)),"Pendiente de clasificar")))</f>
        <v>Características y procesos vitales de los organismos</v>
      </c>
      <c r="O200" s="8" t="str">
        <f aca="false">IF(L200="","",IFERROR(INDEX(Catalogo_TIMSS!$C$5:$C$105,MATCH(L200,Catalogo_TIMSS!$A$5:$A$105,0)),"?"))</f>
        <v/>
      </c>
      <c r="P200" s="8" t="s">
        <v>418</v>
      </c>
      <c r="Q200" s="27" t="s">
        <v>1235</v>
      </c>
      <c r="R200" s="27" t="s">
        <v>1236</v>
      </c>
      <c r="S200" s="28" t="n">
        <f aca="false">IFERROR(ISNUMBER(SEARCH("Conocer",$R200))/(ISNUMBER(SEARCH("Conocer",$R200))+ISNUMBER(SEARCH("Aplicar",$R200))+ISNUMBER(SEARCH("Razonar",$R200))),0)</f>
        <v>0</v>
      </c>
      <c r="T200" s="28" t="n">
        <f aca="false">IFERROR(ISNUMBER(SEARCH("Aplicar",$R200))/(ISNUMBER(SEARCH("Conocer",$R200))+ISNUMBER(SEARCH("Aplicar",$R200))+ISNUMBER(SEARCH("Razonar",$R200))),0)</f>
        <v>1</v>
      </c>
      <c r="U200" s="28" t="n">
        <f aca="false">IFERROR(ISNUMBER(SEARCH("Razonar",$R200))/(ISNUMBER(SEARCH("Conocer",$R200))+ISNUMBER(SEARCH("Aplicar",$R200))+ISNUMBER(SEARCH("Razonar",$R200))),0)</f>
        <v>0</v>
      </c>
      <c r="V200" s="8" t="s">
        <v>47</v>
      </c>
      <c r="W200" s="8" t="s">
        <v>66</v>
      </c>
    </row>
    <row r="201" customFormat="false" ht="15" hidden="false" customHeight="false" outlineLevel="0" collapsed="false">
      <c r="A201" s="8" t="s">
        <v>1237</v>
      </c>
      <c r="B201" s="8" t="n">
        <v>4</v>
      </c>
      <c r="C201" s="8" t="s">
        <v>411</v>
      </c>
      <c r="D201" s="8" t="s">
        <v>985</v>
      </c>
      <c r="E201" s="8" t="s">
        <v>1206</v>
      </c>
      <c r="F201" s="8" t="n">
        <v>10</v>
      </c>
      <c r="G201" s="8" t="s">
        <v>1207</v>
      </c>
      <c r="H201" s="8" t="s">
        <v>1238</v>
      </c>
      <c r="I201" s="27" t="s">
        <v>1239</v>
      </c>
      <c r="J201" s="8" t="s">
        <v>109</v>
      </c>
      <c r="K201" s="8" t="s">
        <v>114</v>
      </c>
      <c r="L201" s="8"/>
      <c r="M201" s="8" t="str">
        <f aca="false">IF(K201="FUERA","Fuera del marco",IF(K201="N/A","Sin marco",IFERROR(INDEX(Catalogo_TIMSS!$C$5:$C$105,MATCH(K201,Catalogo_TIMSS!$A$5:$A$105,0)),"Pendiente de clasificar")))</f>
        <v>Ciencias de la vida</v>
      </c>
      <c r="N201" s="8" t="str">
        <f aca="false">IF(K201="FUERA","Fuera del marco",IF(K201="N/A","Sin marco",IFERROR(INDEX(Catalogo_TIMSS!$F$5:$F$105,MATCH(K201,Catalogo_TIMSS!$A$5:$A$105,0)),"Pendiente de clasificar")))</f>
        <v>Características y procesos vitales de los organismos</v>
      </c>
      <c r="O201" s="8" t="str">
        <f aca="false">IF(L201="","",IFERROR(INDEX(Catalogo_TIMSS!$C$5:$C$105,MATCH(L201,Catalogo_TIMSS!$A$5:$A$105,0)),"?"))</f>
        <v/>
      </c>
      <c r="P201" s="8" t="s">
        <v>418</v>
      </c>
      <c r="Q201" s="27" t="s">
        <v>1240</v>
      </c>
      <c r="R201" s="27" t="s">
        <v>642</v>
      </c>
      <c r="S201" s="28" t="n">
        <f aca="false">IFERROR(ISNUMBER(SEARCH("Conocer",$R201))/(ISNUMBER(SEARCH("Conocer",$R201))+ISNUMBER(SEARCH("Aplicar",$R201))+ISNUMBER(SEARCH("Razonar",$R201))),0)</f>
        <v>0</v>
      </c>
      <c r="T201" s="28" t="n">
        <f aca="false">IFERROR(ISNUMBER(SEARCH("Aplicar",$R201))/(ISNUMBER(SEARCH("Conocer",$R201))+ISNUMBER(SEARCH("Aplicar",$R201))+ISNUMBER(SEARCH("Razonar",$R201))),0)</f>
        <v>1</v>
      </c>
      <c r="U201" s="28" t="n">
        <f aca="false">IFERROR(ISNUMBER(SEARCH("Razonar",$R201))/(ISNUMBER(SEARCH("Conocer",$R201))+ISNUMBER(SEARCH("Aplicar",$R201))+ISNUMBER(SEARCH("Razonar",$R201))),0)</f>
        <v>0</v>
      </c>
      <c r="V201" s="8" t="s">
        <v>47</v>
      </c>
      <c r="W201" s="8" t="s">
        <v>66</v>
      </c>
    </row>
    <row r="202" customFormat="false" ht="15" hidden="false" customHeight="false" outlineLevel="0" collapsed="false">
      <c r="A202" s="8" t="s">
        <v>1241</v>
      </c>
      <c r="B202" s="8" t="n">
        <v>4</v>
      </c>
      <c r="C202" s="8" t="s">
        <v>411</v>
      </c>
      <c r="D202" s="8" t="s">
        <v>985</v>
      </c>
      <c r="E202" s="8" t="s">
        <v>1206</v>
      </c>
      <c r="F202" s="8" t="n">
        <v>11</v>
      </c>
      <c r="G202" s="8" t="s">
        <v>1207</v>
      </c>
      <c r="H202" s="8" t="s">
        <v>1238</v>
      </c>
      <c r="I202" s="27" t="s">
        <v>1242</v>
      </c>
      <c r="J202" s="8" t="s">
        <v>109</v>
      </c>
      <c r="K202" s="8" t="s">
        <v>135</v>
      </c>
      <c r="L202" s="8" t="s">
        <v>114</v>
      </c>
      <c r="M202" s="8" t="str">
        <f aca="false">IF(K202="FUERA","Fuera del marco",IF(K202="N/A","Sin marco",IFERROR(INDEX(Catalogo_TIMSS!$C$5:$C$105,MATCH(K202,Catalogo_TIMSS!$A$5:$A$105,0)),"Pendiente de clasificar")))</f>
        <v>Ciencias de la vida</v>
      </c>
      <c r="N202" s="8" t="str">
        <f aca="false">IF(K202="FUERA","Fuera del marco",IF(K202="N/A","Sin marco",IFERROR(INDEX(Catalogo_TIMSS!$F$5:$F$105,MATCH(K202,Catalogo_TIMSS!$A$5:$A$105,0)),"Pendiente de clasificar")))</f>
        <v>Salud humana</v>
      </c>
      <c r="O202" s="8" t="str">
        <f aca="false">IF(L202="","",IFERROR(INDEX(Catalogo_TIMSS!$C$5:$C$105,MATCH(L202,Catalogo_TIMSS!$A$5:$A$105,0)),"?"))</f>
        <v>Ciencias de la vida</v>
      </c>
      <c r="P202" s="8" t="s">
        <v>460</v>
      </c>
      <c r="Q202" s="27" t="s">
        <v>1243</v>
      </c>
      <c r="R202" s="27" t="s">
        <v>1244</v>
      </c>
      <c r="S202" s="28" t="n">
        <f aca="false">IFERROR(ISNUMBER(SEARCH("Conocer",$R202))/(ISNUMBER(SEARCH("Conocer",$R202))+ISNUMBER(SEARCH("Aplicar",$R202))+ISNUMBER(SEARCH("Razonar",$R202))),0)</f>
        <v>0</v>
      </c>
      <c r="T202" s="28" t="n">
        <f aca="false">IFERROR(ISNUMBER(SEARCH("Aplicar",$R202))/(ISNUMBER(SEARCH("Conocer",$R202))+ISNUMBER(SEARCH("Aplicar",$R202))+ISNUMBER(SEARCH("Razonar",$R202))),0)</f>
        <v>0.5</v>
      </c>
      <c r="U202" s="28" t="n">
        <f aca="false">IFERROR(ISNUMBER(SEARCH("Razonar",$R202))/(ISNUMBER(SEARCH("Conocer",$R202))+ISNUMBER(SEARCH("Aplicar",$R202))+ISNUMBER(SEARCH("Razonar",$R202))),0)</f>
        <v>0.5</v>
      </c>
      <c r="V202" s="8" t="s">
        <v>47</v>
      </c>
      <c r="W202" s="8" t="s">
        <v>66</v>
      </c>
    </row>
    <row r="203" customFormat="false" ht="15" hidden="false" customHeight="false" outlineLevel="0" collapsed="false">
      <c r="A203" s="8" t="s">
        <v>1245</v>
      </c>
      <c r="B203" s="8" t="n">
        <v>4</v>
      </c>
      <c r="C203" s="8" t="s">
        <v>411</v>
      </c>
      <c r="D203" s="8" t="s">
        <v>985</v>
      </c>
      <c r="E203" s="8" t="s">
        <v>1246</v>
      </c>
      <c r="F203" s="8" t="n">
        <v>3</v>
      </c>
      <c r="G203" s="8" t="s">
        <v>1247</v>
      </c>
      <c r="H203" s="8" t="s">
        <v>1248</v>
      </c>
      <c r="I203" s="27" t="s">
        <v>1249</v>
      </c>
      <c r="J203" s="8" t="s">
        <v>109</v>
      </c>
      <c r="K203" s="8" t="s">
        <v>114</v>
      </c>
      <c r="L203" s="8"/>
      <c r="M203" s="8" t="str">
        <f aca="false">IF(K203="FUERA","Fuera del marco",IF(K203="N/A","Sin marco",IFERROR(INDEX(Catalogo_TIMSS!$C$5:$C$105,MATCH(K203,Catalogo_TIMSS!$A$5:$A$105,0)),"Pendiente de clasificar")))</f>
        <v>Ciencias de la vida</v>
      </c>
      <c r="N203" s="8" t="str">
        <f aca="false">IF(K203="FUERA","Fuera del marco",IF(K203="N/A","Sin marco",IFERROR(INDEX(Catalogo_TIMSS!$F$5:$F$105,MATCH(K203,Catalogo_TIMSS!$A$5:$A$105,0)),"Pendiente de clasificar")))</f>
        <v>Características y procesos vitales de los organismos</v>
      </c>
      <c r="O203" s="8" t="str">
        <f aca="false">IF(L203="","",IFERROR(INDEX(Catalogo_TIMSS!$C$5:$C$105,MATCH(L203,Catalogo_TIMSS!$A$5:$A$105,0)),"?"))</f>
        <v/>
      </c>
      <c r="P203" s="8" t="s">
        <v>418</v>
      </c>
      <c r="Q203" s="27" t="s">
        <v>1250</v>
      </c>
      <c r="R203" s="27" t="s">
        <v>868</v>
      </c>
      <c r="S203" s="28" t="n">
        <f aca="false">IFERROR(ISNUMBER(SEARCH("Conocer",$R203))/(ISNUMBER(SEARCH("Conocer",$R203))+ISNUMBER(SEARCH("Aplicar",$R203))+ISNUMBER(SEARCH("Razonar",$R203))),0)</f>
        <v>1</v>
      </c>
      <c r="T203" s="28" t="n">
        <f aca="false">IFERROR(ISNUMBER(SEARCH("Aplicar",$R203))/(ISNUMBER(SEARCH("Conocer",$R203))+ISNUMBER(SEARCH("Aplicar",$R203))+ISNUMBER(SEARCH("Razonar",$R203))),0)</f>
        <v>0</v>
      </c>
      <c r="U203" s="28" t="n">
        <f aca="false">IFERROR(ISNUMBER(SEARCH("Razonar",$R203))/(ISNUMBER(SEARCH("Conocer",$R203))+ISNUMBER(SEARCH("Aplicar",$R203))+ISNUMBER(SEARCH("Razonar",$R203))),0)</f>
        <v>0</v>
      </c>
      <c r="V203" s="8" t="s">
        <v>47</v>
      </c>
      <c r="W203" s="8" t="s">
        <v>66</v>
      </c>
    </row>
    <row r="204" customFormat="false" ht="15" hidden="false" customHeight="false" outlineLevel="0" collapsed="false">
      <c r="A204" s="8" t="s">
        <v>1251</v>
      </c>
      <c r="B204" s="8" t="n">
        <v>4</v>
      </c>
      <c r="C204" s="8" t="s">
        <v>411</v>
      </c>
      <c r="D204" s="8" t="s">
        <v>985</v>
      </c>
      <c r="E204" s="8" t="s">
        <v>1246</v>
      </c>
      <c r="F204" s="8" t="n">
        <v>4</v>
      </c>
      <c r="G204" s="8" t="s">
        <v>1247</v>
      </c>
      <c r="H204" s="8" t="s">
        <v>1248</v>
      </c>
      <c r="I204" s="27" t="s">
        <v>1252</v>
      </c>
      <c r="J204" s="8" t="s">
        <v>109</v>
      </c>
      <c r="K204" s="8" t="s">
        <v>114</v>
      </c>
      <c r="L204" s="8"/>
      <c r="M204" s="8" t="str">
        <f aca="false">IF(K204="FUERA","Fuera del marco",IF(K204="N/A","Sin marco",IFERROR(INDEX(Catalogo_TIMSS!$C$5:$C$105,MATCH(K204,Catalogo_TIMSS!$A$5:$A$105,0)),"Pendiente de clasificar")))</f>
        <v>Ciencias de la vida</v>
      </c>
      <c r="N204" s="8" t="str">
        <f aca="false">IF(K204="FUERA","Fuera del marco",IF(K204="N/A","Sin marco",IFERROR(INDEX(Catalogo_TIMSS!$F$5:$F$105,MATCH(K204,Catalogo_TIMSS!$A$5:$A$105,0)),"Pendiente de clasificar")))</f>
        <v>Características y procesos vitales de los organismos</v>
      </c>
      <c r="O204" s="8" t="str">
        <f aca="false">IF(L204="","",IFERROR(INDEX(Catalogo_TIMSS!$C$5:$C$105,MATCH(L204,Catalogo_TIMSS!$A$5:$A$105,0)),"?"))</f>
        <v/>
      </c>
      <c r="P204" s="8" t="s">
        <v>418</v>
      </c>
      <c r="Q204" s="27" t="s">
        <v>1253</v>
      </c>
      <c r="R204" s="27" t="s">
        <v>1254</v>
      </c>
      <c r="S204" s="28" t="n">
        <f aca="false">IFERROR(ISNUMBER(SEARCH("Conocer",$R204))/(ISNUMBER(SEARCH("Conocer",$R204))+ISNUMBER(SEARCH("Aplicar",$R204))+ISNUMBER(SEARCH("Razonar",$R204))),0)</f>
        <v>0</v>
      </c>
      <c r="T204" s="28" t="n">
        <f aca="false">IFERROR(ISNUMBER(SEARCH("Aplicar",$R204))/(ISNUMBER(SEARCH("Conocer",$R204))+ISNUMBER(SEARCH("Aplicar",$R204))+ISNUMBER(SEARCH("Razonar",$R204))),0)</f>
        <v>1</v>
      </c>
      <c r="U204" s="28" t="n">
        <f aca="false">IFERROR(ISNUMBER(SEARCH("Razonar",$R204))/(ISNUMBER(SEARCH("Conocer",$R204))+ISNUMBER(SEARCH("Aplicar",$R204))+ISNUMBER(SEARCH("Razonar",$R204))),0)</f>
        <v>0</v>
      </c>
      <c r="V204" s="8" t="s">
        <v>47</v>
      </c>
      <c r="W204" s="8" t="s">
        <v>66</v>
      </c>
    </row>
    <row r="205" customFormat="false" ht="15" hidden="false" customHeight="false" outlineLevel="0" collapsed="false">
      <c r="A205" s="8" t="s">
        <v>1255</v>
      </c>
      <c r="B205" s="8" t="n">
        <v>4</v>
      </c>
      <c r="C205" s="8" t="s">
        <v>411</v>
      </c>
      <c r="D205" s="8" t="s">
        <v>985</v>
      </c>
      <c r="E205" s="8" t="s">
        <v>1246</v>
      </c>
      <c r="F205" s="8" t="n">
        <v>5</v>
      </c>
      <c r="G205" s="8" t="s">
        <v>1247</v>
      </c>
      <c r="H205" s="8" t="s">
        <v>1248</v>
      </c>
      <c r="I205" s="27" t="s">
        <v>1256</v>
      </c>
      <c r="J205" s="8" t="s">
        <v>109</v>
      </c>
      <c r="K205" s="8" t="s">
        <v>114</v>
      </c>
      <c r="L205" s="8"/>
      <c r="M205" s="8" t="str">
        <f aca="false">IF(K205="FUERA","Fuera del marco",IF(K205="N/A","Sin marco",IFERROR(INDEX(Catalogo_TIMSS!$C$5:$C$105,MATCH(K205,Catalogo_TIMSS!$A$5:$A$105,0)),"Pendiente de clasificar")))</f>
        <v>Ciencias de la vida</v>
      </c>
      <c r="N205" s="8" t="str">
        <f aca="false">IF(K205="FUERA","Fuera del marco",IF(K205="N/A","Sin marco",IFERROR(INDEX(Catalogo_TIMSS!$F$5:$F$105,MATCH(K205,Catalogo_TIMSS!$A$5:$A$105,0)),"Pendiente de clasificar")))</f>
        <v>Características y procesos vitales de los organismos</v>
      </c>
      <c r="O205" s="8" t="str">
        <f aca="false">IF(L205="","",IFERROR(INDEX(Catalogo_TIMSS!$C$5:$C$105,MATCH(L205,Catalogo_TIMSS!$A$5:$A$105,0)),"?"))</f>
        <v/>
      </c>
      <c r="P205" s="8" t="s">
        <v>418</v>
      </c>
      <c r="Q205" s="27" t="s">
        <v>1257</v>
      </c>
      <c r="R205" s="27" t="s">
        <v>1258</v>
      </c>
      <c r="S205" s="28" t="n">
        <f aca="false">IFERROR(ISNUMBER(SEARCH("Conocer",$R205))/(ISNUMBER(SEARCH("Conocer",$R205))+ISNUMBER(SEARCH("Aplicar",$R205))+ISNUMBER(SEARCH("Razonar",$R205))),0)</f>
        <v>0</v>
      </c>
      <c r="T205" s="28" t="n">
        <f aca="false">IFERROR(ISNUMBER(SEARCH("Aplicar",$R205))/(ISNUMBER(SEARCH("Conocer",$R205))+ISNUMBER(SEARCH("Aplicar",$R205))+ISNUMBER(SEARCH("Razonar",$R205))),0)</f>
        <v>1</v>
      </c>
      <c r="U205" s="28" t="n">
        <f aca="false">IFERROR(ISNUMBER(SEARCH("Razonar",$R205))/(ISNUMBER(SEARCH("Conocer",$R205))+ISNUMBER(SEARCH("Aplicar",$R205))+ISNUMBER(SEARCH("Razonar",$R205))),0)</f>
        <v>0</v>
      </c>
      <c r="V205" s="8" t="s">
        <v>47</v>
      </c>
      <c r="W205" s="8" t="s">
        <v>66</v>
      </c>
    </row>
    <row r="206" customFormat="false" ht="15" hidden="false" customHeight="false" outlineLevel="0" collapsed="false">
      <c r="A206" s="8" t="s">
        <v>1259</v>
      </c>
      <c r="B206" s="8" t="n">
        <v>4</v>
      </c>
      <c r="C206" s="8" t="s">
        <v>411</v>
      </c>
      <c r="D206" s="8" t="s">
        <v>985</v>
      </c>
      <c r="E206" s="8" t="s">
        <v>1246</v>
      </c>
      <c r="F206" s="8" t="n">
        <v>6</v>
      </c>
      <c r="G206" s="8" t="s">
        <v>1247</v>
      </c>
      <c r="H206" s="8" t="s">
        <v>1248</v>
      </c>
      <c r="I206" s="27" t="s">
        <v>1260</v>
      </c>
      <c r="J206" s="8" t="s">
        <v>109</v>
      </c>
      <c r="K206" s="8" t="s">
        <v>114</v>
      </c>
      <c r="L206" s="8"/>
      <c r="M206" s="8" t="str">
        <f aca="false">IF(K206="FUERA","Fuera del marco",IF(K206="N/A","Sin marco",IFERROR(INDEX(Catalogo_TIMSS!$C$5:$C$105,MATCH(K206,Catalogo_TIMSS!$A$5:$A$105,0)),"Pendiente de clasificar")))</f>
        <v>Ciencias de la vida</v>
      </c>
      <c r="N206" s="8" t="str">
        <f aca="false">IF(K206="FUERA","Fuera del marco",IF(K206="N/A","Sin marco",IFERROR(INDEX(Catalogo_TIMSS!$F$5:$F$105,MATCH(K206,Catalogo_TIMSS!$A$5:$A$105,0)),"Pendiente de clasificar")))</f>
        <v>Características y procesos vitales de los organismos</v>
      </c>
      <c r="O206" s="8" t="str">
        <f aca="false">IF(L206="","",IFERROR(INDEX(Catalogo_TIMSS!$C$5:$C$105,MATCH(L206,Catalogo_TIMSS!$A$5:$A$105,0)),"?"))</f>
        <v/>
      </c>
      <c r="P206" s="8" t="s">
        <v>418</v>
      </c>
      <c r="Q206" s="27" t="s">
        <v>1261</v>
      </c>
      <c r="R206" s="27" t="s">
        <v>424</v>
      </c>
      <c r="S206" s="28" t="n">
        <f aca="false">IFERROR(ISNUMBER(SEARCH("Conocer",$R206))/(ISNUMBER(SEARCH("Conocer",$R206))+ISNUMBER(SEARCH("Aplicar",$R206))+ISNUMBER(SEARCH("Razonar",$R206))),0)</f>
        <v>0.5</v>
      </c>
      <c r="T206" s="28" t="n">
        <f aca="false">IFERROR(ISNUMBER(SEARCH("Aplicar",$R206))/(ISNUMBER(SEARCH("Conocer",$R206))+ISNUMBER(SEARCH("Aplicar",$R206))+ISNUMBER(SEARCH("Razonar",$R206))),0)</f>
        <v>0.5</v>
      </c>
      <c r="U206" s="28" t="n">
        <f aca="false">IFERROR(ISNUMBER(SEARCH("Razonar",$R206))/(ISNUMBER(SEARCH("Conocer",$R206))+ISNUMBER(SEARCH("Aplicar",$R206))+ISNUMBER(SEARCH("Razonar",$R206))),0)</f>
        <v>0</v>
      </c>
      <c r="V206" s="8" t="s">
        <v>47</v>
      </c>
      <c r="W206" s="8" t="s">
        <v>66</v>
      </c>
    </row>
    <row r="207" customFormat="false" ht="15" hidden="false" customHeight="false" outlineLevel="0" collapsed="false">
      <c r="A207" s="8" t="s">
        <v>1262</v>
      </c>
      <c r="B207" s="8" t="n">
        <v>4</v>
      </c>
      <c r="C207" s="8" t="s">
        <v>411</v>
      </c>
      <c r="D207" s="8" t="s">
        <v>985</v>
      </c>
      <c r="E207" s="8" t="s">
        <v>1246</v>
      </c>
      <c r="F207" s="8" t="n">
        <v>7</v>
      </c>
      <c r="G207" s="8" t="s">
        <v>1247</v>
      </c>
      <c r="H207" s="8" t="s">
        <v>1248</v>
      </c>
      <c r="I207" s="27" t="s">
        <v>1263</v>
      </c>
      <c r="J207" s="8" t="s">
        <v>109</v>
      </c>
      <c r="K207" s="8" t="s">
        <v>114</v>
      </c>
      <c r="L207" s="8"/>
      <c r="M207" s="8" t="str">
        <f aca="false">IF(K207="FUERA","Fuera del marco",IF(K207="N/A","Sin marco",IFERROR(INDEX(Catalogo_TIMSS!$C$5:$C$105,MATCH(K207,Catalogo_TIMSS!$A$5:$A$105,0)),"Pendiente de clasificar")))</f>
        <v>Ciencias de la vida</v>
      </c>
      <c r="N207" s="8" t="str">
        <f aca="false">IF(K207="FUERA","Fuera del marco",IF(K207="N/A","Sin marco",IFERROR(INDEX(Catalogo_TIMSS!$F$5:$F$105,MATCH(K207,Catalogo_TIMSS!$A$5:$A$105,0)),"Pendiente de clasificar")))</f>
        <v>Características y procesos vitales de los organismos</v>
      </c>
      <c r="O207" s="8" t="str">
        <f aca="false">IF(L207="","",IFERROR(INDEX(Catalogo_TIMSS!$C$5:$C$105,MATCH(L207,Catalogo_TIMSS!$A$5:$A$105,0)),"?"))</f>
        <v/>
      </c>
      <c r="P207" s="8" t="s">
        <v>418</v>
      </c>
      <c r="Q207" s="27" t="s">
        <v>1264</v>
      </c>
      <c r="R207" s="27" t="s">
        <v>1265</v>
      </c>
      <c r="S207" s="28" t="n">
        <f aca="false">IFERROR(ISNUMBER(SEARCH("Conocer",$R207))/(ISNUMBER(SEARCH("Conocer",$R207))+ISNUMBER(SEARCH("Aplicar",$R207))+ISNUMBER(SEARCH("Razonar",$R207))),0)</f>
        <v>0</v>
      </c>
      <c r="T207" s="28" t="n">
        <f aca="false">IFERROR(ISNUMBER(SEARCH("Aplicar",$R207))/(ISNUMBER(SEARCH("Conocer",$R207))+ISNUMBER(SEARCH("Aplicar",$R207))+ISNUMBER(SEARCH("Razonar",$R207))),0)</f>
        <v>1</v>
      </c>
      <c r="U207" s="28" t="n">
        <f aca="false">IFERROR(ISNUMBER(SEARCH("Razonar",$R207))/(ISNUMBER(SEARCH("Conocer",$R207))+ISNUMBER(SEARCH("Aplicar",$R207))+ISNUMBER(SEARCH("Razonar",$R207))),0)</f>
        <v>0</v>
      </c>
      <c r="V207" s="8" t="s">
        <v>47</v>
      </c>
      <c r="W207" s="8" t="s">
        <v>66</v>
      </c>
    </row>
    <row r="208" customFormat="false" ht="15" hidden="false" customHeight="false" outlineLevel="0" collapsed="false">
      <c r="A208" s="8" t="s">
        <v>1266</v>
      </c>
      <c r="B208" s="8" t="n">
        <v>4</v>
      </c>
      <c r="C208" s="8" t="s">
        <v>411</v>
      </c>
      <c r="D208" s="8" t="s">
        <v>985</v>
      </c>
      <c r="E208" s="8" t="s">
        <v>1246</v>
      </c>
      <c r="F208" s="8" t="n">
        <v>8</v>
      </c>
      <c r="G208" s="8" t="s">
        <v>1247</v>
      </c>
      <c r="H208" s="8" t="s">
        <v>1267</v>
      </c>
      <c r="I208" s="27" t="s">
        <v>1268</v>
      </c>
      <c r="J208" s="8" t="s">
        <v>109</v>
      </c>
      <c r="K208" s="8" t="s">
        <v>114</v>
      </c>
      <c r="L208" s="8"/>
      <c r="M208" s="8" t="str">
        <f aca="false">IF(K208="FUERA","Fuera del marco",IF(K208="N/A","Sin marco",IFERROR(INDEX(Catalogo_TIMSS!$C$5:$C$105,MATCH(K208,Catalogo_TIMSS!$A$5:$A$105,0)),"Pendiente de clasificar")))</f>
        <v>Ciencias de la vida</v>
      </c>
      <c r="N208" s="8" t="str">
        <f aca="false">IF(K208="FUERA","Fuera del marco",IF(K208="N/A","Sin marco",IFERROR(INDEX(Catalogo_TIMSS!$F$5:$F$105,MATCH(K208,Catalogo_TIMSS!$A$5:$A$105,0)),"Pendiente de clasificar")))</f>
        <v>Características y procesos vitales de los organismos</v>
      </c>
      <c r="O208" s="8" t="str">
        <f aca="false">IF(L208="","",IFERROR(INDEX(Catalogo_TIMSS!$C$5:$C$105,MATCH(L208,Catalogo_TIMSS!$A$5:$A$105,0)),"?"))</f>
        <v/>
      </c>
      <c r="P208" s="8" t="s">
        <v>460</v>
      </c>
      <c r="Q208" s="27" t="s">
        <v>1269</v>
      </c>
      <c r="R208" s="27" t="s">
        <v>1270</v>
      </c>
      <c r="S208" s="28" t="n">
        <f aca="false">IFERROR(ISNUMBER(SEARCH("Conocer",$R208))/(ISNUMBER(SEARCH("Conocer",$R208))+ISNUMBER(SEARCH("Aplicar",$R208))+ISNUMBER(SEARCH("Razonar",$R208))),0)</f>
        <v>0</v>
      </c>
      <c r="T208" s="28" t="n">
        <f aca="false">IFERROR(ISNUMBER(SEARCH("Aplicar",$R208))/(ISNUMBER(SEARCH("Conocer",$R208))+ISNUMBER(SEARCH("Aplicar",$R208))+ISNUMBER(SEARCH("Razonar",$R208))),0)</f>
        <v>0</v>
      </c>
      <c r="U208" s="28" t="n">
        <f aca="false">IFERROR(ISNUMBER(SEARCH("Razonar",$R208))/(ISNUMBER(SEARCH("Conocer",$R208))+ISNUMBER(SEARCH("Aplicar",$R208))+ISNUMBER(SEARCH("Razonar",$R208))),0)</f>
        <v>1</v>
      </c>
      <c r="V208" s="8" t="s">
        <v>47</v>
      </c>
      <c r="W208" s="8" t="s">
        <v>66</v>
      </c>
    </row>
    <row r="209" customFormat="false" ht="15" hidden="false" customHeight="false" outlineLevel="0" collapsed="false">
      <c r="A209" s="8" t="s">
        <v>1271</v>
      </c>
      <c r="B209" s="8" t="n">
        <v>4</v>
      </c>
      <c r="C209" s="8" t="s">
        <v>411</v>
      </c>
      <c r="D209" s="8" t="s">
        <v>985</v>
      </c>
      <c r="E209" s="8" t="s">
        <v>1246</v>
      </c>
      <c r="F209" s="8" t="n">
        <v>9</v>
      </c>
      <c r="G209" s="8" t="s">
        <v>1247</v>
      </c>
      <c r="H209" s="8" t="s">
        <v>1267</v>
      </c>
      <c r="I209" s="27" t="s">
        <v>1272</v>
      </c>
      <c r="J209" s="8" t="s">
        <v>109</v>
      </c>
      <c r="K209" s="8" t="s">
        <v>114</v>
      </c>
      <c r="L209" s="8"/>
      <c r="M209" s="8" t="str">
        <f aca="false">IF(K209="FUERA","Fuera del marco",IF(K209="N/A","Sin marco",IFERROR(INDEX(Catalogo_TIMSS!$C$5:$C$105,MATCH(K209,Catalogo_TIMSS!$A$5:$A$105,0)),"Pendiente de clasificar")))</f>
        <v>Ciencias de la vida</v>
      </c>
      <c r="N209" s="8" t="str">
        <f aca="false">IF(K209="FUERA","Fuera del marco",IF(K209="N/A","Sin marco",IFERROR(INDEX(Catalogo_TIMSS!$F$5:$F$105,MATCH(K209,Catalogo_TIMSS!$A$5:$A$105,0)),"Pendiente de clasificar")))</f>
        <v>Características y procesos vitales de los organismos</v>
      </c>
      <c r="O209" s="8" t="str">
        <f aca="false">IF(L209="","",IFERROR(INDEX(Catalogo_TIMSS!$C$5:$C$105,MATCH(L209,Catalogo_TIMSS!$A$5:$A$105,0)),"?"))</f>
        <v/>
      </c>
      <c r="P209" s="8" t="s">
        <v>418</v>
      </c>
      <c r="Q209" s="27" t="s">
        <v>1273</v>
      </c>
      <c r="R209" s="27" t="s">
        <v>1220</v>
      </c>
      <c r="S209" s="28" t="n">
        <f aca="false">IFERROR(ISNUMBER(SEARCH("Conocer",$R209))/(ISNUMBER(SEARCH("Conocer",$R209))+ISNUMBER(SEARCH("Aplicar",$R209))+ISNUMBER(SEARCH("Razonar",$R209))),0)</f>
        <v>0.5</v>
      </c>
      <c r="T209" s="28" t="n">
        <f aca="false">IFERROR(ISNUMBER(SEARCH("Aplicar",$R209))/(ISNUMBER(SEARCH("Conocer",$R209))+ISNUMBER(SEARCH("Aplicar",$R209))+ISNUMBER(SEARCH("Razonar",$R209))),0)</f>
        <v>0.5</v>
      </c>
      <c r="U209" s="28" t="n">
        <f aca="false">IFERROR(ISNUMBER(SEARCH("Razonar",$R209))/(ISNUMBER(SEARCH("Conocer",$R209))+ISNUMBER(SEARCH("Aplicar",$R209))+ISNUMBER(SEARCH("Razonar",$R209))),0)</f>
        <v>0</v>
      </c>
      <c r="V209" s="8" t="s">
        <v>47</v>
      </c>
      <c r="W209" s="8" t="s">
        <v>66</v>
      </c>
    </row>
    <row r="210" customFormat="false" ht="15" hidden="false" customHeight="false" outlineLevel="0" collapsed="false">
      <c r="A210" s="8" t="s">
        <v>1274</v>
      </c>
      <c r="B210" s="8" t="n">
        <v>4</v>
      </c>
      <c r="C210" s="8" t="s">
        <v>411</v>
      </c>
      <c r="D210" s="8" t="s">
        <v>985</v>
      </c>
      <c r="E210" s="8" t="s">
        <v>1246</v>
      </c>
      <c r="F210" s="8" t="n">
        <v>10</v>
      </c>
      <c r="G210" s="8" t="s">
        <v>1247</v>
      </c>
      <c r="H210" s="8" t="s">
        <v>1267</v>
      </c>
      <c r="I210" s="27" t="s">
        <v>1275</v>
      </c>
      <c r="J210" s="8" t="s">
        <v>109</v>
      </c>
      <c r="K210" s="8" t="s">
        <v>114</v>
      </c>
      <c r="L210" s="8"/>
      <c r="M210" s="8" t="str">
        <f aca="false">IF(K210="FUERA","Fuera del marco",IF(K210="N/A","Sin marco",IFERROR(INDEX(Catalogo_TIMSS!$C$5:$C$105,MATCH(K210,Catalogo_TIMSS!$A$5:$A$105,0)),"Pendiente de clasificar")))</f>
        <v>Ciencias de la vida</v>
      </c>
      <c r="N210" s="8" t="str">
        <f aca="false">IF(K210="FUERA","Fuera del marco",IF(K210="N/A","Sin marco",IFERROR(INDEX(Catalogo_TIMSS!$F$5:$F$105,MATCH(K210,Catalogo_TIMSS!$A$5:$A$105,0)),"Pendiente de clasificar")))</f>
        <v>Características y procesos vitales de los organismos</v>
      </c>
      <c r="O210" s="8" t="str">
        <f aca="false">IF(L210="","",IFERROR(INDEX(Catalogo_TIMSS!$C$5:$C$105,MATCH(L210,Catalogo_TIMSS!$A$5:$A$105,0)),"?"))</f>
        <v/>
      </c>
      <c r="P210" s="8" t="s">
        <v>418</v>
      </c>
      <c r="Q210" s="27" t="s">
        <v>1276</v>
      </c>
      <c r="R210" s="27" t="s">
        <v>1265</v>
      </c>
      <c r="S210" s="28" t="n">
        <f aca="false">IFERROR(ISNUMBER(SEARCH("Conocer",$R210))/(ISNUMBER(SEARCH("Conocer",$R210))+ISNUMBER(SEARCH("Aplicar",$R210))+ISNUMBER(SEARCH("Razonar",$R210))),0)</f>
        <v>0</v>
      </c>
      <c r="T210" s="28" t="n">
        <f aca="false">IFERROR(ISNUMBER(SEARCH("Aplicar",$R210))/(ISNUMBER(SEARCH("Conocer",$R210))+ISNUMBER(SEARCH("Aplicar",$R210))+ISNUMBER(SEARCH("Razonar",$R210))),0)</f>
        <v>1</v>
      </c>
      <c r="U210" s="28" t="n">
        <f aca="false">IFERROR(ISNUMBER(SEARCH("Razonar",$R210))/(ISNUMBER(SEARCH("Conocer",$R210))+ISNUMBER(SEARCH("Aplicar",$R210))+ISNUMBER(SEARCH("Razonar",$R210))),0)</f>
        <v>0</v>
      </c>
      <c r="V210" s="8" t="s">
        <v>47</v>
      </c>
      <c r="W210" s="8" t="s">
        <v>66</v>
      </c>
    </row>
    <row r="211" customFormat="false" ht="15" hidden="false" customHeight="false" outlineLevel="0" collapsed="false">
      <c r="A211" s="8" t="s">
        <v>1277</v>
      </c>
      <c r="B211" s="8" t="n">
        <v>4</v>
      </c>
      <c r="C211" s="8" t="s">
        <v>411</v>
      </c>
      <c r="D211" s="8" t="s">
        <v>985</v>
      </c>
      <c r="E211" s="8" t="s">
        <v>1246</v>
      </c>
      <c r="F211" s="8" t="n">
        <v>11</v>
      </c>
      <c r="G211" s="8" t="s">
        <v>1247</v>
      </c>
      <c r="H211" s="8" t="s">
        <v>1278</v>
      </c>
      <c r="I211" s="27" t="s">
        <v>1279</v>
      </c>
      <c r="J211" s="8" t="s">
        <v>109</v>
      </c>
      <c r="K211" s="8" t="s">
        <v>114</v>
      </c>
      <c r="L211" s="8"/>
      <c r="M211" s="8" t="str">
        <f aca="false">IF(K211="FUERA","Fuera del marco",IF(K211="N/A","Sin marco",IFERROR(INDEX(Catalogo_TIMSS!$C$5:$C$105,MATCH(K211,Catalogo_TIMSS!$A$5:$A$105,0)),"Pendiente de clasificar")))</f>
        <v>Ciencias de la vida</v>
      </c>
      <c r="N211" s="8" t="str">
        <f aca="false">IF(K211="FUERA","Fuera del marco",IF(K211="N/A","Sin marco",IFERROR(INDEX(Catalogo_TIMSS!$F$5:$F$105,MATCH(K211,Catalogo_TIMSS!$A$5:$A$105,0)),"Pendiente de clasificar")))</f>
        <v>Características y procesos vitales de los organismos</v>
      </c>
      <c r="O211" s="8" t="str">
        <f aca="false">IF(L211="","",IFERROR(INDEX(Catalogo_TIMSS!$C$5:$C$105,MATCH(L211,Catalogo_TIMSS!$A$5:$A$105,0)),"?"))</f>
        <v/>
      </c>
      <c r="P211" s="8" t="s">
        <v>460</v>
      </c>
      <c r="Q211" s="27" t="s">
        <v>1280</v>
      </c>
      <c r="R211" s="27" t="s">
        <v>868</v>
      </c>
      <c r="S211" s="28" t="n">
        <f aca="false">IFERROR(ISNUMBER(SEARCH("Conocer",$R211))/(ISNUMBER(SEARCH("Conocer",$R211))+ISNUMBER(SEARCH("Aplicar",$R211))+ISNUMBER(SEARCH("Razonar",$R211))),0)</f>
        <v>1</v>
      </c>
      <c r="T211" s="28" t="n">
        <f aca="false">IFERROR(ISNUMBER(SEARCH("Aplicar",$R211))/(ISNUMBER(SEARCH("Conocer",$R211))+ISNUMBER(SEARCH("Aplicar",$R211))+ISNUMBER(SEARCH("Razonar",$R211))),0)</f>
        <v>0</v>
      </c>
      <c r="U211" s="28" t="n">
        <f aca="false">IFERROR(ISNUMBER(SEARCH("Razonar",$R211))/(ISNUMBER(SEARCH("Conocer",$R211))+ISNUMBER(SEARCH("Aplicar",$R211))+ISNUMBER(SEARCH("Razonar",$R211))),0)</f>
        <v>0</v>
      </c>
      <c r="V211" s="8" t="s">
        <v>47</v>
      </c>
      <c r="W211" s="8" t="s">
        <v>66</v>
      </c>
    </row>
    <row r="212" customFormat="false" ht="15" hidden="false" customHeight="false" outlineLevel="0" collapsed="false">
      <c r="A212" s="8" t="s">
        <v>1281</v>
      </c>
      <c r="B212" s="8" t="n">
        <v>4</v>
      </c>
      <c r="C212" s="8" t="s">
        <v>411</v>
      </c>
      <c r="D212" s="8" t="s">
        <v>985</v>
      </c>
      <c r="E212" s="8" t="s">
        <v>1246</v>
      </c>
      <c r="F212" s="8" t="n">
        <v>12</v>
      </c>
      <c r="G212" s="8" t="s">
        <v>1247</v>
      </c>
      <c r="H212" s="8" t="s">
        <v>1278</v>
      </c>
      <c r="I212" s="27" t="s">
        <v>1282</v>
      </c>
      <c r="J212" s="8" t="s">
        <v>109</v>
      </c>
      <c r="K212" s="8" t="s">
        <v>135</v>
      </c>
      <c r="L212" s="8"/>
      <c r="M212" s="8" t="str">
        <f aca="false">IF(K212="FUERA","Fuera del marco",IF(K212="N/A","Sin marco",IFERROR(INDEX(Catalogo_TIMSS!$C$5:$C$105,MATCH(K212,Catalogo_TIMSS!$A$5:$A$105,0)),"Pendiente de clasificar")))</f>
        <v>Ciencias de la vida</v>
      </c>
      <c r="N212" s="8" t="str">
        <f aca="false">IF(K212="FUERA","Fuera del marco",IF(K212="N/A","Sin marco",IFERROR(INDEX(Catalogo_TIMSS!$F$5:$F$105,MATCH(K212,Catalogo_TIMSS!$A$5:$A$105,0)),"Pendiente de clasificar")))</f>
        <v>Salud humana</v>
      </c>
      <c r="O212" s="8" t="str">
        <f aca="false">IF(L212="","",IFERROR(INDEX(Catalogo_TIMSS!$C$5:$C$105,MATCH(L212,Catalogo_TIMSS!$A$5:$A$105,0)),"?"))</f>
        <v/>
      </c>
      <c r="P212" s="8" t="s">
        <v>513</v>
      </c>
      <c r="Q212" s="27" t="s">
        <v>1283</v>
      </c>
      <c r="R212" s="27" t="s">
        <v>1244</v>
      </c>
      <c r="S212" s="28" t="n">
        <f aca="false">IFERROR(ISNUMBER(SEARCH("Conocer",$R212))/(ISNUMBER(SEARCH("Conocer",$R212))+ISNUMBER(SEARCH("Aplicar",$R212))+ISNUMBER(SEARCH("Razonar",$R212))),0)</f>
        <v>0</v>
      </c>
      <c r="T212" s="28" t="n">
        <f aca="false">IFERROR(ISNUMBER(SEARCH("Aplicar",$R212))/(ISNUMBER(SEARCH("Conocer",$R212))+ISNUMBER(SEARCH("Aplicar",$R212))+ISNUMBER(SEARCH("Razonar",$R212))),0)</f>
        <v>0.5</v>
      </c>
      <c r="U212" s="28" t="n">
        <f aca="false">IFERROR(ISNUMBER(SEARCH("Razonar",$R212))/(ISNUMBER(SEARCH("Conocer",$R212))+ISNUMBER(SEARCH("Aplicar",$R212))+ISNUMBER(SEARCH("Razonar",$R212))),0)</f>
        <v>0.5</v>
      </c>
      <c r="V212" s="8" t="s">
        <v>47</v>
      </c>
      <c r="W212" s="8" t="s">
        <v>66</v>
      </c>
    </row>
    <row r="213" customFormat="false" ht="15" hidden="false" customHeight="false" outlineLevel="0" collapsed="false">
      <c r="A213" s="8" t="s">
        <v>1284</v>
      </c>
      <c r="B213" s="8" t="n">
        <v>5</v>
      </c>
      <c r="C213" s="8" t="s">
        <v>411</v>
      </c>
      <c r="D213" s="8" t="s">
        <v>1285</v>
      </c>
      <c r="E213" s="8" t="s">
        <v>1286</v>
      </c>
      <c r="F213" s="8" t="n">
        <v>3</v>
      </c>
      <c r="G213" s="8" t="s">
        <v>1287</v>
      </c>
      <c r="H213" s="8" t="s">
        <v>1288</v>
      </c>
      <c r="I213" s="27" t="s">
        <v>1289</v>
      </c>
      <c r="J213" s="8" t="s">
        <v>185</v>
      </c>
      <c r="K213" s="8" t="s">
        <v>417</v>
      </c>
      <c r="L213" s="8"/>
      <c r="M213" s="8" t="str">
        <f aca="false">IF(K213="FUERA","Fuera del marco",IF(K213="N/A","Sin marco",IFERROR(INDEX(Catalogo_TIMSS!$C$5:$C$105,MATCH(K213,Catalogo_TIMSS!$A$5:$A$105,0)),"Pendiente de clasificar")))</f>
        <v>Fuera del marco</v>
      </c>
      <c r="N213" s="8" t="str">
        <f aca="false">IF(K213="FUERA","Fuera del marco",IF(K213="N/A","Sin marco",IFERROR(INDEX(Catalogo_TIMSS!$F$5:$F$105,MATCH(K213,Catalogo_TIMSS!$A$5:$A$105,0)),"Pendiente de clasificar")))</f>
        <v>Fuera del marco</v>
      </c>
      <c r="O213" s="8" t="str">
        <f aca="false">IF(L213="","",IFERROR(INDEX(Catalogo_TIMSS!$C$5:$C$105,MATCH(L213,Catalogo_TIMSS!$A$5:$A$105,0)),"?"))</f>
        <v/>
      </c>
      <c r="P213" s="8" t="s">
        <v>418</v>
      </c>
      <c r="Q213" s="27" t="s">
        <v>1290</v>
      </c>
      <c r="R213" s="27" t="s">
        <v>1291</v>
      </c>
      <c r="S213" s="28" t="n">
        <f aca="false">IFERROR(ISNUMBER(SEARCH("Conocer",$R213))/(ISNUMBER(SEARCH("Conocer",$R213))+ISNUMBER(SEARCH("Aplicar",$R213))+ISNUMBER(SEARCH("Razonar",$R213))),0)</f>
        <v>0</v>
      </c>
      <c r="T213" s="28" t="n">
        <f aca="false">IFERROR(ISNUMBER(SEARCH("Aplicar",$R213))/(ISNUMBER(SEARCH("Conocer",$R213))+ISNUMBER(SEARCH("Aplicar",$R213))+ISNUMBER(SEARCH("Razonar",$R213))),0)</f>
        <v>1</v>
      </c>
      <c r="U213" s="28" t="n">
        <f aca="false">IFERROR(ISNUMBER(SEARCH("Razonar",$R213))/(ISNUMBER(SEARCH("Conocer",$R213))+ISNUMBER(SEARCH("Aplicar",$R213))+ISNUMBER(SEARCH("Razonar",$R213))),0)</f>
        <v>0</v>
      </c>
      <c r="V213" s="8" t="s">
        <v>48</v>
      </c>
      <c r="W213" s="8" t="s">
        <v>67</v>
      </c>
    </row>
    <row r="214" customFormat="false" ht="15" hidden="false" customHeight="false" outlineLevel="0" collapsed="false">
      <c r="A214" s="8" t="s">
        <v>1292</v>
      </c>
      <c r="B214" s="8" t="n">
        <v>5</v>
      </c>
      <c r="C214" s="8" t="s">
        <v>411</v>
      </c>
      <c r="D214" s="8" t="s">
        <v>1285</v>
      </c>
      <c r="E214" s="8" t="s">
        <v>1286</v>
      </c>
      <c r="F214" s="8" t="n">
        <v>4</v>
      </c>
      <c r="G214" s="8" t="s">
        <v>1287</v>
      </c>
      <c r="H214" s="8" t="s">
        <v>1288</v>
      </c>
      <c r="I214" s="27" t="s">
        <v>1293</v>
      </c>
      <c r="J214" s="8" t="s">
        <v>185</v>
      </c>
      <c r="K214" s="8" t="s">
        <v>417</v>
      </c>
      <c r="L214" s="8"/>
      <c r="M214" s="8" t="str">
        <f aca="false">IF(K214="FUERA","Fuera del marco",IF(K214="N/A","Sin marco",IFERROR(INDEX(Catalogo_TIMSS!$C$5:$C$105,MATCH(K214,Catalogo_TIMSS!$A$5:$A$105,0)),"Pendiente de clasificar")))</f>
        <v>Fuera del marco</v>
      </c>
      <c r="N214" s="8" t="str">
        <f aca="false">IF(K214="FUERA","Fuera del marco",IF(K214="N/A","Sin marco",IFERROR(INDEX(Catalogo_TIMSS!$F$5:$F$105,MATCH(K214,Catalogo_TIMSS!$A$5:$A$105,0)),"Pendiente de clasificar")))</f>
        <v>Fuera del marco</v>
      </c>
      <c r="O214" s="8" t="str">
        <f aca="false">IF(L214="","",IFERROR(INDEX(Catalogo_TIMSS!$C$5:$C$105,MATCH(L214,Catalogo_TIMSS!$A$5:$A$105,0)),"?"))</f>
        <v/>
      </c>
      <c r="P214" s="8" t="s">
        <v>418</v>
      </c>
      <c r="Q214" s="27" t="s">
        <v>1294</v>
      </c>
      <c r="R214" s="27" t="s">
        <v>1295</v>
      </c>
      <c r="S214" s="28" t="n">
        <f aca="false">IFERROR(ISNUMBER(SEARCH("Conocer",$R214))/(ISNUMBER(SEARCH("Conocer",$R214))+ISNUMBER(SEARCH("Aplicar",$R214))+ISNUMBER(SEARCH("Razonar",$R214))),0)</f>
        <v>0</v>
      </c>
      <c r="T214" s="28" t="n">
        <f aca="false">IFERROR(ISNUMBER(SEARCH("Aplicar",$R214))/(ISNUMBER(SEARCH("Conocer",$R214))+ISNUMBER(SEARCH("Aplicar",$R214))+ISNUMBER(SEARCH("Razonar",$R214))),0)</f>
        <v>1</v>
      </c>
      <c r="U214" s="28" t="n">
        <f aca="false">IFERROR(ISNUMBER(SEARCH("Razonar",$R214))/(ISNUMBER(SEARCH("Conocer",$R214))+ISNUMBER(SEARCH("Aplicar",$R214))+ISNUMBER(SEARCH("Razonar",$R214))),0)</f>
        <v>0</v>
      </c>
      <c r="V214" s="8" t="s">
        <v>48</v>
      </c>
      <c r="W214" s="8" t="s">
        <v>67</v>
      </c>
    </row>
    <row r="215" customFormat="false" ht="15" hidden="false" customHeight="false" outlineLevel="0" collapsed="false">
      <c r="A215" s="8" t="s">
        <v>1296</v>
      </c>
      <c r="B215" s="8" t="n">
        <v>5</v>
      </c>
      <c r="C215" s="8" t="s">
        <v>411</v>
      </c>
      <c r="D215" s="8" t="s">
        <v>1285</v>
      </c>
      <c r="E215" s="8" t="s">
        <v>1286</v>
      </c>
      <c r="F215" s="8" t="n">
        <v>5</v>
      </c>
      <c r="G215" s="8" t="s">
        <v>1287</v>
      </c>
      <c r="H215" s="8" t="s">
        <v>1288</v>
      </c>
      <c r="I215" s="27" t="s">
        <v>1297</v>
      </c>
      <c r="J215" s="8" t="s">
        <v>185</v>
      </c>
      <c r="K215" s="8" t="s">
        <v>417</v>
      </c>
      <c r="L215" s="8"/>
      <c r="M215" s="8" t="str">
        <f aca="false">IF(K215="FUERA","Fuera del marco",IF(K215="N/A","Sin marco",IFERROR(INDEX(Catalogo_TIMSS!$C$5:$C$105,MATCH(K215,Catalogo_TIMSS!$A$5:$A$105,0)),"Pendiente de clasificar")))</f>
        <v>Fuera del marco</v>
      </c>
      <c r="N215" s="8" t="str">
        <f aca="false">IF(K215="FUERA","Fuera del marco",IF(K215="N/A","Sin marco",IFERROR(INDEX(Catalogo_TIMSS!$F$5:$F$105,MATCH(K215,Catalogo_TIMSS!$A$5:$A$105,0)),"Pendiente de clasificar")))</f>
        <v>Fuera del marco</v>
      </c>
      <c r="O215" s="8" t="str">
        <f aca="false">IF(L215="","",IFERROR(INDEX(Catalogo_TIMSS!$C$5:$C$105,MATCH(L215,Catalogo_TIMSS!$A$5:$A$105,0)),"?"))</f>
        <v/>
      </c>
      <c r="P215" s="8" t="s">
        <v>460</v>
      </c>
      <c r="Q215" s="27" t="s">
        <v>1298</v>
      </c>
      <c r="R215" s="27" t="s">
        <v>1299</v>
      </c>
      <c r="S215" s="28" t="n">
        <f aca="false">IFERROR(ISNUMBER(SEARCH("Conocer",$R215))/(ISNUMBER(SEARCH("Conocer",$R215))+ISNUMBER(SEARCH("Aplicar",$R215))+ISNUMBER(SEARCH("Razonar",$R215))),0)</f>
        <v>0</v>
      </c>
      <c r="T215" s="28" t="n">
        <f aca="false">IFERROR(ISNUMBER(SEARCH("Aplicar",$R215))/(ISNUMBER(SEARCH("Conocer",$R215))+ISNUMBER(SEARCH("Aplicar",$R215))+ISNUMBER(SEARCH("Razonar",$R215))),0)</f>
        <v>1</v>
      </c>
      <c r="U215" s="28" t="n">
        <f aca="false">IFERROR(ISNUMBER(SEARCH("Razonar",$R215))/(ISNUMBER(SEARCH("Conocer",$R215))+ISNUMBER(SEARCH("Aplicar",$R215))+ISNUMBER(SEARCH("Razonar",$R215))),0)</f>
        <v>0</v>
      </c>
      <c r="V215" s="8" t="s">
        <v>48</v>
      </c>
      <c r="W215" s="8" t="s">
        <v>67</v>
      </c>
    </row>
    <row r="216" customFormat="false" ht="15" hidden="false" customHeight="false" outlineLevel="0" collapsed="false">
      <c r="A216" s="8" t="s">
        <v>1300</v>
      </c>
      <c r="B216" s="8" t="n">
        <v>5</v>
      </c>
      <c r="C216" s="8" t="s">
        <v>411</v>
      </c>
      <c r="D216" s="8" t="s">
        <v>1285</v>
      </c>
      <c r="E216" s="8" t="s">
        <v>1286</v>
      </c>
      <c r="F216" s="8" t="n">
        <v>6</v>
      </c>
      <c r="G216" s="8" t="s">
        <v>1287</v>
      </c>
      <c r="H216" s="8" t="s">
        <v>1288</v>
      </c>
      <c r="I216" s="27" t="s">
        <v>1301</v>
      </c>
      <c r="J216" s="8" t="s">
        <v>185</v>
      </c>
      <c r="K216" s="8" t="s">
        <v>417</v>
      </c>
      <c r="L216" s="8"/>
      <c r="M216" s="8" t="str">
        <f aca="false">IF(K216="FUERA","Fuera del marco",IF(K216="N/A","Sin marco",IFERROR(INDEX(Catalogo_TIMSS!$C$5:$C$105,MATCH(K216,Catalogo_TIMSS!$A$5:$A$105,0)),"Pendiente de clasificar")))</f>
        <v>Fuera del marco</v>
      </c>
      <c r="N216" s="8" t="str">
        <f aca="false">IF(K216="FUERA","Fuera del marco",IF(K216="N/A","Sin marco",IFERROR(INDEX(Catalogo_TIMSS!$F$5:$F$105,MATCH(K216,Catalogo_TIMSS!$A$5:$A$105,0)),"Pendiente de clasificar")))</f>
        <v>Fuera del marco</v>
      </c>
      <c r="O216" s="8" t="str">
        <f aca="false">IF(L216="","",IFERROR(INDEX(Catalogo_TIMSS!$C$5:$C$105,MATCH(L216,Catalogo_TIMSS!$A$5:$A$105,0)),"?"))</f>
        <v/>
      </c>
      <c r="P216" s="8" t="s">
        <v>418</v>
      </c>
      <c r="Q216" s="27" t="s">
        <v>1302</v>
      </c>
      <c r="R216" s="27" t="s">
        <v>1303</v>
      </c>
      <c r="S216" s="28" t="n">
        <f aca="false">IFERROR(ISNUMBER(SEARCH("Conocer",$R216))/(ISNUMBER(SEARCH("Conocer",$R216))+ISNUMBER(SEARCH("Aplicar",$R216))+ISNUMBER(SEARCH("Razonar",$R216))),0)</f>
        <v>0.5</v>
      </c>
      <c r="T216" s="28" t="n">
        <f aca="false">IFERROR(ISNUMBER(SEARCH("Aplicar",$R216))/(ISNUMBER(SEARCH("Conocer",$R216))+ISNUMBER(SEARCH("Aplicar",$R216))+ISNUMBER(SEARCH("Razonar",$R216))),0)</f>
        <v>0.5</v>
      </c>
      <c r="U216" s="28" t="n">
        <f aca="false">IFERROR(ISNUMBER(SEARCH("Razonar",$R216))/(ISNUMBER(SEARCH("Conocer",$R216))+ISNUMBER(SEARCH("Aplicar",$R216))+ISNUMBER(SEARCH("Razonar",$R216))),0)</f>
        <v>0</v>
      </c>
      <c r="V216" s="8" t="s">
        <v>48</v>
      </c>
      <c r="W216" s="8" t="s">
        <v>67</v>
      </c>
    </row>
    <row r="217" customFormat="false" ht="15" hidden="false" customHeight="false" outlineLevel="0" collapsed="false">
      <c r="A217" s="8" t="s">
        <v>1304</v>
      </c>
      <c r="B217" s="8" t="n">
        <v>5</v>
      </c>
      <c r="C217" s="8" t="s">
        <v>411</v>
      </c>
      <c r="D217" s="8" t="s">
        <v>1285</v>
      </c>
      <c r="E217" s="8" t="s">
        <v>1286</v>
      </c>
      <c r="F217" s="8" t="n">
        <v>7</v>
      </c>
      <c r="G217" s="8" t="s">
        <v>1287</v>
      </c>
      <c r="H217" s="8" t="s">
        <v>1305</v>
      </c>
      <c r="I217" s="27" t="s">
        <v>1306</v>
      </c>
      <c r="J217" s="8" t="s">
        <v>185</v>
      </c>
      <c r="K217" s="8" t="s">
        <v>417</v>
      </c>
      <c r="L217" s="8"/>
      <c r="M217" s="8" t="str">
        <f aca="false">IF(K217="FUERA","Fuera del marco",IF(K217="N/A","Sin marco",IFERROR(INDEX(Catalogo_TIMSS!$C$5:$C$105,MATCH(K217,Catalogo_TIMSS!$A$5:$A$105,0)),"Pendiente de clasificar")))</f>
        <v>Fuera del marco</v>
      </c>
      <c r="N217" s="8" t="str">
        <f aca="false">IF(K217="FUERA","Fuera del marco",IF(K217="N/A","Sin marco",IFERROR(INDEX(Catalogo_TIMSS!$F$5:$F$105,MATCH(K217,Catalogo_TIMSS!$A$5:$A$105,0)),"Pendiente de clasificar")))</f>
        <v>Fuera del marco</v>
      </c>
      <c r="O217" s="8" t="str">
        <f aca="false">IF(L217="","",IFERROR(INDEX(Catalogo_TIMSS!$C$5:$C$105,MATCH(L217,Catalogo_TIMSS!$A$5:$A$105,0)),"?"))</f>
        <v/>
      </c>
      <c r="P217" s="8" t="s">
        <v>418</v>
      </c>
      <c r="Q217" s="27" t="s">
        <v>1307</v>
      </c>
      <c r="R217" s="27" t="s">
        <v>1308</v>
      </c>
      <c r="S217" s="28" t="n">
        <f aca="false">IFERROR(ISNUMBER(SEARCH("Conocer",$R217))/(ISNUMBER(SEARCH("Conocer",$R217))+ISNUMBER(SEARCH("Aplicar",$R217))+ISNUMBER(SEARCH("Razonar",$R217))),0)</f>
        <v>0</v>
      </c>
      <c r="T217" s="28" t="n">
        <f aca="false">IFERROR(ISNUMBER(SEARCH("Aplicar",$R217))/(ISNUMBER(SEARCH("Conocer",$R217))+ISNUMBER(SEARCH("Aplicar",$R217))+ISNUMBER(SEARCH("Razonar",$R217))),0)</f>
        <v>1</v>
      </c>
      <c r="U217" s="28" t="n">
        <f aca="false">IFERROR(ISNUMBER(SEARCH("Razonar",$R217))/(ISNUMBER(SEARCH("Conocer",$R217))+ISNUMBER(SEARCH("Aplicar",$R217))+ISNUMBER(SEARCH("Razonar",$R217))),0)</f>
        <v>0</v>
      </c>
      <c r="V217" s="8" t="s">
        <v>48</v>
      </c>
      <c r="W217" s="8" t="s">
        <v>67</v>
      </c>
    </row>
    <row r="218" customFormat="false" ht="15" hidden="false" customHeight="false" outlineLevel="0" collapsed="false">
      <c r="A218" s="8" t="s">
        <v>1309</v>
      </c>
      <c r="B218" s="8" t="n">
        <v>5</v>
      </c>
      <c r="C218" s="8" t="s">
        <v>411</v>
      </c>
      <c r="D218" s="8" t="s">
        <v>1285</v>
      </c>
      <c r="E218" s="8" t="s">
        <v>1286</v>
      </c>
      <c r="F218" s="8" t="n">
        <v>8</v>
      </c>
      <c r="G218" s="8" t="s">
        <v>1287</v>
      </c>
      <c r="H218" s="8" t="s">
        <v>1305</v>
      </c>
      <c r="I218" s="27" t="s">
        <v>1310</v>
      </c>
      <c r="J218" s="8" t="s">
        <v>185</v>
      </c>
      <c r="K218" s="8" t="s">
        <v>417</v>
      </c>
      <c r="L218" s="8"/>
      <c r="M218" s="8" t="str">
        <f aca="false">IF(K218="FUERA","Fuera del marco",IF(K218="N/A","Sin marco",IFERROR(INDEX(Catalogo_TIMSS!$C$5:$C$105,MATCH(K218,Catalogo_TIMSS!$A$5:$A$105,0)),"Pendiente de clasificar")))</f>
        <v>Fuera del marco</v>
      </c>
      <c r="N218" s="8" t="str">
        <f aca="false">IF(K218="FUERA","Fuera del marco",IF(K218="N/A","Sin marco",IFERROR(INDEX(Catalogo_TIMSS!$F$5:$F$105,MATCH(K218,Catalogo_TIMSS!$A$5:$A$105,0)),"Pendiente de clasificar")))</f>
        <v>Fuera del marco</v>
      </c>
      <c r="O218" s="8" t="str">
        <f aca="false">IF(L218="","",IFERROR(INDEX(Catalogo_TIMSS!$C$5:$C$105,MATCH(L218,Catalogo_TIMSS!$A$5:$A$105,0)),"?"))</f>
        <v/>
      </c>
      <c r="P218" s="8" t="s">
        <v>418</v>
      </c>
      <c r="Q218" s="27" t="s">
        <v>1311</v>
      </c>
      <c r="R218" s="27" t="s">
        <v>1312</v>
      </c>
      <c r="S218" s="28" t="n">
        <f aca="false">IFERROR(ISNUMBER(SEARCH("Conocer",$R218))/(ISNUMBER(SEARCH("Conocer",$R218))+ISNUMBER(SEARCH("Aplicar",$R218))+ISNUMBER(SEARCH("Razonar",$R218))),0)</f>
        <v>0</v>
      </c>
      <c r="T218" s="28" t="n">
        <f aca="false">IFERROR(ISNUMBER(SEARCH("Aplicar",$R218))/(ISNUMBER(SEARCH("Conocer",$R218))+ISNUMBER(SEARCH("Aplicar",$R218))+ISNUMBER(SEARCH("Razonar",$R218))),0)</f>
        <v>1</v>
      </c>
      <c r="U218" s="28" t="n">
        <f aca="false">IFERROR(ISNUMBER(SEARCH("Razonar",$R218))/(ISNUMBER(SEARCH("Conocer",$R218))+ISNUMBER(SEARCH("Aplicar",$R218))+ISNUMBER(SEARCH("Razonar",$R218))),0)</f>
        <v>0</v>
      </c>
      <c r="V218" s="8" t="s">
        <v>48</v>
      </c>
      <c r="W218" s="8" t="s">
        <v>67</v>
      </c>
    </row>
    <row r="219" customFormat="false" ht="15" hidden="false" customHeight="false" outlineLevel="0" collapsed="false">
      <c r="A219" s="8" t="s">
        <v>1313</v>
      </c>
      <c r="B219" s="8" t="n">
        <v>5</v>
      </c>
      <c r="C219" s="8" t="s">
        <v>411</v>
      </c>
      <c r="D219" s="8" t="s">
        <v>1285</v>
      </c>
      <c r="E219" s="8" t="s">
        <v>1286</v>
      </c>
      <c r="F219" s="8" t="n">
        <v>9</v>
      </c>
      <c r="G219" s="8" t="s">
        <v>1287</v>
      </c>
      <c r="H219" s="8" t="s">
        <v>1314</v>
      </c>
      <c r="I219" s="27" t="s">
        <v>1315</v>
      </c>
      <c r="J219" s="8" t="s">
        <v>185</v>
      </c>
      <c r="K219" s="8" t="s">
        <v>417</v>
      </c>
      <c r="L219" s="8"/>
      <c r="M219" s="8" t="str">
        <f aca="false">IF(K219="FUERA","Fuera del marco",IF(K219="N/A","Sin marco",IFERROR(INDEX(Catalogo_TIMSS!$C$5:$C$105,MATCH(K219,Catalogo_TIMSS!$A$5:$A$105,0)),"Pendiente de clasificar")))</f>
        <v>Fuera del marco</v>
      </c>
      <c r="N219" s="8" t="str">
        <f aca="false">IF(K219="FUERA","Fuera del marco",IF(K219="N/A","Sin marco",IFERROR(INDEX(Catalogo_TIMSS!$F$5:$F$105,MATCH(K219,Catalogo_TIMSS!$A$5:$A$105,0)),"Pendiente de clasificar")))</f>
        <v>Fuera del marco</v>
      </c>
      <c r="O219" s="8" t="str">
        <f aca="false">IF(L219="","",IFERROR(INDEX(Catalogo_TIMSS!$C$5:$C$105,MATCH(L219,Catalogo_TIMSS!$A$5:$A$105,0)),"?"))</f>
        <v/>
      </c>
      <c r="P219" s="8" t="s">
        <v>418</v>
      </c>
      <c r="Q219" s="27" t="s">
        <v>1316</v>
      </c>
      <c r="R219" s="27" t="s">
        <v>1317</v>
      </c>
      <c r="S219" s="28" t="n">
        <f aca="false">IFERROR(ISNUMBER(SEARCH("Conocer",$R219))/(ISNUMBER(SEARCH("Conocer",$R219))+ISNUMBER(SEARCH("Aplicar",$R219))+ISNUMBER(SEARCH("Razonar",$R219))),0)</f>
        <v>0</v>
      </c>
      <c r="T219" s="28" t="n">
        <f aca="false">IFERROR(ISNUMBER(SEARCH("Aplicar",$R219))/(ISNUMBER(SEARCH("Conocer",$R219))+ISNUMBER(SEARCH("Aplicar",$R219))+ISNUMBER(SEARCH("Razonar",$R219))),0)</f>
        <v>0.5</v>
      </c>
      <c r="U219" s="28" t="n">
        <f aca="false">IFERROR(ISNUMBER(SEARCH("Razonar",$R219))/(ISNUMBER(SEARCH("Conocer",$R219))+ISNUMBER(SEARCH("Aplicar",$R219))+ISNUMBER(SEARCH("Razonar",$R219))),0)</f>
        <v>0.5</v>
      </c>
      <c r="V219" s="8" t="s">
        <v>48</v>
      </c>
      <c r="W219" s="8" t="s">
        <v>67</v>
      </c>
    </row>
    <row r="220" customFormat="false" ht="15" hidden="false" customHeight="false" outlineLevel="0" collapsed="false">
      <c r="A220" s="8" t="s">
        <v>1318</v>
      </c>
      <c r="B220" s="8" t="n">
        <v>5</v>
      </c>
      <c r="C220" s="8" t="s">
        <v>411</v>
      </c>
      <c r="D220" s="8" t="s">
        <v>1285</v>
      </c>
      <c r="E220" s="8" t="s">
        <v>1286</v>
      </c>
      <c r="F220" s="8" t="n">
        <v>10</v>
      </c>
      <c r="G220" s="8" t="s">
        <v>1287</v>
      </c>
      <c r="H220" s="8" t="s">
        <v>1314</v>
      </c>
      <c r="I220" s="27" t="s">
        <v>1319</v>
      </c>
      <c r="J220" s="8" t="s">
        <v>185</v>
      </c>
      <c r="K220" s="8" t="s">
        <v>417</v>
      </c>
      <c r="L220" s="8"/>
      <c r="M220" s="8" t="str">
        <f aca="false">IF(K220="FUERA","Fuera del marco",IF(K220="N/A","Sin marco",IFERROR(INDEX(Catalogo_TIMSS!$C$5:$C$105,MATCH(K220,Catalogo_TIMSS!$A$5:$A$105,0)),"Pendiente de clasificar")))</f>
        <v>Fuera del marco</v>
      </c>
      <c r="N220" s="8" t="str">
        <f aca="false">IF(K220="FUERA","Fuera del marco",IF(K220="N/A","Sin marco",IFERROR(INDEX(Catalogo_TIMSS!$F$5:$F$105,MATCH(K220,Catalogo_TIMSS!$A$5:$A$105,0)),"Pendiente de clasificar")))</f>
        <v>Fuera del marco</v>
      </c>
      <c r="O220" s="8" t="str">
        <f aca="false">IF(L220="","",IFERROR(INDEX(Catalogo_TIMSS!$C$5:$C$105,MATCH(L220,Catalogo_TIMSS!$A$5:$A$105,0)),"?"))</f>
        <v/>
      </c>
      <c r="P220" s="8" t="s">
        <v>418</v>
      </c>
      <c r="Q220" s="27" t="s">
        <v>1320</v>
      </c>
      <c r="R220" s="27" t="s">
        <v>1321</v>
      </c>
      <c r="S220" s="28" t="n">
        <f aca="false">IFERROR(ISNUMBER(SEARCH("Conocer",$R220))/(ISNUMBER(SEARCH("Conocer",$R220))+ISNUMBER(SEARCH("Aplicar",$R220))+ISNUMBER(SEARCH("Razonar",$R220))),0)</f>
        <v>0</v>
      </c>
      <c r="T220" s="28" t="n">
        <f aca="false">IFERROR(ISNUMBER(SEARCH("Aplicar",$R220))/(ISNUMBER(SEARCH("Conocer",$R220))+ISNUMBER(SEARCH("Aplicar",$R220))+ISNUMBER(SEARCH("Razonar",$R220))),0)</f>
        <v>0</v>
      </c>
      <c r="U220" s="28" t="n">
        <f aca="false">IFERROR(ISNUMBER(SEARCH("Razonar",$R220))/(ISNUMBER(SEARCH("Conocer",$R220))+ISNUMBER(SEARCH("Aplicar",$R220))+ISNUMBER(SEARCH("Razonar",$R220))),0)</f>
        <v>1</v>
      </c>
      <c r="V220" s="8" t="s">
        <v>48</v>
      </c>
      <c r="W220" s="8" t="s">
        <v>67</v>
      </c>
    </row>
    <row r="221" customFormat="false" ht="15" hidden="false" customHeight="false" outlineLevel="0" collapsed="false">
      <c r="A221" s="8" t="s">
        <v>1322</v>
      </c>
      <c r="B221" s="8" t="n">
        <v>5</v>
      </c>
      <c r="C221" s="8" t="s">
        <v>411</v>
      </c>
      <c r="D221" s="8" t="s">
        <v>1285</v>
      </c>
      <c r="E221" s="8" t="s">
        <v>1286</v>
      </c>
      <c r="F221" s="8" t="n">
        <v>11</v>
      </c>
      <c r="G221" s="8" t="s">
        <v>1287</v>
      </c>
      <c r="H221" s="8" t="s">
        <v>1314</v>
      </c>
      <c r="I221" s="27" t="s">
        <v>1323</v>
      </c>
      <c r="J221" s="8" t="s">
        <v>185</v>
      </c>
      <c r="K221" s="8" t="s">
        <v>417</v>
      </c>
      <c r="L221" s="8"/>
      <c r="M221" s="8" t="str">
        <f aca="false">IF(K221="FUERA","Fuera del marco",IF(K221="N/A","Sin marco",IFERROR(INDEX(Catalogo_TIMSS!$C$5:$C$105,MATCH(K221,Catalogo_TIMSS!$A$5:$A$105,0)),"Pendiente de clasificar")))</f>
        <v>Fuera del marco</v>
      </c>
      <c r="N221" s="8" t="str">
        <f aca="false">IF(K221="FUERA","Fuera del marco",IF(K221="N/A","Sin marco",IFERROR(INDEX(Catalogo_TIMSS!$F$5:$F$105,MATCH(K221,Catalogo_TIMSS!$A$5:$A$105,0)),"Pendiente de clasificar")))</f>
        <v>Fuera del marco</v>
      </c>
      <c r="O221" s="8" t="str">
        <f aca="false">IF(L221="","",IFERROR(INDEX(Catalogo_TIMSS!$C$5:$C$105,MATCH(L221,Catalogo_TIMSS!$A$5:$A$105,0)),"?"))</f>
        <v/>
      </c>
      <c r="P221" s="8" t="s">
        <v>418</v>
      </c>
      <c r="Q221" s="27" t="s">
        <v>1324</v>
      </c>
      <c r="R221" s="27" t="s">
        <v>1325</v>
      </c>
      <c r="S221" s="28" t="n">
        <f aca="false">IFERROR(ISNUMBER(SEARCH("Conocer",$R221))/(ISNUMBER(SEARCH("Conocer",$R221))+ISNUMBER(SEARCH("Aplicar",$R221))+ISNUMBER(SEARCH("Razonar",$R221))),0)</f>
        <v>0</v>
      </c>
      <c r="T221" s="28" t="n">
        <f aca="false">IFERROR(ISNUMBER(SEARCH("Aplicar",$R221))/(ISNUMBER(SEARCH("Conocer",$R221))+ISNUMBER(SEARCH("Aplicar",$R221))+ISNUMBER(SEARCH("Razonar",$R221))),0)</f>
        <v>0.5</v>
      </c>
      <c r="U221" s="28" t="n">
        <f aca="false">IFERROR(ISNUMBER(SEARCH("Razonar",$R221))/(ISNUMBER(SEARCH("Conocer",$R221))+ISNUMBER(SEARCH("Aplicar",$R221))+ISNUMBER(SEARCH("Razonar",$R221))),0)</f>
        <v>0.5</v>
      </c>
      <c r="V221" s="8" t="s">
        <v>48</v>
      </c>
      <c r="W221" s="8" t="s">
        <v>67</v>
      </c>
    </row>
    <row r="222" customFormat="false" ht="15" hidden="false" customHeight="false" outlineLevel="0" collapsed="false">
      <c r="A222" s="8" t="s">
        <v>1326</v>
      </c>
      <c r="B222" s="8" t="n">
        <v>5</v>
      </c>
      <c r="C222" s="8" t="s">
        <v>411</v>
      </c>
      <c r="D222" s="8" t="s">
        <v>1285</v>
      </c>
      <c r="E222" s="8" t="s">
        <v>1327</v>
      </c>
      <c r="F222" s="8" t="n">
        <v>3</v>
      </c>
      <c r="G222" s="8" t="s">
        <v>1328</v>
      </c>
      <c r="H222" s="8" t="s">
        <v>1329</v>
      </c>
      <c r="I222" s="27" t="s">
        <v>1330</v>
      </c>
      <c r="J222" s="8" t="s">
        <v>185</v>
      </c>
      <c r="K222" s="8" t="s">
        <v>261</v>
      </c>
      <c r="L222" s="8"/>
      <c r="M222" s="8" t="str">
        <f aca="false">IF(K222="FUERA","Fuera del marco",IF(K222="N/A","Sin marco",IFERROR(INDEX(Catalogo_TIMSS!$C$5:$C$105,MATCH(K222,Catalogo_TIMSS!$A$5:$A$105,0)),"Pendiente de clasificar")))</f>
        <v>Física</v>
      </c>
      <c r="N222" s="8" t="str">
        <f aca="false">IF(K222="FUERA","Fuera del marco",IF(K222="N/A","Sin marco",IFERROR(INDEX(Catalogo_TIMSS!$F$5:$F$105,MATCH(K222,Catalogo_TIMSS!$A$5:$A$105,0)),"Pendiente de clasificar")))</f>
        <v>Movimiento y fuerzas</v>
      </c>
      <c r="O222" s="8" t="str">
        <f aca="false">IF(L222="","",IFERROR(INDEX(Catalogo_TIMSS!$C$5:$C$105,MATCH(L222,Catalogo_TIMSS!$A$5:$A$105,0)),"?"))</f>
        <v/>
      </c>
      <c r="P222" s="8" t="s">
        <v>460</v>
      </c>
      <c r="Q222" s="27" t="s">
        <v>1331</v>
      </c>
      <c r="R222" s="27" t="s">
        <v>1332</v>
      </c>
      <c r="S222" s="28" t="n">
        <f aca="false">IFERROR(ISNUMBER(SEARCH("Conocer",$R222))/(ISNUMBER(SEARCH("Conocer",$R222))+ISNUMBER(SEARCH("Aplicar",$R222))+ISNUMBER(SEARCH("Razonar",$R222))),0)</f>
        <v>0</v>
      </c>
      <c r="T222" s="28" t="n">
        <f aca="false">IFERROR(ISNUMBER(SEARCH("Aplicar",$R222))/(ISNUMBER(SEARCH("Conocer",$R222))+ISNUMBER(SEARCH("Aplicar",$R222))+ISNUMBER(SEARCH("Razonar",$R222))),0)</f>
        <v>1</v>
      </c>
      <c r="U222" s="28" t="n">
        <f aca="false">IFERROR(ISNUMBER(SEARCH("Razonar",$R222))/(ISNUMBER(SEARCH("Conocer",$R222))+ISNUMBER(SEARCH("Aplicar",$R222))+ISNUMBER(SEARCH("Razonar",$R222))),0)</f>
        <v>0</v>
      </c>
      <c r="V222" s="8" t="s">
        <v>48</v>
      </c>
      <c r="W222" s="8" t="s">
        <v>67</v>
      </c>
    </row>
    <row r="223" customFormat="false" ht="15" hidden="false" customHeight="false" outlineLevel="0" collapsed="false">
      <c r="A223" s="8" t="s">
        <v>1333</v>
      </c>
      <c r="B223" s="8" t="n">
        <v>5</v>
      </c>
      <c r="C223" s="8" t="s">
        <v>411</v>
      </c>
      <c r="D223" s="8" t="s">
        <v>1285</v>
      </c>
      <c r="E223" s="8" t="s">
        <v>1327</v>
      </c>
      <c r="F223" s="8" t="n">
        <v>4</v>
      </c>
      <c r="G223" s="8" t="s">
        <v>1328</v>
      </c>
      <c r="H223" s="8" t="s">
        <v>1329</v>
      </c>
      <c r="I223" s="27" t="s">
        <v>1334</v>
      </c>
      <c r="J223" s="8" t="s">
        <v>185</v>
      </c>
      <c r="K223" s="8" t="s">
        <v>417</v>
      </c>
      <c r="L223" s="8"/>
      <c r="M223" s="8" t="str">
        <f aca="false">IF(K223="FUERA","Fuera del marco",IF(K223="N/A","Sin marco",IFERROR(INDEX(Catalogo_TIMSS!$C$5:$C$105,MATCH(K223,Catalogo_TIMSS!$A$5:$A$105,0)),"Pendiente de clasificar")))</f>
        <v>Fuera del marco</v>
      </c>
      <c r="N223" s="8" t="str">
        <f aca="false">IF(K223="FUERA","Fuera del marco",IF(K223="N/A","Sin marco",IFERROR(INDEX(Catalogo_TIMSS!$F$5:$F$105,MATCH(K223,Catalogo_TIMSS!$A$5:$A$105,0)),"Pendiente de clasificar")))</f>
        <v>Fuera del marco</v>
      </c>
      <c r="O223" s="8" t="str">
        <f aca="false">IF(L223="","",IFERROR(INDEX(Catalogo_TIMSS!$C$5:$C$105,MATCH(L223,Catalogo_TIMSS!$A$5:$A$105,0)),"?"))</f>
        <v/>
      </c>
      <c r="P223" s="8" t="s">
        <v>513</v>
      </c>
      <c r="Q223" s="27" t="s">
        <v>1335</v>
      </c>
      <c r="R223" s="27" t="s">
        <v>1336</v>
      </c>
      <c r="S223" s="28" t="n">
        <f aca="false">IFERROR(ISNUMBER(SEARCH("Conocer",$R223))/(ISNUMBER(SEARCH("Conocer",$R223))+ISNUMBER(SEARCH("Aplicar",$R223))+ISNUMBER(SEARCH("Razonar",$R223))),0)</f>
        <v>0</v>
      </c>
      <c r="T223" s="28" t="n">
        <f aca="false">IFERROR(ISNUMBER(SEARCH("Aplicar",$R223))/(ISNUMBER(SEARCH("Conocer",$R223))+ISNUMBER(SEARCH("Aplicar",$R223))+ISNUMBER(SEARCH("Razonar",$R223))),0)</f>
        <v>1</v>
      </c>
      <c r="U223" s="28" t="n">
        <f aca="false">IFERROR(ISNUMBER(SEARCH("Razonar",$R223))/(ISNUMBER(SEARCH("Conocer",$R223))+ISNUMBER(SEARCH("Aplicar",$R223))+ISNUMBER(SEARCH("Razonar",$R223))),0)</f>
        <v>0</v>
      </c>
      <c r="V223" s="8" t="s">
        <v>48</v>
      </c>
      <c r="W223" s="8" t="s">
        <v>67</v>
      </c>
    </row>
    <row r="224" customFormat="false" ht="15" hidden="false" customHeight="false" outlineLevel="0" collapsed="false">
      <c r="A224" s="8" t="s">
        <v>1337</v>
      </c>
      <c r="B224" s="8" t="n">
        <v>5</v>
      </c>
      <c r="C224" s="8" t="s">
        <v>411</v>
      </c>
      <c r="D224" s="8" t="s">
        <v>1285</v>
      </c>
      <c r="E224" s="8" t="s">
        <v>1327</v>
      </c>
      <c r="F224" s="8" t="n">
        <v>5</v>
      </c>
      <c r="G224" s="8" t="s">
        <v>1328</v>
      </c>
      <c r="H224" s="8" t="s">
        <v>1329</v>
      </c>
      <c r="I224" s="27" t="s">
        <v>1338</v>
      </c>
      <c r="J224" s="8" t="s">
        <v>185</v>
      </c>
      <c r="K224" s="8" t="s">
        <v>261</v>
      </c>
      <c r="L224" s="8"/>
      <c r="M224" s="8" t="str">
        <f aca="false">IF(K224="FUERA","Fuera del marco",IF(K224="N/A","Sin marco",IFERROR(INDEX(Catalogo_TIMSS!$C$5:$C$105,MATCH(K224,Catalogo_TIMSS!$A$5:$A$105,0)),"Pendiente de clasificar")))</f>
        <v>Física</v>
      </c>
      <c r="N224" s="8" t="str">
        <f aca="false">IF(K224="FUERA","Fuera del marco",IF(K224="N/A","Sin marco",IFERROR(INDEX(Catalogo_TIMSS!$F$5:$F$105,MATCH(K224,Catalogo_TIMSS!$A$5:$A$105,0)),"Pendiente de clasificar")))</f>
        <v>Movimiento y fuerzas</v>
      </c>
      <c r="O224" s="8" t="str">
        <f aca="false">IF(L224="","",IFERROR(INDEX(Catalogo_TIMSS!$C$5:$C$105,MATCH(L224,Catalogo_TIMSS!$A$5:$A$105,0)),"?"))</f>
        <v/>
      </c>
      <c r="P224" s="8" t="s">
        <v>460</v>
      </c>
      <c r="Q224" s="27" t="s">
        <v>1339</v>
      </c>
      <c r="R224" s="27" t="s">
        <v>1340</v>
      </c>
      <c r="S224" s="28" t="n">
        <f aca="false">IFERROR(ISNUMBER(SEARCH("Conocer",$R224))/(ISNUMBER(SEARCH("Conocer",$R224))+ISNUMBER(SEARCH("Aplicar",$R224))+ISNUMBER(SEARCH("Razonar",$R224))),0)</f>
        <v>0</v>
      </c>
      <c r="T224" s="28" t="n">
        <f aca="false">IFERROR(ISNUMBER(SEARCH("Aplicar",$R224))/(ISNUMBER(SEARCH("Conocer",$R224))+ISNUMBER(SEARCH("Aplicar",$R224))+ISNUMBER(SEARCH("Razonar",$R224))),0)</f>
        <v>1</v>
      </c>
      <c r="U224" s="28" t="n">
        <f aca="false">IFERROR(ISNUMBER(SEARCH("Razonar",$R224))/(ISNUMBER(SEARCH("Conocer",$R224))+ISNUMBER(SEARCH("Aplicar",$R224))+ISNUMBER(SEARCH("Razonar",$R224))),0)</f>
        <v>0</v>
      </c>
      <c r="V224" s="8" t="s">
        <v>48</v>
      </c>
      <c r="W224" s="8" t="s">
        <v>67</v>
      </c>
    </row>
    <row r="225" customFormat="false" ht="15" hidden="false" customHeight="false" outlineLevel="0" collapsed="false">
      <c r="A225" s="8" t="s">
        <v>1341</v>
      </c>
      <c r="B225" s="8" t="n">
        <v>5</v>
      </c>
      <c r="C225" s="8" t="s">
        <v>411</v>
      </c>
      <c r="D225" s="8" t="s">
        <v>1285</v>
      </c>
      <c r="E225" s="8" t="s">
        <v>1327</v>
      </c>
      <c r="F225" s="8" t="n">
        <v>6</v>
      </c>
      <c r="G225" s="8" t="s">
        <v>1328</v>
      </c>
      <c r="H225" s="8" t="s">
        <v>1329</v>
      </c>
      <c r="I225" s="27" t="s">
        <v>1342</v>
      </c>
      <c r="J225" s="8" t="s">
        <v>185</v>
      </c>
      <c r="K225" s="8" t="s">
        <v>261</v>
      </c>
      <c r="L225" s="8" t="s">
        <v>264</v>
      </c>
      <c r="M225" s="8" t="str">
        <f aca="false">IF(K225="FUERA","Fuera del marco",IF(K225="N/A","Sin marco",IFERROR(INDEX(Catalogo_TIMSS!$C$5:$C$105,MATCH(K225,Catalogo_TIMSS!$A$5:$A$105,0)),"Pendiente de clasificar")))</f>
        <v>Física</v>
      </c>
      <c r="N225" s="8" t="str">
        <f aca="false">IF(K225="FUERA","Fuera del marco",IF(K225="N/A","Sin marco",IFERROR(INDEX(Catalogo_TIMSS!$F$5:$F$105,MATCH(K225,Catalogo_TIMSS!$A$5:$A$105,0)),"Pendiente de clasificar")))</f>
        <v>Movimiento y fuerzas</v>
      </c>
      <c r="O225" s="8" t="str">
        <f aca="false">IF(L225="","",IFERROR(INDEX(Catalogo_TIMSS!$C$5:$C$105,MATCH(L225,Catalogo_TIMSS!$A$5:$A$105,0)),"?"))</f>
        <v>Física</v>
      </c>
      <c r="P225" s="8" t="s">
        <v>513</v>
      </c>
      <c r="Q225" s="27" t="s">
        <v>1343</v>
      </c>
      <c r="R225" s="27" t="s">
        <v>429</v>
      </c>
      <c r="S225" s="28" t="n">
        <f aca="false">IFERROR(ISNUMBER(SEARCH("Conocer",$R225))/(ISNUMBER(SEARCH("Conocer",$R225))+ISNUMBER(SEARCH("Aplicar",$R225))+ISNUMBER(SEARCH("Razonar",$R225))),0)</f>
        <v>0</v>
      </c>
      <c r="T225" s="28" t="n">
        <f aca="false">IFERROR(ISNUMBER(SEARCH("Aplicar",$R225))/(ISNUMBER(SEARCH("Conocer",$R225))+ISNUMBER(SEARCH("Aplicar",$R225))+ISNUMBER(SEARCH("Razonar",$R225))),0)</f>
        <v>1</v>
      </c>
      <c r="U225" s="28" t="n">
        <f aca="false">IFERROR(ISNUMBER(SEARCH("Razonar",$R225))/(ISNUMBER(SEARCH("Conocer",$R225))+ISNUMBER(SEARCH("Aplicar",$R225))+ISNUMBER(SEARCH("Razonar",$R225))),0)</f>
        <v>0</v>
      </c>
      <c r="V225" s="8" t="s">
        <v>48</v>
      </c>
      <c r="W225" s="8" t="s">
        <v>67</v>
      </c>
    </row>
    <row r="226" customFormat="false" ht="15" hidden="false" customHeight="false" outlineLevel="0" collapsed="false">
      <c r="A226" s="8" t="s">
        <v>1344</v>
      </c>
      <c r="B226" s="8" t="n">
        <v>5</v>
      </c>
      <c r="C226" s="8" t="s">
        <v>411</v>
      </c>
      <c r="D226" s="8" t="s">
        <v>1285</v>
      </c>
      <c r="E226" s="8" t="s">
        <v>1327</v>
      </c>
      <c r="F226" s="8" t="n">
        <v>7</v>
      </c>
      <c r="G226" s="8" t="s">
        <v>1328</v>
      </c>
      <c r="H226" s="8" t="s">
        <v>1329</v>
      </c>
      <c r="I226" s="27" t="s">
        <v>1345</v>
      </c>
      <c r="J226" s="8" t="s">
        <v>185</v>
      </c>
      <c r="K226" s="8" t="s">
        <v>261</v>
      </c>
      <c r="L226" s="8"/>
      <c r="M226" s="8" t="str">
        <f aca="false">IF(K226="FUERA","Fuera del marco",IF(K226="N/A","Sin marco",IFERROR(INDEX(Catalogo_TIMSS!$C$5:$C$105,MATCH(K226,Catalogo_TIMSS!$A$5:$A$105,0)),"Pendiente de clasificar")))</f>
        <v>Física</v>
      </c>
      <c r="N226" s="8" t="str">
        <f aca="false">IF(K226="FUERA","Fuera del marco",IF(K226="N/A","Sin marco",IFERROR(INDEX(Catalogo_TIMSS!$F$5:$F$105,MATCH(K226,Catalogo_TIMSS!$A$5:$A$105,0)),"Pendiente de clasificar")))</f>
        <v>Movimiento y fuerzas</v>
      </c>
      <c r="O226" s="8" t="str">
        <f aca="false">IF(L226="","",IFERROR(INDEX(Catalogo_TIMSS!$C$5:$C$105,MATCH(L226,Catalogo_TIMSS!$A$5:$A$105,0)),"?"))</f>
        <v/>
      </c>
      <c r="P226" s="8" t="s">
        <v>418</v>
      </c>
      <c r="Q226" s="27" t="s">
        <v>1346</v>
      </c>
      <c r="R226" s="27" t="s">
        <v>1347</v>
      </c>
      <c r="S226" s="28" t="n">
        <f aca="false">IFERROR(ISNUMBER(SEARCH("Conocer",$R226))/(ISNUMBER(SEARCH("Conocer",$R226))+ISNUMBER(SEARCH("Aplicar",$R226))+ISNUMBER(SEARCH("Razonar",$R226))),0)</f>
        <v>0</v>
      </c>
      <c r="T226" s="28" t="n">
        <f aca="false">IFERROR(ISNUMBER(SEARCH("Aplicar",$R226))/(ISNUMBER(SEARCH("Conocer",$R226))+ISNUMBER(SEARCH("Aplicar",$R226))+ISNUMBER(SEARCH("Razonar",$R226))),0)</f>
        <v>1</v>
      </c>
      <c r="U226" s="28" t="n">
        <f aca="false">IFERROR(ISNUMBER(SEARCH("Razonar",$R226))/(ISNUMBER(SEARCH("Conocer",$R226))+ISNUMBER(SEARCH("Aplicar",$R226))+ISNUMBER(SEARCH("Razonar",$R226))),0)</f>
        <v>0</v>
      </c>
      <c r="V226" s="8" t="s">
        <v>48</v>
      </c>
      <c r="W226" s="8" t="s">
        <v>67</v>
      </c>
    </row>
    <row r="227" customFormat="false" ht="15" hidden="false" customHeight="false" outlineLevel="0" collapsed="false">
      <c r="A227" s="8" t="s">
        <v>1348</v>
      </c>
      <c r="B227" s="8" t="n">
        <v>5</v>
      </c>
      <c r="C227" s="8" t="s">
        <v>411</v>
      </c>
      <c r="D227" s="8" t="s">
        <v>1285</v>
      </c>
      <c r="E227" s="8" t="s">
        <v>1327</v>
      </c>
      <c r="F227" s="8" t="n">
        <v>8</v>
      </c>
      <c r="G227" s="8" t="s">
        <v>1328</v>
      </c>
      <c r="H227" s="8" t="s">
        <v>1349</v>
      </c>
      <c r="I227" s="27" t="s">
        <v>1350</v>
      </c>
      <c r="J227" s="8" t="s">
        <v>185</v>
      </c>
      <c r="K227" s="8" t="s">
        <v>261</v>
      </c>
      <c r="L227" s="8"/>
      <c r="M227" s="8" t="str">
        <f aca="false">IF(K227="FUERA","Fuera del marco",IF(K227="N/A","Sin marco",IFERROR(INDEX(Catalogo_TIMSS!$C$5:$C$105,MATCH(K227,Catalogo_TIMSS!$A$5:$A$105,0)),"Pendiente de clasificar")))</f>
        <v>Física</v>
      </c>
      <c r="N227" s="8" t="str">
        <f aca="false">IF(K227="FUERA","Fuera del marco",IF(K227="N/A","Sin marco",IFERROR(INDEX(Catalogo_TIMSS!$F$5:$F$105,MATCH(K227,Catalogo_TIMSS!$A$5:$A$105,0)),"Pendiente de clasificar")))</f>
        <v>Movimiento y fuerzas</v>
      </c>
      <c r="O227" s="8" t="str">
        <f aca="false">IF(L227="","",IFERROR(INDEX(Catalogo_TIMSS!$C$5:$C$105,MATCH(L227,Catalogo_TIMSS!$A$5:$A$105,0)),"?"))</f>
        <v/>
      </c>
      <c r="P227" s="8" t="s">
        <v>418</v>
      </c>
      <c r="Q227" s="27" t="s">
        <v>1351</v>
      </c>
      <c r="R227" s="27" t="s">
        <v>1067</v>
      </c>
      <c r="S227" s="28" t="n">
        <f aca="false">IFERROR(ISNUMBER(SEARCH("Conocer",$R227))/(ISNUMBER(SEARCH("Conocer",$R227))+ISNUMBER(SEARCH("Aplicar",$R227))+ISNUMBER(SEARCH("Razonar",$R227))),0)</f>
        <v>0</v>
      </c>
      <c r="T227" s="28" t="n">
        <f aca="false">IFERROR(ISNUMBER(SEARCH("Aplicar",$R227))/(ISNUMBER(SEARCH("Conocer",$R227))+ISNUMBER(SEARCH("Aplicar",$R227))+ISNUMBER(SEARCH("Razonar",$R227))),0)</f>
        <v>0.5</v>
      </c>
      <c r="U227" s="28" t="n">
        <f aca="false">IFERROR(ISNUMBER(SEARCH("Razonar",$R227))/(ISNUMBER(SEARCH("Conocer",$R227))+ISNUMBER(SEARCH("Aplicar",$R227))+ISNUMBER(SEARCH("Razonar",$R227))),0)</f>
        <v>0.5</v>
      </c>
      <c r="V227" s="8" t="s">
        <v>48</v>
      </c>
      <c r="W227" s="8" t="s">
        <v>67</v>
      </c>
    </row>
    <row r="228" customFormat="false" ht="15" hidden="false" customHeight="false" outlineLevel="0" collapsed="false">
      <c r="A228" s="8" t="s">
        <v>1352</v>
      </c>
      <c r="B228" s="8" t="n">
        <v>5</v>
      </c>
      <c r="C228" s="8" t="s">
        <v>411</v>
      </c>
      <c r="D228" s="8" t="s">
        <v>1285</v>
      </c>
      <c r="E228" s="8" t="s">
        <v>1327</v>
      </c>
      <c r="F228" s="8" t="n">
        <v>9</v>
      </c>
      <c r="G228" s="8" t="s">
        <v>1328</v>
      </c>
      <c r="H228" s="8" t="s">
        <v>1349</v>
      </c>
      <c r="I228" s="27" t="s">
        <v>1353</v>
      </c>
      <c r="J228" s="8" t="s">
        <v>185</v>
      </c>
      <c r="K228" s="8" t="s">
        <v>261</v>
      </c>
      <c r="L228" s="8"/>
      <c r="M228" s="8" t="str">
        <f aca="false">IF(K228="FUERA","Fuera del marco",IF(K228="N/A","Sin marco",IFERROR(INDEX(Catalogo_TIMSS!$C$5:$C$105,MATCH(K228,Catalogo_TIMSS!$A$5:$A$105,0)),"Pendiente de clasificar")))</f>
        <v>Física</v>
      </c>
      <c r="N228" s="8" t="str">
        <f aca="false">IF(K228="FUERA","Fuera del marco",IF(K228="N/A","Sin marco",IFERROR(INDEX(Catalogo_TIMSS!$F$5:$F$105,MATCH(K228,Catalogo_TIMSS!$A$5:$A$105,0)),"Pendiente de clasificar")))</f>
        <v>Movimiento y fuerzas</v>
      </c>
      <c r="O228" s="8" t="str">
        <f aca="false">IF(L228="","",IFERROR(INDEX(Catalogo_TIMSS!$C$5:$C$105,MATCH(L228,Catalogo_TIMSS!$A$5:$A$105,0)),"?"))</f>
        <v/>
      </c>
      <c r="P228" s="8" t="s">
        <v>460</v>
      </c>
      <c r="Q228" s="27" t="s">
        <v>1354</v>
      </c>
      <c r="R228" s="27" t="s">
        <v>1355</v>
      </c>
      <c r="S228" s="28" t="n">
        <f aca="false">IFERROR(ISNUMBER(SEARCH("Conocer",$R228))/(ISNUMBER(SEARCH("Conocer",$R228))+ISNUMBER(SEARCH("Aplicar",$R228))+ISNUMBER(SEARCH("Razonar",$R228))),0)</f>
        <v>0</v>
      </c>
      <c r="T228" s="28" t="n">
        <f aca="false">IFERROR(ISNUMBER(SEARCH("Aplicar",$R228))/(ISNUMBER(SEARCH("Conocer",$R228))+ISNUMBER(SEARCH("Aplicar",$R228))+ISNUMBER(SEARCH("Razonar",$R228))),0)</f>
        <v>0.5</v>
      </c>
      <c r="U228" s="28" t="n">
        <f aca="false">IFERROR(ISNUMBER(SEARCH("Razonar",$R228))/(ISNUMBER(SEARCH("Conocer",$R228))+ISNUMBER(SEARCH("Aplicar",$R228))+ISNUMBER(SEARCH("Razonar",$R228))),0)</f>
        <v>0.5</v>
      </c>
      <c r="V228" s="8" t="s">
        <v>48</v>
      </c>
      <c r="W228" s="8" t="s">
        <v>67</v>
      </c>
    </row>
    <row r="229" customFormat="false" ht="15" hidden="false" customHeight="false" outlineLevel="0" collapsed="false">
      <c r="A229" s="8" t="s">
        <v>1356</v>
      </c>
      <c r="B229" s="8" t="n">
        <v>5</v>
      </c>
      <c r="C229" s="8" t="s">
        <v>411</v>
      </c>
      <c r="D229" s="8" t="s">
        <v>1285</v>
      </c>
      <c r="E229" s="8" t="s">
        <v>1327</v>
      </c>
      <c r="F229" s="8" t="n">
        <v>10</v>
      </c>
      <c r="G229" s="8" t="s">
        <v>1328</v>
      </c>
      <c r="H229" s="8" t="s">
        <v>1357</v>
      </c>
      <c r="I229" s="27" t="s">
        <v>1358</v>
      </c>
      <c r="J229" s="8" t="s">
        <v>185</v>
      </c>
      <c r="K229" s="8" t="s">
        <v>266</v>
      </c>
      <c r="L229" s="8" t="s">
        <v>264</v>
      </c>
      <c r="M229" s="8" t="str">
        <f aca="false">IF(K229="FUERA","Fuera del marco",IF(K229="N/A","Sin marco",IFERROR(INDEX(Catalogo_TIMSS!$C$5:$C$105,MATCH(K229,Catalogo_TIMSS!$A$5:$A$105,0)),"Pendiente de clasificar")))</f>
        <v>Física</v>
      </c>
      <c r="N229" s="8" t="str">
        <f aca="false">IF(K229="FUERA","Fuera del marco",IF(K229="N/A","Sin marco",IFERROR(INDEX(Catalogo_TIMSS!$F$5:$F$105,MATCH(K229,Catalogo_TIMSS!$A$5:$A$105,0)),"Pendiente de clasificar")))</f>
        <v>Movimiento y fuerzas</v>
      </c>
      <c r="O229" s="8" t="str">
        <f aca="false">IF(L229="","",IFERROR(INDEX(Catalogo_TIMSS!$C$5:$C$105,MATCH(L229,Catalogo_TIMSS!$A$5:$A$105,0)),"?"))</f>
        <v>Física</v>
      </c>
      <c r="P229" s="8" t="s">
        <v>460</v>
      </c>
      <c r="Q229" s="27" t="s">
        <v>1359</v>
      </c>
      <c r="R229" s="27" t="s">
        <v>1360</v>
      </c>
      <c r="S229" s="28" t="n">
        <f aca="false">IFERROR(ISNUMBER(SEARCH("Conocer",$R229))/(ISNUMBER(SEARCH("Conocer",$R229))+ISNUMBER(SEARCH("Aplicar",$R229))+ISNUMBER(SEARCH("Razonar",$R229))),0)</f>
        <v>0</v>
      </c>
      <c r="T229" s="28" t="n">
        <f aca="false">IFERROR(ISNUMBER(SEARCH("Aplicar",$R229))/(ISNUMBER(SEARCH("Conocer",$R229))+ISNUMBER(SEARCH("Aplicar",$R229))+ISNUMBER(SEARCH("Razonar",$R229))),0)</f>
        <v>0.5</v>
      </c>
      <c r="U229" s="28" t="n">
        <f aca="false">IFERROR(ISNUMBER(SEARCH("Razonar",$R229))/(ISNUMBER(SEARCH("Conocer",$R229))+ISNUMBER(SEARCH("Aplicar",$R229))+ISNUMBER(SEARCH("Razonar",$R229))),0)</f>
        <v>0.5</v>
      </c>
      <c r="V229" s="8" t="s">
        <v>48</v>
      </c>
      <c r="W229" s="8" t="s">
        <v>67</v>
      </c>
    </row>
    <row r="230" customFormat="false" ht="15" hidden="false" customHeight="false" outlineLevel="0" collapsed="false">
      <c r="A230" s="8" t="s">
        <v>1361</v>
      </c>
      <c r="B230" s="8" t="n">
        <v>5</v>
      </c>
      <c r="C230" s="8" t="s">
        <v>411</v>
      </c>
      <c r="D230" s="8" t="s">
        <v>1285</v>
      </c>
      <c r="E230" s="8" t="s">
        <v>1327</v>
      </c>
      <c r="F230" s="8" t="n">
        <v>11</v>
      </c>
      <c r="G230" s="8" t="s">
        <v>1328</v>
      </c>
      <c r="H230" s="8" t="s">
        <v>1357</v>
      </c>
      <c r="I230" s="27" t="s">
        <v>1362</v>
      </c>
      <c r="J230" s="8" t="s">
        <v>185</v>
      </c>
      <c r="K230" s="8" t="s">
        <v>266</v>
      </c>
      <c r="L230" s="8" t="s">
        <v>261</v>
      </c>
      <c r="M230" s="8" t="str">
        <f aca="false">IF(K230="FUERA","Fuera del marco",IF(K230="N/A","Sin marco",IFERROR(INDEX(Catalogo_TIMSS!$C$5:$C$105,MATCH(K230,Catalogo_TIMSS!$A$5:$A$105,0)),"Pendiente de clasificar")))</f>
        <v>Física</v>
      </c>
      <c r="N230" s="8" t="str">
        <f aca="false">IF(K230="FUERA","Fuera del marco",IF(K230="N/A","Sin marco",IFERROR(INDEX(Catalogo_TIMSS!$F$5:$F$105,MATCH(K230,Catalogo_TIMSS!$A$5:$A$105,0)),"Pendiente de clasificar")))</f>
        <v>Movimiento y fuerzas</v>
      </c>
      <c r="O230" s="8" t="str">
        <f aca="false">IF(L230="","",IFERROR(INDEX(Catalogo_TIMSS!$C$5:$C$105,MATCH(L230,Catalogo_TIMSS!$A$5:$A$105,0)),"?"))</f>
        <v>Física</v>
      </c>
      <c r="P230" s="8" t="s">
        <v>460</v>
      </c>
      <c r="Q230" s="27" t="s">
        <v>1363</v>
      </c>
      <c r="R230" s="27" t="s">
        <v>1364</v>
      </c>
      <c r="S230" s="28" t="n">
        <f aca="false">IFERROR(ISNUMBER(SEARCH("Conocer",$R230))/(ISNUMBER(SEARCH("Conocer",$R230))+ISNUMBER(SEARCH("Aplicar",$R230))+ISNUMBER(SEARCH("Razonar",$R230))),0)</f>
        <v>0</v>
      </c>
      <c r="T230" s="28" t="n">
        <f aca="false">IFERROR(ISNUMBER(SEARCH("Aplicar",$R230))/(ISNUMBER(SEARCH("Conocer",$R230))+ISNUMBER(SEARCH("Aplicar",$R230))+ISNUMBER(SEARCH("Razonar",$R230))),0)</f>
        <v>0</v>
      </c>
      <c r="U230" s="28" t="n">
        <f aca="false">IFERROR(ISNUMBER(SEARCH("Razonar",$R230))/(ISNUMBER(SEARCH("Conocer",$R230))+ISNUMBER(SEARCH("Aplicar",$R230))+ISNUMBER(SEARCH("Razonar",$R230))),0)</f>
        <v>1</v>
      </c>
      <c r="V230" s="8" t="s">
        <v>48</v>
      </c>
      <c r="W230" s="8" t="s">
        <v>67</v>
      </c>
    </row>
    <row r="231" customFormat="false" ht="15" hidden="false" customHeight="false" outlineLevel="0" collapsed="false">
      <c r="A231" s="8" t="s">
        <v>1365</v>
      </c>
      <c r="B231" s="8" t="n">
        <v>5</v>
      </c>
      <c r="C231" s="8" t="s">
        <v>411</v>
      </c>
      <c r="D231" s="8" t="s">
        <v>1285</v>
      </c>
      <c r="E231" s="8" t="s">
        <v>1327</v>
      </c>
      <c r="F231" s="8" t="n">
        <v>12</v>
      </c>
      <c r="G231" s="8" t="s">
        <v>1328</v>
      </c>
      <c r="H231" s="8" t="s">
        <v>1357</v>
      </c>
      <c r="I231" s="27" t="s">
        <v>1366</v>
      </c>
      <c r="J231" s="8" t="s">
        <v>185</v>
      </c>
      <c r="K231" s="8" t="s">
        <v>264</v>
      </c>
      <c r="L231" s="8"/>
      <c r="M231" s="8" t="str">
        <f aca="false">IF(K231="FUERA","Fuera del marco",IF(K231="N/A","Sin marco",IFERROR(INDEX(Catalogo_TIMSS!$C$5:$C$105,MATCH(K231,Catalogo_TIMSS!$A$5:$A$105,0)),"Pendiente de clasificar")))</f>
        <v>Física</v>
      </c>
      <c r="N231" s="8" t="str">
        <f aca="false">IF(K231="FUERA","Fuera del marco",IF(K231="N/A","Sin marco",IFERROR(INDEX(Catalogo_TIMSS!$F$5:$F$105,MATCH(K231,Catalogo_TIMSS!$A$5:$A$105,0)),"Pendiente de clasificar")))</f>
        <v>Movimiento y fuerzas</v>
      </c>
      <c r="O231" s="8" t="str">
        <f aca="false">IF(L231="","",IFERROR(INDEX(Catalogo_TIMSS!$C$5:$C$105,MATCH(L231,Catalogo_TIMSS!$A$5:$A$105,0)),"?"))</f>
        <v/>
      </c>
      <c r="P231" s="8" t="s">
        <v>460</v>
      </c>
      <c r="Q231" s="27" t="s">
        <v>1367</v>
      </c>
      <c r="R231" s="27" t="s">
        <v>1368</v>
      </c>
      <c r="S231" s="28" t="n">
        <f aca="false">IFERROR(ISNUMBER(SEARCH("Conocer",$R231))/(ISNUMBER(SEARCH("Conocer",$R231))+ISNUMBER(SEARCH("Aplicar",$R231))+ISNUMBER(SEARCH("Razonar",$R231))),0)</f>
        <v>0</v>
      </c>
      <c r="T231" s="28" t="n">
        <f aca="false">IFERROR(ISNUMBER(SEARCH("Aplicar",$R231))/(ISNUMBER(SEARCH("Conocer",$R231))+ISNUMBER(SEARCH("Aplicar",$R231))+ISNUMBER(SEARCH("Razonar",$R231))),0)</f>
        <v>1</v>
      </c>
      <c r="U231" s="28" t="n">
        <f aca="false">IFERROR(ISNUMBER(SEARCH("Razonar",$R231))/(ISNUMBER(SEARCH("Conocer",$R231))+ISNUMBER(SEARCH("Aplicar",$R231))+ISNUMBER(SEARCH("Razonar",$R231))),0)</f>
        <v>0</v>
      </c>
      <c r="V231" s="8" t="s">
        <v>48</v>
      </c>
      <c r="W231" s="8" t="s">
        <v>67</v>
      </c>
    </row>
    <row r="232" customFormat="false" ht="15" hidden="false" customHeight="false" outlineLevel="0" collapsed="false">
      <c r="A232" s="8" t="s">
        <v>1369</v>
      </c>
      <c r="B232" s="8" t="n">
        <v>5</v>
      </c>
      <c r="C232" s="8" t="s">
        <v>411</v>
      </c>
      <c r="D232" s="8" t="s">
        <v>1285</v>
      </c>
      <c r="E232" s="8" t="s">
        <v>1327</v>
      </c>
      <c r="F232" s="8" t="n">
        <v>13</v>
      </c>
      <c r="G232" s="8" t="s">
        <v>1328</v>
      </c>
      <c r="H232" s="8" t="s">
        <v>1370</v>
      </c>
      <c r="I232" s="27" t="s">
        <v>1371</v>
      </c>
      <c r="J232" s="8" t="s">
        <v>185</v>
      </c>
      <c r="K232" s="8" t="s">
        <v>266</v>
      </c>
      <c r="L232" s="8"/>
      <c r="M232" s="8" t="str">
        <f aca="false">IF(K232="FUERA","Fuera del marco",IF(K232="N/A","Sin marco",IFERROR(INDEX(Catalogo_TIMSS!$C$5:$C$105,MATCH(K232,Catalogo_TIMSS!$A$5:$A$105,0)),"Pendiente de clasificar")))</f>
        <v>Física</v>
      </c>
      <c r="N232" s="8" t="str">
        <f aca="false">IF(K232="FUERA","Fuera del marco",IF(K232="N/A","Sin marco",IFERROR(INDEX(Catalogo_TIMSS!$F$5:$F$105,MATCH(K232,Catalogo_TIMSS!$A$5:$A$105,0)),"Pendiente de clasificar")))</f>
        <v>Movimiento y fuerzas</v>
      </c>
      <c r="O232" s="8" t="str">
        <f aca="false">IF(L232="","",IFERROR(INDEX(Catalogo_TIMSS!$C$5:$C$105,MATCH(L232,Catalogo_TIMSS!$A$5:$A$105,0)),"?"))</f>
        <v/>
      </c>
      <c r="P232" s="8" t="s">
        <v>460</v>
      </c>
      <c r="Q232" s="27" t="s">
        <v>1372</v>
      </c>
      <c r="R232" s="27" t="s">
        <v>964</v>
      </c>
      <c r="S232" s="28" t="n">
        <f aca="false">IFERROR(ISNUMBER(SEARCH("Conocer",$R232))/(ISNUMBER(SEARCH("Conocer",$R232))+ISNUMBER(SEARCH("Aplicar",$R232))+ISNUMBER(SEARCH("Razonar",$R232))),0)</f>
        <v>0</v>
      </c>
      <c r="T232" s="28" t="n">
        <f aca="false">IFERROR(ISNUMBER(SEARCH("Aplicar",$R232))/(ISNUMBER(SEARCH("Conocer",$R232))+ISNUMBER(SEARCH("Aplicar",$R232))+ISNUMBER(SEARCH("Razonar",$R232))),0)</f>
        <v>0.5</v>
      </c>
      <c r="U232" s="28" t="n">
        <f aca="false">IFERROR(ISNUMBER(SEARCH("Razonar",$R232))/(ISNUMBER(SEARCH("Conocer",$R232))+ISNUMBER(SEARCH("Aplicar",$R232))+ISNUMBER(SEARCH("Razonar",$R232))),0)</f>
        <v>0.5</v>
      </c>
      <c r="V232" s="8" t="s">
        <v>48</v>
      </c>
      <c r="W232" s="8" t="s">
        <v>67</v>
      </c>
    </row>
    <row r="233" customFormat="false" ht="15" hidden="false" customHeight="false" outlineLevel="0" collapsed="false">
      <c r="A233" s="8" t="s">
        <v>1373</v>
      </c>
      <c r="B233" s="8" t="n">
        <v>5</v>
      </c>
      <c r="C233" s="8" t="s">
        <v>411</v>
      </c>
      <c r="D233" s="8" t="s">
        <v>1285</v>
      </c>
      <c r="E233" s="8" t="s">
        <v>1327</v>
      </c>
      <c r="F233" s="8" t="n">
        <v>14</v>
      </c>
      <c r="G233" s="8" t="s">
        <v>1328</v>
      </c>
      <c r="H233" s="8" t="s">
        <v>1374</v>
      </c>
      <c r="I233" s="27" t="s">
        <v>1375</v>
      </c>
      <c r="J233" s="8" t="s">
        <v>185</v>
      </c>
      <c r="K233" s="8" t="s">
        <v>247</v>
      </c>
      <c r="L233" s="8"/>
      <c r="M233" s="8" t="str">
        <f aca="false">IF(K233="FUERA","Fuera del marco",IF(K233="N/A","Sin marco",IFERROR(INDEX(Catalogo_TIMSS!$C$5:$C$105,MATCH(K233,Catalogo_TIMSS!$A$5:$A$105,0)),"Pendiente de clasificar")))</f>
        <v>Física</v>
      </c>
      <c r="N233" s="8" t="str">
        <f aca="false">IF(K233="FUERA","Fuera del marco",IF(K233="N/A","Sin marco",IFERROR(INDEX(Catalogo_TIMSS!$F$5:$F$105,MATCH(K233,Catalogo_TIMSS!$A$5:$A$105,0)),"Pendiente de clasificar")))</f>
        <v>Transformación y transferencia de energía</v>
      </c>
      <c r="O233" s="8" t="str">
        <f aca="false">IF(L233="","",IFERROR(INDEX(Catalogo_TIMSS!$C$5:$C$105,MATCH(L233,Catalogo_TIMSS!$A$5:$A$105,0)),"?"))</f>
        <v/>
      </c>
      <c r="P233" s="8" t="s">
        <v>418</v>
      </c>
      <c r="Q233" s="27" t="s">
        <v>1376</v>
      </c>
      <c r="R233" s="27" t="s">
        <v>1377</v>
      </c>
      <c r="S233" s="28" t="n">
        <f aca="false">IFERROR(ISNUMBER(SEARCH("Conocer",$R233))/(ISNUMBER(SEARCH("Conocer",$R233))+ISNUMBER(SEARCH("Aplicar",$R233))+ISNUMBER(SEARCH("Razonar",$R233))),0)</f>
        <v>0</v>
      </c>
      <c r="T233" s="28" t="n">
        <f aca="false">IFERROR(ISNUMBER(SEARCH("Aplicar",$R233))/(ISNUMBER(SEARCH("Conocer",$R233))+ISNUMBER(SEARCH("Aplicar",$R233))+ISNUMBER(SEARCH("Razonar",$R233))),0)</f>
        <v>0.5</v>
      </c>
      <c r="U233" s="28" t="n">
        <f aca="false">IFERROR(ISNUMBER(SEARCH("Razonar",$R233))/(ISNUMBER(SEARCH("Conocer",$R233))+ISNUMBER(SEARCH("Aplicar",$R233))+ISNUMBER(SEARCH("Razonar",$R233))),0)</f>
        <v>0.5</v>
      </c>
      <c r="V233" s="8" t="s">
        <v>48</v>
      </c>
      <c r="W233" s="8" t="s">
        <v>67</v>
      </c>
    </row>
    <row r="234" customFormat="false" ht="15" hidden="false" customHeight="false" outlineLevel="0" collapsed="false">
      <c r="A234" s="8" t="s">
        <v>1378</v>
      </c>
      <c r="B234" s="8" t="n">
        <v>5</v>
      </c>
      <c r="C234" s="8" t="s">
        <v>411</v>
      </c>
      <c r="D234" s="8" t="s">
        <v>1285</v>
      </c>
      <c r="E234" s="8" t="s">
        <v>1327</v>
      </c>
      <c r="F234" s="8" t="n">
        <v>15</v>
      </c>
      <c r="G234" s="8" t="s">
        <v>1328</v>
      </c>
      <c r="H234" s="8" t="s">
        <v>1374</v>
      </c>
      <c r="I234" s="27" t="s">
        <v>1379</v>
      </c>
      <c r="J234" s="8" t="s">
        <v>185</v>
      </c>
      <c r="K234" s="8" t="s">
        <v>247</v>
      </c>
      <c r="L234" s="8" t="s">
        <v>264</v>
      </c>
      <c r="M234" s="8" t="str">
        <f aca="false">IF(K234="FUERA","Fuera del marco",IF(K234="N/A","Sin marco",IFERROR(INDEX(Catalogo_TIMSS!$C$5:$C$105,MATCH(K234,Catalogo_TIMSS!$A$5:$A$105,0)),"Pendiente de clasificar")))</f>
        <v>Física</v>
      </c>
      <c r="N234" s="8" t="str">
        <f aca="false">IF(K234="FUERA","Fuera del marco",IF(K234="N/A","Sin marco",IFERROR(INDEX(Catalogo_TIMSS!$F$5:$F$105,MATCH(K234,Catalogo_TIMSS!$A$5:$A$105,0)),"Pendiente de clasificar")))</f>
        <v>Transformación y transferencia de energía</v>
      </c>
      <c r="O234" s="8" t="str">
        <f aca="false">IF(L234="","",IFERROR(INDEX(Catalogo_TIMSS!$C$5:$C$105,MATCH(L234,Catalogo_TIMSS!$A$5:$A$105,0)),"?"))</f>
        <v>Física</v>
      </c>
      <c r="P234" s="8" t="s">
        <v>460</v>
      </c>
      <c r="Q234" s="27" t="s">
        <v>1380</v>
      </c>
      <c r="R234" s="27" t="s">
        <v>1381</v>
      </c>
      <c r="S234" s="28" t="n">
        <f aca="false">IFERROR(ISNUMBER(SEARCH("Conocer",$R234))/(ISNUMBER(SEARCH("Conocer",$R234))+ISNUMBER(SEARCH("Aplicar",$R234))+ISNUMBER(SEARCH("Razonar",$R234))),0)</f>
        <v>0</v>
      </c>
      <c r="T234" s="28" t="n">
        <f aca="false">IFERROR(ISNUMBER(SEARCH("Aplicar",$R234))/(ISNUMBER(SEARCH("Conocer",$R234))+ISNUMBER(SEARCH("Aplicar",$R234))+ISNUMBER(SEARCH("Razonar",$R234))),0)</f>
        <v>0.5</v>
      </c>
      <c r="U234" s="28" t="n">
        <f aca="false">IFERROR(ISNUMBER(SEARCH("Razonar",$R234))/(ISNUMBER(SEARCH("Conocer",$R234))+ISNUMBER(SEARCH("Aplicar",$R234))+ISNUMBER(SEARCH("Razonar",$R234))),0)</f>
        <v>0.5</v>
      </c>
      <c r="V234" s="8" t="s">
        <v>48</v>
      </c>
      <c r="W234" s="8" t="s">
        <v>67</v>
      </c>
    </row>
    <row r="235" customFormat="false" ht="15" hidden="false" customHeight="false" outlineLevel="0" collapsed="false">
      <c r="A235" s="8" t="s">
        <v>1382</v>
      </c>
      <c r="B235" s="8" t="n">
        <v>5</v>
      </c>
      <c r="C235" s="8" t="s">
        <v>411</v>
      </c>
      <c r="D235" s="8" t="s">
        <v>1285</v>
      </c>
      <c r="E235" s="8" t="s">
        <v>1327</v>
      </c>
      <c r="F235" s="8" t="n">
        <v>16</v>
      </c>
      <c r="G235" s="8" t="s">
        <v>1328</v>
      </c>
      <c r="H235" s="8" t="s">
        <v>1374</v>
      </c>
      <c r="I235" s="27" t="s">
        <v>1383</v>
      </c>
      <c r="J235" s="8" t="s">
        <v>185</v>
      </c>
      <c r="K235" s="8" t="s">
        <v>247</v>
      </c>
      <c r="L235" s="8"/>
      <c r="M235" s="8" t="str">
        <f aca="false">IF(K235="FUERA","Fuera del marco",IF(K235="N/A","Sin marco",IFERROR(INDEX(Catalogo_TIMSS!$C$5:$C$105,MATCH(K235,Catalogo_TIMSS!$A$5:$A$105,0)),"Pendiente de clasificar")))</f>
        <v>Física</v>
      </c>
      <c r="N235" s="8" t="str">
        <f aca="false">IF(K235="FUERA","Fuera del marco",IF(K235="N/A","Sin marco",IFERROR(INDEX(Catalogo_TIMSS!$F$5:$F$105,MATCH(K235,Catalogo_TIMSS!$A$5:$A$105,0)),"Pendiente de clasificar")))</f>
        <v>Transformación y transferencia de energía</v>
      </c>
      <c r="O235" s="8" t="str">
        <f aca="false">IF(L235="","",IFERROR(INDEX(Catalogo_TIMSS!$C$5:$C$105,MATCH(L235,Catalogo_TIMSS!$A$5:$A$105,0)),"?"))</f>
        <v/>
      </c>
      <c r="P235" s="8" t="s">
        <v>418</v>
      </c>
      <c r="Q235" s="27" t="s">
        <v>1384</v>
      </c>
      <c r="R235" s="27" t="s">
        <v>848</v>
      </c>
      <c r="S235" s="28" t="n">
        <f aca="false">IFERROR(ISNUMBER(SEARCH("Conocer",$R235))/(ISNUMBER(SEARCH("Conocer",$R235))+ISNUMBER(SEARCH("Aplicar",$R235))+ISNUMBER(SEARCH("Razonar",$R235))),0)</f>
        <v>0</v>
      </c>
      <c r="T235" s="28" t="n">
        <f aca="false">IFERROR(ISNUMBER(SEARCH("Aplicar",$R235))/(ISNUMBER(SEARCH("Conocer",$R235))+ISNUMBER(SEARCH("Aplicar",$R235))+ISNUMBER(SEARCH("Razonar",$R235))),0)</f>
        <v>0.5</v>
      </c>
      <c r="U235" s="28" t="n">
        <f aca="false">IFERROR(ISNUMBER(SEARCH("Razonar",$R235))/(ISNUMBER(SEARCH("Conocer",$R235))+ISNUMBER(SEARCH("Aplicar",$R235))+ISNUMBER(SEARCH("Razonar",$R235))),0)</f>
        <v>0.5</v>
      </c>
      <c r="V235" s="8" t="s">
        <v>48</v>
      </c>
      <c r="W235" s="8" t="s">
        <v>67</v>
      </c>
    </row>
    <row r="236" customFormat="false" ht="15" hidden="false" customHeight="false" outlineLevel="0" collapsed="false">
      <c r="A236" s="8" t="s">
        <v>1385</v>
      </c>
      <c r="B236" s="8" t="n">
        <v>5</v>
      </c>
      <c r="C236" s="8" t="s">
        <v>411</v>
      </c>
      <c r="D236" s="8" t="s">
        <v>1285</v>
      </c>
      <c r="E236" s="8" t="s">
        <v>1327</v>
      </c>
      <c r="F236" s="8" t="n">
        <v>17</v>
      </c>
      <c r="G236" s="8" t="s">
        <v>1328</v>
      </c>
      <c r="H236" s="8" t="s">
        <v>1374</v>
      </c>
      <c r="I236" s="27" t="s">
        <v>1386</v>
      </c>
      <c r="J236" s="8" t="s">
        <v>185</v>
      </c>
      <c r="K236" s="8" t="s">
        <v>247</v>
      </c>
      <c r="L236" s="8"/>
      <c r="M236" s="8" t="str">
        <f aca="false">IF(K236="FUERA","Fuera del marco",IF(K236="N/A","Sin marco",IFERROR(INDEX(Catalogo_TIMSS!$C$5:$C$105,MATCH(K236,Catalogo_TIMSS!$A$5:$A$105,0)),"Pendiente de clasificar")))</f>
        <v>Física</v>
      </c>
      <c r="N236" s="8" t="str">
        <f aca="false">IF(K236="FUERA","Fuera del marco",IF(K236="N/A","Sin marco",IFERROR(INDEX(Catalogo_TIMSS!$F$5:$F$105,MATCH(K236,Catalogo_TIMSS!$A$5:$A$105,0)),"Pendiente de clasificar")))</f>
        <v>Transformación y transferencia de energía</v>
      </c>
      <c r="O236" s="8" t="str">
        <f aca="false">IF(L236="","",IFERROR(INDEX(Catalogo_TIMSS!$C$5:$C$105,MATCH(L236,Catalogo_TIMSS!$A$5:$A$105,0)),"?"))</f>
        <v/>
      </c>
      <c r="P236" s="8" t="s">
        <v>418</v>
      </c>
      <c r="Q236" s="27" t="s">
        <v>1387</v>
      </c>
      <c r="R236" s="27" t="s">
        <v>1388</v>
      </c>
      <c r="S236" s="28" t="n">
        <f aca="false">IFERROR(ISNUMBER(SEARCH("Conocer",$R236))/(ISNUMBER(SEARCH("Conocer",$R236))+ISNUMBER(SEARCH("Aplicar",$R236))+ISNUMBER(SEARCH("Razonar",$R236))),0)</f>
        <v>0</v>
      </c>
      <c r="T236" s="28" t="n">
        <f aca="false">IFERROR(ISNUMBER(SEARCH("Aplicar",$R236))/(ISNUMBER(SEARCH("Conocer",$R236))+ISNUMBER(SEARCH("Aplicar",$R236))+ISNUMBER(SEARCH("Razonar",$R236))),0)</f>
        <v>0.5</v>
      </c>
      <c r="U236" s="28" t="n">
        <f aca="false">IFERROR(ISNUMBER(SEARCH("Razonar",$R236))/(ISNUMBER(SEARCH("Conocer",$R236))+ISNUMBER(SEARCH("Aplicar",$R236))+ISNUMBER(SEARCH("Razonar",$R236))),0)</f>
        <v>0.5</v>
      </c>
      <c r="V236" s="8" t="s">
        <v>48</v>
      </c>
      <c r="W236" s="8" t="s">
        <v>67</v>
      </c>
    </row>
    <row r="237" customFormat="false" ht="15" hidden="false" customHeight="false" outlineLevel="0" collapsed="false">
      <c r="A237" s="8" t="s">
        <v>1389</v>
      </c>
      <c r="B237" s="8" t="n">
        <v>5</v>
      </c>
      <c r="C237" s="8" t="s">
        <v>411</v>
      </c>
      <c r="D237" s="8" t="s">
        <v>1285</v>
      </c>
      <c r="E237" s="8" t="s">
        <v>1390</v>
      </c>
      <c r="F237" s="8" t="n">
        <v>3</v>
      </c>
      <c r="G237" s="8" t="s">
        <v>1391</v>
      </c>
      <c r="H237" s="8" t="s">
        <v>1392</v>
      </c>
      <c r="I237" s="27" t="s">
        <v>1393</v>
      </c>
      <c r="J237" s="8" t="s">
        <v>185</v>
      </c>
      <c r="K237" s="8" t="s">
        <v>219</v>
      </c>
      <c r="L237" s="8"/>
      <c r="M237" s="8" t="str">
        <f aca="false">IF(K237="FUERA","Fuera del marco",IF(K237="N/A","Sin marco",IFERROR(INDEX(Catalogo_TIMSS!$C$5:$C$105,MATCH(K237,Catalogo_TIMSS!$A$5:$A$105,0)),"Pendiente de clasificar")))</f>
        <v>Química</v>
      </c>
      <c r="N237" s="8" t="str">
        <f aca="false">IF(K237="FUERA","Fuera del marco",IF(K237="N/A","Sin marco",IFERROR(INDEX(Catalogo_TIMSS!$F$5:$F$105,MATCH(K237,Catalogo_TIMSS!$A$5:$A$105,0)),"Pendiente de clasificar")))</f>
        <v>Composición de la materia</v>
      </c>
      <c r="O237" s="8" t="str">
        <f aca="false">IF(L237="","",IFERROR(INDEX(Catalogo_TIMSS!$C$5:$C$105,MATCH(L237,Catalogo_TIMSS!$A$5:$A$105,0)),"?"))</f>
        <v/>
      </c>
      <c r="P237" s="8" t="s">
        <v>418</v>
      </c>
      <c r="Q237" s="27" t="s">
        <v>1394</v>
      </c>
      <c r="R237" s="27" t="s">
        <v>1032</v>
      </c>
      <c r="S237" s="28" t="n">
        <f aca="false">IFERROR(ISNUMBER(SEARCH("Conocer",$R237))/(ISNUMBER(SEARCH("Conocer",$R237))+ISNUMBER(SEARCH("Aplicar",$R237))+ISNUMBER(SEARCH("Razonar",$R237))),0)</f>
        <v>1</v>
      </c>
      <c r="T237" s="28" t="n">
        <f aca="false">IFERROR(ISNUMBER(SEARCH("Aplicar",$R237))/(ISNUMBER(SEARCH("Conocer",$R237))+ISNUMBER(SEARCH("Aplicar",$R237))+ISNUMBER(SEARCH("Razonar",$R237))),0)</f>
        <v>0</v>
      </c>
      <c r="U237" s="28" t="n">
        <f aca="false">IFERROR(ISNUMBER(SEARCH("Razonar",$R237))/(ISNUMBER(SEARCH("Conocer",$R237))+ISNUMBER(SEARCH("Aplicar",$R237))+ISNUMBER(SEARCH("Razonar",$R237))),0)</f>
        <v>0</v>
      </c>
      <c r="V237" s="8" t="s">
        <v>48</v>
      </c>
      <c r="W237" s="8" t="s">
        <v>67</v>
      </c>
    </row>
    <row r="238" customFormat="false" ht="15" hidden="false" customHeight="false" outlineLevel="0" collapsed="false">
      <c r="A238" s="8" t="s">
        <v>1395</v>
      </c>
      <c r="B238" s="8" t="n">
        <v>5</v>
      </c>
      <c r="C238" s="8" t="s">
        <v>411</v>
      </c>
      <c r="D238" s="8" t="s">
        <v>1285</v>
      </c>
      <c r="E238" s="8" t="s">
        <v>1390</v>
      </c>
      <c r="F238" s="8" t="n">
        <v>4</v>
      </c>
      <c r="G238" s="8" t="s">
        <v>1391</v>
      </c>
      <c r="H238" s="8" t="s">
        <v>1392</v>
      </c>
      <c r="I238" s="27" t="s">
        <v>1396</v>
      </c>
      <c r="J238" s="8" t="s">
        <v>185</v>
      </c>
      <c r="K238" s="8" t="s">
        <v>219</v>
      </c>
      <c r="L238" s="8"/>
      <c r="M238" s="8" t="str">
        <f aca="false">IF(K238="FUERA","Fuera del marco",IF(K238="N/A","Sin marco",IFERROR(INDEX(Catalogo_TIMSS!$C$5:$C$105,MATCH(K238,Catalogo_TIMSS!$A$5:$A$105,0)),"Pendiente de clasificar")))</f>
        <v>Química</v>
      </c>
      <c r="N238" s="8" t="str">
        <f aca="false">IF(K238="FUERA","Fuera del marco",IF(K238="N/A","Sin marco",IFERROR(INDEX(Catalogo_TIMSS!$F$5:$F$105,MATCH(K238,Catalogo_TIMSS!$A$5:$A$105,0)),"Pendiente de clasificar")))</f>
        <v>Composición de la materia</v>
      </c>
      <c r="O238" s="8" t="str">
        <f aca="false">IF(L238="","",IFERROR(INDEX(Catalogo_TIMSS!$C$5:$C$105,MATCH(L238,Catalogo_TIMSS!$A$5:$A$105,0)),"?"))</f>
        <v/>
      </c>
      <c r="P238" s="8" t="s">
        <v>418</v>
      </c>
      <c r="Q238" s="27" t="s">
        <v>1397</v>
      </c>
      <c r="R238" s="27" t="s">
        <v>1160</v>
      </c>
      <c r="S238" s="28" t="n">
        <f aca="false">IFERROR(ISNUMBER(SEARCH("Conocer",$R238))/(ISNUMBER(SEARCH("Conocer",$R238))+ISNUMBER(SEARCH("Aplicar",$R238))+ISNUMBER(SEARCH("Razonar",$R238))),0)</f>
        <v>0</v>
      </c>
      <c r="T238" s="28" t="n">
        <f aca="false">IFERROR(ISNUMBER(SEARCH("Aplicar",$R238))/(ISNUMBER(SEARCH("Conocer",$R238))+ISNUMBER(SEARCH("Aplicar",$R238))+ISNUMBER(SEARCH("Razonar",$R238))),0)</f>
        <v>0.5</v>
      </c>
      <c r="U238" s="28" t="n">
        <f aca="false">IFERROR(ISNUMBER(SEARCH("Razonar",$R238))/(ISNUMBER(SEARCH("Conocer",$R238))+ISNUMBER(SEARCH("Aplicar",$R238))+ISNUMBER(SEARCH("Razonar",$R238))),0)</f>
        <v>0.5</v>
      </c>
      <c r="V238" s="8" t="s">
        <v>48</v>
      </c>
      <c r="W238" s="8" t="s">
        <v>67</v>
      </c>
    </row>
    <row r="239" customFormat="false" ht="15" hidden="false" customHeight="false" outlineLevel="0" collapsed="false">
      <c r="A239" s="8" t="s">
        <v>1398</v>
      </c>
      <c r="B239" s="8" t="n">
        <v>5</v>
      </c>
      <c r="C239" s="8" t="s">
        <v>411</v>
      </c>
      <c r="D239" s="8" t="s">
        <v>1285</v>
      </c>
      <c r="E239" s="8" t="s">
        <v>1390</v>
      </c>
      <c r="F239" s="8" t="n">
        <v>5</v>
      </c>
      <c r="G239" s="8" t="s">
        <v>1391</v>
      </c>
      <c r="H239" s="8" t="s">
        <v>1392</v>
      </c>
      <c r="I239" s="27" t="s">
        <v>1399</v>
      </c>
      <c r="J239" s="8" t="s">
        <v>185</v>
      </c>
      <c r="K239" s="8" t="s">
        <v>219</v>
      </c>
      <c r="L239" s="8"/>
      <c r="M239" s="8" t="str">
        <f aca="false">IF(K239="FUERA","Fuera del marco",IF(K239="N/A","Sin marco",IFERROR(INDEX(Catalogo_TIMSS!$C$5:$C$105,MATCH(K239,Catalogo_TIMSS!$A$5:$A$105,0)),"Pendiente de clasificar")))</f>
        <v>Química</v>
      </c>
      <c r="N239" s="8" t="str">
        <f aca="false">IF(K239="FUERA","Fuera del marco",IF(K239="N/A","Sin marco",IFERROR(INDEX(Catalogo_TIMSS!$F$5:$F$105,MATCH(K239,Catalogo_TIMSS!$A$5:$A$105,0)),"Pendiente de clasificar")))</f>
        <v>Composición de la materia</v>
      </c>
      <c r="O239" s="8" t="str">
        <f aca="false">IF(L239="","",IFERROR(INDEX(Catalogo_TIMSS!$C$5:$C$105,MATCH(L239,Catalogo_TIMSS!$A$5:$A$105,0)),"?"))</f>
        <v/>
      </c>
      <c r="P239" s="8" t="s">
        <v>418</v>
      </c>
      <c r="Q239" s="27" t="s">
        <v>1400</v>
      </c>
      <c r="R239" s="27" t="s">
        <v>1258</v>
      </c>
      <c r="S239" s="28" t="n">
        <f aca="false">IFERROR(ISNUMBER(SEARCH("Conocer",$R239))/(ISNUMBER(SEARCH("Conocer",$R239))+ISNUMBER(SEARCH("Aplicar",$R239))+ISNUMBER(SEARCH("Razonar",$R239))),0)</f>
        <v>0</v>
      </c>
      <c r="T239" s="28" t="n">
        <f aca="false">IFERROR(ISNUMBER(SEARCH("Aplicar",$R239))/(ISNUMBER(SEARCH("Conocer",$R239))+ISNUMBER(SEARCH("Aplicar",$R239))+ISNUMBER(SEARCH("Razonar",$R239))),0)</f>
        <v>1</v>
      </c>
      <c r="U239" s="28" t="n">
        <f aca="false">IFERROR(ISNUMBER(SEARCH("Razonar",$R239))/(ISNUMBER(SEARCH("Conocer",$R239))+ISNUMBER(SEARCH("Aplicar",$R239))+ISNUMBER(SEARCH("Razonar",$R239))),0)</f>
        <v>0</v>
      </c>
      <c r="V239" s="8" t="s">
        <v>48</v>
      </c>
      <c r="W239" s="8" t="s">
        <v>67</v>
      </c>
    </row>
    <row r="240" customFormat="false" ht="15" hidden="false" customHeight="false" outlineLevel="0" collapsed="false">
      <c r="A240" s="8" t="s">
        <v>1401</v>
      </c>
      <c r="B240" s="8" t="n">
        <v>5</v>
      </c>
      <c r="C240" s="8" t="s">
        <v>411</v>
      </c>
      <c r="D240" s="8" t="s">
        <v>1285</v>
      </c>
      <c r="E240" s="8" t="s">
        <v>1390</v>
      </c>
      <c r="F240" s="8" t="n">
        <v>6</v>
      </c>
      <c r="G240" s="8" t="s">
        <v>1391</v>
      </c>
      <c r="H240" s="8" t="s">
        <v>1392</v>
      </c>
      <c r="I240" s="27" t="s">
        <v>1402</v>
      </c>
      <c r="J240" s="8" t="s">
        <v>185</v>
      </c>
      <c r="K240" s="8" t="s">
        <v>219</v>
      </c>
      <c r="L240" s="8"/>
      <c r="M240" s="8" t="str">
        <f aca="false">IF(K240="FUERA","Fuera del marco",IF(K240="N/A","Sin marco",IFERROR(INDEX(Catalogo_TIMSS!$C$5:$C$105,MATCH(K240,Catalogo_TIMSS!$A$5:$A$105,0)),"Pendiente de clasificar")))</f>
        <v>Química</v>
      </c>
      <c r="N240" s="8" t="str">
        <f aca="false">IF(K240="FUERA","Fuera del marco",IF(K240="N/A","Sin marco",IFERROR(INDEX(Catalogo_TIMSS!$F$5:$F$105,MATCH(K240,Catalogo_TIMSS!$A$5:$A$105,0)),"Pendiente de clasificar")))</f>
        <v>Composición de la materia</v>
      </c>
      <c r="O240" s="8" t="str">
        <f aca="false">IF(L240="","",IFERROR(INDEX(Catalogo_TIMSS!$C$5:$C$105,MATCH(L240,Catalogo_TIMSS!$A$5:$A$105,0)),"?"))</f>
        <v/>
      </c>
      <c r="P240" s="8" t="s">
        <v>418</v>
      </c>
      <c r="Q240" s="27" t="s">
        <v>1403</v>
      </c>
      <c r="R240" s="27" t="s">
        <v>1404</v>
      </c>
      <c r="S240" s="28" t="n">
        <f aca="false">IFERROR(ISNUMBER(SEARCH("Conocer",$R240))/(ISNUMBER(SEARCH("Conocer",$R240))+ISNUMBER(SEARCH("Aplicar",$R240))+ISNUMBER(SEARCH("Razonar",$R240))),0)</f>
        <v>0</v>
      </c>
      <c r="T240" s="28" t="n">
        <f aca="false">IFERROR(ISNUMBER(SEARCH("Aplicar",$R240))/(ISNUMBER(SEARCH("Conocer",$R240))+ISNUMBER(SEARCH("Aplicar",$R240))+ISNUMBER(SEARCH("Razonar",$R240))),0)</f>
        <v>1</v>
      </c>
      <c r="U240" s="28" t="n">
        <f aca="false">IFERROR(ISNUMBER(SEARCH("Razonar",$R240))/(ISNUMBER(SEARCH("Conocer",$R240))+ISNUMBER(SEARCH("Aplicar",$R240))+ISNUMBER(SEARCH("Razonar",$R240))),0)</f>
        <v>0</v>
      </c>
      <c r="V240" s="8" t="s">
        <v>48</v>
      </c>
      <c r="W240" s="8" t="s">
        <v>67</v>
      </c>
    </row>
    <row r="241" customFormat="false" ht="15" hidden="false" customHeight="false" outlineLevel="0" collapsed="false">
      <c r="A241" s="8" t="s">
        <v>1405</v>
      </c>
      <c r="B241" s="8" t="n">
        <v>5</v>
      </c>
      <c r="C241" s="8" t="s">
        <v>411</v>
      </c>
      <c r="D241" s="8" t="s">
        <v>1285</v>
      </c>
      <c r="E241" s="8" t="s">
        <v>1390</v>
      </c>
      <c r="F241" s="8" t="n">
        <v>7</v>
      </c>
      <c r="G241" s="8" t="s">
        <v>1391</v>
      </c>
      <c r="H241" s="8" t="s">
        <v>1392</v>
      </c>
      <c r="I241" s="27" t="s">
        <v>1406</v>
      </c>
      <c r="J241" s="8" t="s">
        <v>185</v>
      </c>
      <c r="K241" s="8" t="s">
        <v>219</v>
      </c>
      <c r="L241" s="8" t="s">
        <v>224</v>
      </c>
      <c r="M241" s="8" t="str">
        <f aca="false">IF(K241="FUERA","Fuera del marco",IF(K241="N/A","Sin marco",IFERROR(INDEX(Catalogo_TIMSS!$C$5:$C$105,MATCH(K241,Catalogo_TIMSS!$A$5:$A$105,0)),"Pendiente de clasificar")))</f>
        <v>Química</v>
      </c>
      <c r="N241" s="8" t="str">
        <f aca="false">IF(K241="FUERA","Fuera del marco",IF(K241="N/A","Sin marco",IFERROR(INDEX(Catalogo_TIMSS!$F$5:$F$105,MATCH(K241,Catalogo_TIMSS!$A$5:$A$105,0)),"Pendiente de clasificar")))</f>
        <v>Composición de la materia</v>
      </c>
      <c r="O241" s="8" t="str">
        <f aca="false">IF(L241="","",IFERROR(INDEX(Catalogo_TIMSS!$C$5:$C$105,MATCH(L241,Catalogo_TIMSS!$A$5:$A$105,0)),"?"))</f>
        <v>Química</v>
      </c>
      <c r="P241" s="8" t="s">
        <v>418</v>
      </c>
      <c r="Q241" s="27" t="s">
        <v>1407</v>
      </c>
      <c r="R241" s="27" t="s">
        <v>1408</v>
      </c>
      <c r="S241" s="28" t="n">
        <f aca="false">IFERROR(ISNUMBER(SEARCH("Conocer",$R241))/(ISNUMBER(SEARCH("Conocer",$R241))+ISNUMBER(SEARCH("Aplicar",$R241))+ISNUMBER(SEARCH("Razonar",$R241))),0)</f>
        <v>0</v>
      </c>
      <c r="T241" s="28" t="n">
        <f aca="false">IFERROR(ISNUMBER(SEARCH("Aplicar",$R241))/(ISNUMBER(SEARCH("Conocer",$R241))+ISNUMBER(SEARCH("Aplicar",$R241))+ISNUMBER(SEARCH("Razonar",$R241))),0)</f>
        <v>1</v>
      </c>
      <c r="U241" s="28" t="n">
        <f aca="false">IFERROR(ISNUMBER(SEARCH("Razonar",$R241))/(ISNUMBER(SEARCH("Conocer",$R241))+ISNUMBER(SEARCH("Aplicar",$R241))+ISNUMBER(SEARCH("Razonar",$R241))),0)</f>
        <v>0</v>
      </c>
      <c r="V241" s="8" t="s">
        <v>48</v>
      </c>
      <c r="W241" s="8" t="s">
        <v>67</v>
      </c>
    </row>
    <row r="242" customFormat="false" ht="15" hidden="false" customHeight="false" outlineLevel="0" collapsed="false">
      <c r="A242" s="8" t="s">
        <v>1409</v>
      </c>
      <c r="B242" s="8" t="n">
        <v>5</v>
      </c>
      <c r="C242" s="8" t="s">
        <v>411</v>
      </c>
      <c r="D242" s="8" t="s">
        <v>1285</v>
      </c>
      <c r="E242" s="8" t="s">
        <v>1390</v>
      </c>
      <c r="F242" s="8" t="n">
        <v>8</v>
      </c>
      <c r="G242" s="8" t="s">
        <v>1391</v>
      </c>
      <c r="H242" s="8" t="s">
        <v>1410</v>
      </c>
      <c r="I242" s="27" t="s">
        <v>1411</v>
      </c>
      <c r="J242" s="8" t="s">
        <v>185</v>
      </c>
      <c r="K242" s="8" t="s">
        <v>219</v>
      </c>
      <c r="L242" s="8"/>
      <c r="M242" s="8" t="str">
        <f aca="false">IF(K242="FUERA","Fuera del marco",IF(K242="N/A","Sin marco",IFERROR(INDEX(Catalogo_TIMSS!$C$5:$C$105,MATCH(K242,Catalogo_TIMSS!$A$5:$A$105,0)),"Pendiente de clasificar")))</f>
        <v>Química</v>
      </c>
      <c r="N242" s="8" t="str">
        <f aca="false">IF(K242="FUERA","Fuera del marco",IF(K242="N/A","Sin marco",IFERROR(INDEX(Catalogo_TIMSS!$F$5:$F$105,MATCH(K242,Catalogo_TIMSS!$A$5:$A$105,0)),"Pendiente de clasificar")))</f>
        <v>Composición de la materia</v>
      </c>
      <c r="O242" s="8" t="str">
        <f aca="false">IF(L242="","",IFERROR(INDEX(Catalogo_TIMSS!$C$5:$C$105,MATCH(L242,Catalogo_TIMSS!$A$5:$A$105,0)),"?"))</f>
        <v/>
      </c>
      <c r="P242" s="8" t="s">
        <v>513</v>
      </c>
      <c r="Q242" s="27" t="s">
        <v>1412</v>
      </c>
      <c r="R242" s="27" t="s">
        <v>1413</v>
      </c>
      <c r="S242" s="28" t="n">
        <f aca="false">IFERROR(ISNUMBER(SEARCH("Conocer",$R242))/(ISNUMBER(SEARCH("Conocer",$R242))+ISNUMBER(SEARCH("Aplicar",$R242))+ISNUMBER(SEARCH("Razonar",$R242))),0)</f>
        <v>0</v>
      </c>
      <c r="T242" s="28" t="n">
        <f aca="false">IFERROR(ISNUMBER(SEARCH("Aplicar",$R242))/(ISNUMBER(SEARCH("Conocer",$R242))+ISNUMBER(SEARCH("Aplicar",$R242))+ISNUMBER(SEARCH("Razonar",$R242))),0)</f>
        <v>0.5</v>
      </c>
      <c r="U242" s="28" t="n">
        <f aca="false">IFERROR(ISNUMBER(SEARCH("Razonar",$R242))/(ISNUMBER(SEARCH("Conocer",$R242))+ISNUMBER(SEARCH("Aplicar",$R242))+ISNUMBER(SEARCH("Razonar",$R242))),0)</f>
        <v>0.5</v>
      </c>
      <c r="V242" s="8" t="s">
        <v>48</v>
      </c>
      <c r="W242" s="8" t="s">
        <v>67</v>
      </c>
    </row>
    <row r="243" customFormat="false" ht="15" hidden="false" customHeight="false" outlineLevel="0" collapsed="false">
      <c r="A243" s="8" t="s">
        <v>1414</v>
      </c>
      <c r="B243" s="8" t="n">
        <v>5</v>
      </c>
      <c r="C243" s="8" t="s">
        <v>411</v>
      </c>
      <c r="D243" s="8" t="s">
        <v>1285</v>
      </c>
      <c r="E243" s="8" t="s">
        <v>1390</v>
      </c>
      <c r="F243" s="8" t="n">
        <v>9</v>
      </c>
      <c r="G243" s="8" t="s">
        <v>1391</v>
      </c>
      <c r="H243" s="8" t="s">
        <v>1410</v>
      </c>
      <c r="I243" s="27" t="s">
        <v>1415</v>
      </c>
      <c r="J243" s="8" t="s">
        <v>185</v>
      </c>
      <c r="K243" s="8" t="s">
        <v>219</v>
      </c>
      <c r="L243" s="8" t="s">
        <v>240</v>
      </c>
      <c r="M243" s="8" t="str">
        <f aca="false">IF(K243="FUERA","Fuera del marco",IF(K243="N/A","Sin marco",IFERROR(INDEX(Catalogo_TIMSS!$C$5:$C$105,MATCH(K243,Catalogo_TIMSS!$A$5:$A$105,0)),"Pendiente de clasificar")))</f>
        <v>Química</v>
      </c>
      <c r="N243" s="8" t="str">
        <f aca="false">IF(K243="FUERA","Fuera del marco",IF(K243="N/A","Sin marco",IFERROR(INDEX(Catalogo_TIMSS!$F$5:$F$105,MATCH(K243,Catalogo_TIMSS!$A$5:$A$105,0)),"Pendiente de clasificar")))</f>
        <v>Composición de la materia</v>
      </c>
      <c r="O243" s="8" t="str">
        <f aca="false">IF(L243="","",IFERROR(INDEX(Catalogo_TIMSS!$C$5:$C$105,MATCH(L243,Catalogo_TIMSS!$A$5:$A$105,0)),"?"))</f>
        <v>Química</v>
      </c>
      <c r="P243" s="8" t="s">
        <v>460</v>
      </c>
      <c r="Q243" s="27" t="s">
        <v>1416</v>
      </c>
      <c r="R243" s="27" t="s">
        <v>1417</v>
      </c>
      <c r="S243" s="28" t="n">
        <f aca="false">IFERROR(ISNUMBER(SEARCH("Conocer",$R243))/(ISNUMBER(SEARCH("Conocer",$R243))+ISNUMBER(SEARCH("Aplicar",$R243))+ISNUMBER(SEARCH("Razonar",$R243))),0)</f>
        <v>0</v>
      </c>
      <c r="T243" s="28" t="n">
        <f aca="false">IFERROR(ISNUMBER(SEARCH("Aplicar",$R243))/(ISNUMBER(SEARCH("Conocer",$R243))+ISNUMBER(SEARCH("Aplicar",$R243))+ISNUMBER(SEARCH("Razonar",$R243))),0)</f>
        <v>0.5</v>
      </c>
      <c r="U243" s="28" t="n">
        <f aca="false">IFERROR(ISNUMBER(SEARCH("Razonar",$R243))/(ISNUMBER(SEARCH("Conocer",$R243))+ISNUMBER(SEARCH("Aplicar",$R243))+ISNUMBER(SEARCH("Razonar",$R243))),0)</f>
        <v>0.5</v>
      </c>
      <c r="V243" s="8" t="s">
        <v>48</v>
      </c>
      <c r="W243" s="8" t="s">
        <v>67</v>
      </c>
    </row>
    <row r="244" customFormat="false" ht="15" hidden="false" customHeight="false" outlineLevel="0" collapsed="false">
      <c r="A244" s="8" t="s">
        <v>1418</v>
      </c>
      <c r="B244" s="8" t="n">
        <v>5</v>
      </c>
      <c r="C244" s="8" t="s">
        <v>411</v>
      </c>
      <c r="D244" s="8" t="s">
        <v>1285</v>
      </c>
      <c r="E244" s="8" t="s">
        <v>1390</v>
      </c>
      <c r="F244" s="8" t="n">
        <v>10</v>
      </c>
      <c r="G244" s="8" t="s">
        <v>1391</v>
      </c>
      <c r="H244" s="8" t="s">
        <v>1419</v>
      </c>
      <c r="I244" s="27" t="s">
        <v>1420</v>
      </c>
      <c r="J244" s="8" t="s">
        <v>185</v>
      </c>
      <c r="K244" s="8" t="s">
        <v>219</v>
      </c>
      <c r="L244" s="8"/>
      <c r="M244" s="8" t="str">
        <f aca="false">IF(K244="FUERA","Fuera del marco",IF(K244="N/A","Sin marco",IFERROR(INDEX(Catalogo_TIMSS!$C$5:$C$105,MATCH(K244,Catalogo_TIMSS!$A$5:$A$105,0)),"Pendiente de clasificar")))</f>
        <v>Química</v>
      </c>
      <c r="N244" s="8" t="str">
        <f aca="false">IF(K244="FUERA","Fuera del marco",IF(K244="N/A","Sin marco",IFERROR(INDEX(Catalogo_TIMSS!$F$5:$F$105,MATCH(K244,Catalogo_TIMSS!$A$5:$A$105,0)),"Pendiente de clasificar")))</f>
        <v>Composición de la materia</v>
      </c>
      <c r="O244" s="8" t="str">
        <f aca="false">IF(L244="","",IFERROR(INDEX(Catalogo_TIMSS!$C$5:$C$105,MATCH(L244,Catalogo_TIMSS!$A$5:$A$105,0)),"?"))</f>
        <v/>
      </c>
      <c r="P244" s="8" t="s">
        <v>460</v>
      </c>
      <c r="Q244" s="27" t="s">
        <v>1421</v>
      </c>
      <c r="R244" s="27" t="s">
        <v>1422</v>
      </c>
      <c r="S244" s="28" t="n">
        <f aca="false">IFERROR(ISNUMBER(SEARCH("Conocer",$R244))/(ISNUMBER(SEARCH("Conocer",$R244))+ISNUMBER(SEARCH("Aplicar",$R244))+ISNUMBER(SEARCH("Razonar",$R244))),0)</f>
        <v>0.5</v>
      </c>
      <c r="T244" s="28" t="n">
        <f aca="false">IFERROR(ISNUMBER(SEARCH("Aplicar",$R244))/(ISNUMBER(SEARCH("Conocer",$R244))+ISNUMBER(SEARCH("Aplicar",$R244))+ISNUMBER(SEARCH("Razonar",$R244))),0)</f>
        <v>0</v>
      </c>
      <c r="U244" s="28" t="n">
        <f aca="false">IFERROR(ISNUMBER(SEARCH("Razonar",$R244))/(ISNUMBER(SEARCH("Conocer",$R244))+ISNUMBER(SEARCH("Aplicar",$R244))+ISNUMBER(SEARCH("Razonar",$R244))),0)</f>
        <v>0.5</v>
      </c>
      <c r="V244" s="8" t="s">
        <v>48</v>
      </c>
      <c r="W244" s="8" t="s">
        <v>67</v>
      </c>
    </row>
    <row r="245" customFormat="false" ht="15" hidden="false" customHeight="false" outlineLevel="0" collapsed="false">
      <c r="A245" s="8" t="s">
        <v>1423</v>
      </c>
      <c r="B245" s="8" t="n">
        <v>5</v>
      </c>
      <c r="C245" s="8" t="s">
        <v>411</v>
      </c>
      <c r="D245" s="8" t="s">
        <v>1285</v>
      </c>
      <c r="E245" s="8" t="s">
        <v>1390</v>
      </c>
      <c r="F245" s="8" t="n">
        <v>11</v>
      </c>
      <c r="G245" s="8" t="s">
        <v>1391</v>
      </c>
      <c r="H245" s="8" t="s">
        <v>1419</v>
      </c>
      <c r="I245" s="27" t="s">
        <v>1424</v>
      </c>
      <c r="J245" s="8" t="s">
        <v>185</v>
      </c>
      <c r="K245" s="8" t="s">
        <v>219</v>
      </c>
      <c r="L245" s="8"/>
      <c r="M245" s="8" t="str">
        <f aca="false">IF(K245="FUERA","Fuera del marco",IF(K245="N/A","Sin marco",IFERROR(INDEX(Catalogo_TIMSS!$C$5:$C$105,MATCH(K245,Catalogo_TIMSS!$A$5:$A$105,0)),"Pendiente de clasificar")))</f>
        <v>Química</v>
      </c>
      <c r="N245" s="8" t="str">
        <f aca="false">IF(K245="FUERA","Fuera del marco",IF(K245="N/A","Sin marco",IFERROR(INDEX(Catalogo_TIMSS!$F$5:$F$105,MATCH(K245,Catalogo_TIMSS!$A$5:$A$105,0)),"Pendiente de clasificar")))</f>
        <v>Composición de la materia</v>
      </c>
      <c r="O245" s="8" t="str">
        <f aca="false">IF(L245="","",IFERROR(INDEX(Catalogo_TIMSS!$C$5:$C$105,MATCH(L245,Catalogo_TIMSS!$A$5:$A$105,0)),"?"))</f>
        <v/>
      </c>
      <c r="P245" s="8" t="s">
        <v>460</v>
      </c>
      <c r="Q245" s="27" t="s">
        <v>1425</v>
      </c>
      <c r="R245" s="27" t="s">
        <v>1426</v>
      </c>
      <c r="S245" s="28" t="n">
        <f aca="false">IFERROR(ISNUMBER(SEARCH("Conocer",$R245))/(ISNUMBER(SEARCH("Conocer",$R245))+ISNUMBER(SEARCH("Aplicar",$R245))+ISNUMBER(SEARCH("Razonar",$R245))),0)</f>
        <v>0</v>
      </c>
      <c r="T245" s="28" t="n">
        <f aca="false">IFERROR(ISNUMBER(SEARCH("Aplicar",$R245))/(ISNUMBER(SEARCH("Conocer",$R245))+ISNUMBER(SEARCH("Aplicar",$R245))+ISNUMBER(SEARCH("Razonar",$R245))),0)</f>
        <v>0.5</v>
      </c>
      <c r="U245" s="28" t="n">
        <f aca="false">IFERROR(ISNUMBER(SEARCH("Razonar",$R245))/(ISNUMBER(SEARCH("Conocer",$R245))+ISNUMBER(SEARCH("Aplicar",$R245))+ISNUMBER(SEARCH("Razonar",$R245))),0)</f>
        <v>0.5</v>
      </c>
      <c r="V245" s="8" t="s">
        <v>48</v>
      </c>
      <c r="W245" s="8" t="s">
        <v>67</v>
      </c>
    </row>
    <row r="246" customFormat="false" ht="15" hidden="false" customHeight="false" outlineLevel="0" collapsed="false">
      <c r="A246" s="8" t="s">
        <v>1427</v>
      </c>
      <c r="B246" s="8" t="n">
        <v>5</v>
      </c>
      <c r="C246" s="8" t="s">
        <v>411</v>
      </c>
      <c r="D246" s="8" t="s">
        <v>1285</v>
      </c>
      <c r="E246" s="8" t="s">
        <v>1390</v>
      </c>
      <c r="F246" s="8" t="n">
        <v>12</v>
      </c>
      <c r="G246" s="8" t="s">
        <v>1391</v>
      </c>
      <c r="H246" s="8" t="s">
        <v>1428</v>
      </c>
      <c r="I246" s="27" t="s">
        <v>1429</v>
      </c>
      <c r="J246" s="8" t="s">
        <v>185</v>
      </c>
      <c r="K246" s="8" t="s">
        <v>219</v>
      </c>
      <c r="L246" s="8"/>
      <c r="M246" s="8" t="str">
        <f aca="false">IF(K246="FUERA","Fuera del marco",IF(K246="N/A","Sin marco",IFERROR(INDEX(Catalogo_TIMSS!$C$5:$C$105,MATCH(K246,Catalogo_TIMSS!$A$5:$A$105,0)),"Pendiente de clasificar")))</f>
        <v>Química</v>
      </c>
      <c r="N246" s="8" t="str">
        <f aca="false">IF(K246="FUERA","Fuera del marco",IF(K246="N/A","Sin marco",IFERROR(INDEX(Catalogo_TIMSS!$F$5:$F$105,MATCH(K246,Catalogo_TIMSS!$A$5:$A$105,0)),"Pendiente de clasificar")))</f>
        <v>Composición de la materia</v>
      </c>
      <c r="O246" s="8" t="str">
        <f aca="false">IF(L246="","",IFERROR(INDEX(Catalogo_TIMSS!$C$5:$C$105,MATCH(L246,Catalogo_TIMSS!$A$5:$A$105,0)),"?"))</f>
        <v/>
      </c>
      <c r="P246" s="8" t="s">
        <v>513</v>
      </c>
      <c r="Q246" s="27" t="s">
        <v>1430</v>
      </c>
      <c r="R246" s="27" t="s">
        <v>1265</v>
      </c>
      <c r="S246" s="28" t="n">
        <f aca="false">IFERROR(ISNUMBER(SEARCH("Conocer",$R246))/(ISNUMBER(SEARCH("Conocer",$R246))+ISNUMBER(SEARCH("Aplicar",$R246))+ISNUMBER(SEARCH("Razonar",$R246))),0)</f>
        <v>0</v>
      </c>
      <c r="T246" s="28" t="n">
        <f aca="false">IFERROR(ISNUMBER(SEARCH("Aplicar",$R246))/(ISNUMBER(SEARCH("Conocer",$R246))+ISNUMBER(SEARCH("Aplicar",$R246))+ISNUMBER(SEARCH("Razonar",$R246))),0)</f>
        <v>1</v>
      </c>
      <c r="U246" s="28" t="n">
        <f aca="false">IFERROR(ISNUMBER(SEARCH("Razonar",$R246))/(ISNUMBER(SEARCH("Conocer",$R246))+ISNUMBER(SEARCH("Aplicar",$R246))+ISNUMBER(SEARCH("Razonar",$R246))),0)</f>
        <v>0</v>
      </c>
      <c r="V246" s="8" t="s">
        <v>48</v>
      </c>
      <c r="W246" s="8" t="s">
        <v>67</v>
      </c>
    </row>
    <row r="247" customFormat="false" ht="15" hidden="false" customHeight="false" outlineLevel="0" collapsed="false">
      <c r="A247" s="8" t="s">
        <v>1431</v>
      </c>
      <c r="B247" s="8" t="n">
        <v>5</v>
      </c>
      <c r="C247" s="8" t="s">
        <v>411</v>
      </c>
      <c r="D247" s="8" t="s">
        <v>1285</v>
      </c>
      <c r="E247" s="8" t="s">
        <v>1390</v>
      </c>
      <c r="F247" s="8" t="n">
        <v>13</v>
      </c>
      <c r="G247" s="8" t="s">
        <v>1391</v>
      </c>
      <c r="H247" s="8" t="s">
        <v>1432</v>
      </c>
      <c r="I247" s="27" t="s">
        <v>1433</v>
      </c>
      <c r="J247" s="8" t="s">
        <v>185</v>
      </c>
      <c r="K247" s="8" t="s">
        <v>219</v>
      </c>
      <c r="L247" s="8" t="s">
        <v>224</v>
      </c>
      <c r="M247" s="8" t="str">
        <f aca="false">IF(K247="FUERA","Fuera del marco",IF(K247="N/A","Sin marco",IFERROR(INDEX(Catalogo_TIMSS!$C$5:$C$105,MATCH(K247,Catalogo_TIMSS!$A$5:$A$105,0)),"Pendiente de clasificar")))</f>
        <v>Química</v>
      </c>
      <c r="N247" s="8" t="str">
        <f aca="false">IF(K247="FUERA","Fuera del marco",IF(K247="N/A","Sin marco",IFERROR(INDEX(Catalogo_TIMSS!$F$5:$F$105,MATCH(K247,Catalogo_TIMSS!$A$5:$A$105,0)),"Pendiente de clasificar")))</f>
        <v>Composición de la materia</v>
      </c>
      <c r="O247" s="8" t="str">
        <f aca="false">IF(L247="","",IFERROR(INDEX(Catalogo_TIMSS!$C$5:$C$105,MATCH(L247,Catalogo_TIMSS!$A$5:$A$105,0)),"?"))</f>
        <v>Química</v>
      </c>
      <c r="P247" s="8" t="s">
        <v>460</v>
      </c>
      <c r="Q247" s="27" t="s">
        <v>1434</v>
      </c>
      <c r="R247" s="27" t="s">
        <v>1265</v>
      </c>
      <c r="S247" s="28" t="n">
        <f aca="false">IFERROR(ISNUMBER(SEARCH("Conocer",$R247))/(ISNUMBER(SEARCH("Conocer",$R247))+ISNUMBER(SEARCH("Aplicar",$R247))+ISNUMBER(SEARCH("Razonar",$R247))),0)</f>
        <v>0</v>
      </c>
      <c r="T247" s="28" t="n">
        <f aca="false">IFERROR(ISNUMBER(SEARCH("Aplicar",$R247))/(ISNUMBER(SEARCH("Conocer",$R247))+ISNUMBER(SEARCH("Aplicar",$R247))+ISNUMBER(SEARCH("Razonar",$R247))),0)</f>
        <v>1</v>
      </c>
      <c r="U247" s="28" t="n">
        <f aca="false">IFERROR(ISNUMBER(SEARCH("Razonar",$R247))/(ISNUMBER(SEARCH("Conocer",$R247))+ISNUMBER(SEARCH("Aplicar",$R247))+ISNUMBER(SEARCH("Razonar",$R247))),0)</f>
        <v>0</v>
      </c>
      <c r="V247" s="8" t="s">
        <v>48</v>
      </c>
      <c r="W247" s="8" t="s">
        <v>67</v>
      </c>
    </row>
    <row r="248" customFormat="false" ht="15" hidden="false" customHeight="false" outlineLevel="0" collapsed="false">
      <c r="A248" s="8" t="s">
        <v>1435</v>
      </c>
      <c r="B248" s="8" t="n">
        <v>5</v>
      </c>
      <c r="C248" s="8" t="s">
        <v>411</v>
      </c>
      <c r="D248" s="8" t="s">
        <v>1285</v>
      </c>
      <c r="E248" s="8" t="s">
        <v>1436</v>
      </c>
      <c r="F248" s="8" t="n">
        <v>3</v>
      </c>
      <c r="G248" s="8" t="s">
        <v>1437</v>
      </c>
      <c r="H248" s="8" t="s">
        <v>1438</v>
      </c>
      <c r="I248" s="27" t="s">
        <v>1439</v>
      </c>
      <c r="J248" s="8" t="s">
        <v>185</v>
      </c>
      <c r="K248" s="8" t="s">
        <v>224</v>
      </c>
      <c r="L248" s="8"/>
      <c r="M248" s="8" t="str">
        <f aca="false">IF(K248="FUERA","Fuera del marco",IF(K248="N/A","Sin marco",IFERROR(INDEX(Catalogo_TIMSS!$C$5:$C$105,MATCH(K248,Catalogo_TIMSS!$A$5:$A$105,0)),"Pendiente de clasificar")))</f>
        <v>Química</v>
      </c>
      <c r="N248" s="8" t="str">
        <f aca="false">IF(K248="FUERA","Fuera del marco",IF(K248="N/A","Sin marco",IFERROR(INDEX(Catalogo_TIMSS!$F$5:$F$105,MATCH(K248,Catalogo_TIMSS!$A$5:$A$105,0)),"Pendiente de clasificar")))</f>
        <v>Composición de la materia</v>
      </c>
      <c r="O248" s="8" t="str">
        <f aca="false">IF(L248="","",IFERROR(INDEX(Catalogo_TIMSS!$C$5:$C$105,MATCH(L248,Catalogo_TIMSS!$A$5:$A$105,0)),"?"))</f>
        <v/>
      </c>
      <c r="P248" s="8" t="s">
        <v>460</v>
      </c>
      <c r="Q248" s="27" t="s">
        <v>1440</v>
      </c>
      <c r="R248" s="27" t="s">
        <v>879</v>
      </c>
      <c r="S248" s="28" t="n">
        <f aca="false">IFERROR(ISNUMBER(SEARCH("Conocer",$R248))/(ISNUMBER(SEARCH("Conocer",$R248))+ISNUMBER(SEARCH("Aplicar",$R248))+ISNUMBER(SEARCH("Razonar",$R248))),0)</f>
        <v>0</v>
      </c>
      <c r="T248" s="28" t="n">
        <f aca="false">IFERROR(ISNUMBER(SEARCH("Aplicar",$R248))/(ISNUMBER(SEARCH("Conocer",$R248))+ISNUMBER(SEARCH("Aplicar",$R248))+ISNUMBER(SEARCH("Razonar",$R248))),0)</f>
        <v>1</v>
      </c>
      <c r="U248" s="28" t="n">
        <f aca="false">IFERROR(ISNUMBER(SEARCH("Razonar",$R248))/(ISNUMBER(SEARCH("Conocer",$R248))+ISNUMBER(SEARCH("Aplicar",$R248))+ISNUMBER(SEARCH("Razonar",$R248))),0)</f>
        <v>0</v>
      </c>
      <c r="V248" s="8" t="s">
        <v>48</v>
      </c>
      <c r="W248" s="8" t="s">
        <v>67</v>
      </c>
    </row>
    <row r="249" customFormat="false" ht="15" hidden="false" customHeight="false" outlineLevel="0" collapsed="false">
      <c r="A249" s="8" t="s">
        <v>1441</v>
      </c>
      <c r="B249" s="8" t="n">
        <v>5</v>
      </c>
      <c r="C249" s="8" t="s">
        <v>411</v>
      </c>
      <c r="D249" s="8" t="s">
        <v>1285</v>
      </c>
      <c r="E249" s="8" t="s">
        <v>1436</v>
      </c>
      <c r="F249" s="8" t="n">
        <v>4</v>
      </c>
      <c r="G249" s="8" t="s">
        <v>1437</v>
      </c>
      <c r="H249" s="8" t="s">
        <v>1438</v>
      </c>
      <c r="I249" s="27" t="s">
        <v>1442</v>
      </c>
      <c r="J249" s="8" t="s">
        <v>185</v>
      </c>
      <c r="K249" s="8" t="s">
        <v>224</v>
      </c>
      <c r="L249" s="8" t="s">
        <v>226</v>
      </c>
      <c r="M249" s="8" t="str">
        <f aca="false">IF(K249="FUERA","Fuera del marco",IF(K249="N/A","Sin marco",IFERROR(INDEX(Catalogo_TIMSS!$C$5:$C$105,MATCH(K249,Catalogo_TIMSS!$A$5:$A$105,0)),"Pendiente de clasificar")))</f>
        <v>Química</v>
      </c>
      <c r="N249" s="8" t="str">
        <f aca="false">IF(K249="FUERA","Fuera del marco",IF(K249="N/A","Sin marco",IFERROR(INDEX(Catalogo_TIMSS!$F$5:$F$105,MATCH(K249,Catalogo_TIMSS!$A$5:$A$105,0)),"Pendiente de clasificar")))</f>
        <v>Composición de la materia</v>
      </c>
      <c r="O249" s="8" t="str">
        <f aca="false">IF(L249="","",IFERROR(INDEX(Catalogo_TIMSS!$C$5:$C$105,MATCH(L249,Catalogo_TIMSS!$A$5:$A$105,0)),"?"))</f>
        <v>Química</v>
      </c>
      <c r="P249" s="8" t="s">
        <v>460</v>
      </c>
      <c r="Q249" s="27" t="s">
        <v>1443</v>
      </c>
      <c r="R249" s="27" t="s">
        <v>1265</v>
      </c>
      <c r="S249" s="28" t="n">
        <f aca="false">IFERROR(ISNUMBER(SEARCH("Conocer",$R249))/(ISNUMBER(SEARCH("Conocer",$R249))+ISNUMBER(SEARCH("Aplicar",$R249))+ISNUMBER(SEARCH("Razonar",$R249))),0)</f>
        <v>0</v>
      </c>
      <c r="T249" s="28" t="n">
        <f aca="false">IFERROR(ISNUMBER(SEARCH("Aplicar",$R249))/(ISNUMBER(SEARCH("Conocer",$R249))+ISNUMBER(SEARCH("Aplicar",$R249))+ISNUMBER(SEARCH("Razonar",$R249))),0)</f>
        <v>1</v>
      </c>
      <c r="U249" s="28" t="n">
        <f aca="false">IFERROR(ISNUMBER(SEARCH("Razonar",$R249))/(ISNUMBER(SEARCH("Conocer",$R249))+ISNUMBER(SEARCH("Aplicar",$R249))+ISNUMBER(SEARCH("Razonar",$R249))),0)</f>
        <v>0</v>
      </c>
      <c r="V249" s="8" t="s">
        <v>48</v>
      </c>
      <c r="W249" s="8" t="s">
        <v>67</v>
      </c>
    </row>
    <row r="250" customFormat="false" ht="15" hidden="false" customHeight="false" outlineLevel="0" collapsed="false">
      <c r="A250" s="8" t="s">
        <v>1444</v>
      </c>
      <c r="B250" s="8" t="n">
        <v>5</v>
      </c>
      <c r="C250" s="8" t="s">
        <v>411</v>
      </c>
      <c r="D250" s="8" t="s">
        <v>1285</v>
      </c>
      <c r="E250" s="8" t="s">
        <v>1436</v>
      </c>
      <c r="F250" s="8" t="n">
        <v>5</v>
      </c>
      <c r="G250" s="8" t="s">
        <v>1437</v>
      </c>
      <c r="H250" s="8" t="s">
        <v>1445</v>
      </c>
      <c r="I250" s="27" t="s">
        <v>1446</v>
      </c>
      <c r="J250" s="8" t="s">
        <v>185</v>
      </c>
      <c r="K250" s="8" t="s">
        <v>224</v>
      </c>
      <c r="L250" s="8"/>
      <c r="M250" s="8" t="str">
        <f aca="false">IF(K250="FUERA","Fuera del marco",IF(K250="N/A","Sin marco",IFERROR(INDEX(Catalogo_TIMSS!$C$5:$C$105,MATCH(K250,Catalogo_TIMSS!$A$5:$A$105,0)),"Pendiente de clasificar")))</f>
        <v>Química</v>
      </c>
      <c r="N250" s="8" t="str">
        <f aca="false">IF(K250="FUERA","Fuera del marco",IF(K250="N/A","Sin marco",IFERROR(INDEX(Catalogo_TIMSS!$F$5:$F$105,MATCH(K250,Catalogo_TIMSS!$A$5:$A$105,0)),"Pendiente de clasificar")))</f>
        <v>Composición de la materia</v>
      </c>
      <c r="O250" s="8" t="str">
        <f aca="false">IF(L250="","",IFERROR(INDEX(Catalogo_TIMSS!$C$5:$C$105,MATCH(L250,Catalogo_TIMSS!$A$5:$A$105,0)),"?"))</f>
        <v/>
      </c>
      <c r="P250" s="8" t="s">
        <v>418</v>
      </c>
      <c r="Q250" s="27" t="s">
        <v>1447</v>
      </c>
      <c r="R250" s="27" t="s">
        <v>429</v>
      </c>
      <c r="S250" s="28" t="n">
        <f aca="false">IFERROR(ISNUMBER(SEARCH("Conocer",$R250))/(ISNUMBER(SEARCH("Conocer",$R250))+ISNUMBER(SEARCH("Aplicar",$R250))+ISNUMBER(SEARCH("Razonar",$R250))),0)</f>
        <v>0</v>
      </c>
      <c r="T250" s="28" t="n">
        <f aca="false">IFERROR(ISNUMBER(SEARCH("Aplicar",$R250))/(ISNUMBER(SEARCH("Conocer",$R250))+ISNUMBER(SEARCH("Aplicar",$R250))+ISNUMBER(SEARCH("Razonar",$R250))),0)</f>
        <v>1</v>
      </c>
      <c r="U250" s="28" t="n">
        <f aca="false">IFERROR(ISNUMBER(SEARCH("Razonar",$R250))/(ISNUMBER(SEARCH("Conocer",$R250))+ISNUMBER(SEARCH("Aplicar",$R250))+ISNUMBER(SEARCH("Razonar",$R250))),0)</f>
        <v>0</v>
      </c>
      <c r="V250" s="8" t="s">
        <v>48</v>
      </c>
      <c r="W250" s="8" t="s">
        <v>67</v>
      </c>
    </row>
    <row r="251" customFormat="false" ht="15" hidden="false" customHeight="false" outlineLevel="0" collapsed="false">
      <c r="A251" s="8" t="s">
        <v>1448</v>
      </c>
      <c r="B251" s="8" t="n">
        <v>5</v>
      </c>
      <c r="C251" s="8" t="s">
        <v>411</v>
      </c>
      <c r="D251" s="8" t="s">
        <v>1285</v>
      </c>
      <c r="E251" s="8" t="s">
        <v>1436</v>
      </c>
      <c r="F251" s="8" t="n">
        <v>6</v>
      </c>
      <c r="G251" s="8" t="s">
        <v>1437</v>
      </c>
      <c r="H251" s="8" t="s">
        <v>1449</v>
      </c>
      <c r="I251" s="27" t="s">
        <v>1450</v>
      </c>
      <c r="J251" s="8" t="s">
        <v>185</v>
      </c>
      <c r="K251" s="8" t="s">
        <v>224</v>
      </c>
      <c r="L251" s="8"/>
      <c r="M251" s="8" t="str">
        <f aca="false">IF(K251="FUERA","Fuera del marco",IF(K251="N/A","Sin marco",IFERROR(INDEX(Catalogo_TIMSS!$C$5:$C$105,MATCH(K251,Catalogo_TIMSS!$A$5:$A$105,0)),"Pendiente de clasificar")))</f>
        <v>Química</v>
      </c>
      <c r="N251" s="8" t="str">
        <f aca="false">IF(K251="FUERA","Fuera del marco",IF(K251="N/A","Sin marco",IFERROR(INDEX(Catalogo_TIMSS!$F$5:$F$105,MATCH(K251,Catalogo_TIMSS!$A$5:$A$105,0)),"Pendiente de clasificar")))</f>
        <v>Composición de la materia</v>
      </c>
      <c r="O251" s="8" t="str">
        <f aca="false">IF(L251="","",IFERROR(INDEX(Catalogo_TIMSS!$C$5:$C$105,MATCH(L251,Catalogo_TIMSS!$A$5:$A$105,0)),"?"))</f>
        <v/>
      </c>
      <c r="P251" s="8" t="s">
        <v>418</v>
      </c>
      <c r="Q251" s="27" t="s">
        <v>1451</v>
      </c>
      <c r="R251" s="27" t="s">
        <v>1452</v>
      </c>
      <c r="S251" s="28" t="n">
        <f aca="false">IFERROR(ISNUMBER(SEARCH("Conocer",$R251))/(ISNUMBER(SEARCH("Conocer",$R251))+ISNUMBER(SEARCH("Aplicar",$R251))+ISNUMBER(SEARCH("Razonar",$R251))),0)</f>
        <v>0</v>
      </c>
      <c r="T251" s="28" t="n">
        <f aca="false">IFERROR(ISNUMBER(SEARCH("Aplicar",$R251))/(ISNUMBER(SEARCH("Conocer",$R251))+ISNUMBER(SEARCH("Aplicar",$R251))+ISNUMBER(SEARCH("Razonar",$R251))),0)</f>
        <v>0.5</v>
      </c>
      <c r="U251" s="28" t="n">
        <f aca="false">IFERROR(ISNUMBER(SEARCH("Razonar",$R251))/(ISNUMBER(SEARCH("Conocer",$R251))+ISNUMBER(SEARCH("Aplicar",$R251))+ISNUMBER(SEARCH("Razonar",$R251))),0)</f>
        <v>0.5</v>
      </c>
      <c r="V251" s="8" t="s">
        <v>48</v>
      </c>
      <c r="W251" s="8" t="s">
        <v>67</v>
      </c>
    </row>
    <row r="252" customFormat="false" ht="15" hidden="false" customHeight="false" outlineLevel="0" collapsed="false">
      <c r="A252" s="8" t="s">
        <v>1453</v>
      </c>
      <c r="B252" s="8" t="n">
        <v>5</v>
      </c>
      <c r="C252" s="8" t="s">
        <v>411</v>
      </c>
      <c r="D252" s="8" t="s">
        <v>1285</v>
      </c>
      <c r="E252" s="8" t="s">
        <v>1436</v>
      </c>
      <c r="F252" s="8" t="n">
        <v>7</v>
      </c>
      <c r="G252" s="8" t="s">
        <v>1437</v>
      </c>
      <c r="H252" s="8" t="s">
        <v>1454</v>
      </c>
      <c r="I252" s="27" t="s">
        <v>1455</v>
      </c>
      <c r="J252" s="8" t="s">
        <v>185</v>
      </c>
      <c r="K252" s="8" t="s">
        <v>222</v>
      </c>
      <c r="L252" s="8" t="s">
        <v>219</v>
      </c>
      <c r="M252" s="8" t="str">
        <f aca="false">IF(K252="FUERA","Fuera del marco",IF(K252="N/A","Sin marco",IFERROR(INDEX(Catalogo_TIMSS!$C$5:$C$105,MATCH(K252,Catalogo_TIMSS!$A$5:$A$105,0)),"Pendiente de clasificar")))</f>
        <v>Química</v>
      </c>
      <c r="N252" s="8" t="str">
        <f aca="false">IF(K252="FUERA","Fuera del marco",IF(K252="N/A","Sin marco",IFERROR(INDEX(Catalogo_TIMSS!$F$5:$F$105,MATCH(K252,Catalogo_TIMSS!$A$5:$A$105,0)),"Pendiente de clasificar")))</f>
        <v>Composición de la materia</v>
      </c>
      <c r="O252" s="8" t="str">
        <f aca="false">IF(L252="","",IFERROR(INDEX(Catalogo_TIMSS!$C$5:$C$105,MATCH(L252,Catalogo_TIMSS!$A$5:$A$105,0)),"?"))</f>
        <v>Química</v>
      </c>
      <c r="P252" s="8" t="s">
        <v>460</v>
      </c>
      <c r="Q252" s="27" t="s">
        <v>1456</v>
      </c>
      <c r="R252" s="27" t="s">
        <v>1457</v>
      </c>
      <c r="S252" s="28" t="n">
        <f aca="false">IFERROR(ISNUMBER(SEARCH("Conocer",$R252))/(ISNUMBER(SEARCH("Conocer",$R252))+ISNUMBER(SEARCH("Aplicar",$R252))+ISNUMBER(SEARCH("Razonar",$R252))),0)</f>
        <v>1</v>
      </c>
      <c r="T252" s="28" t="n">
        <f aca="false">IFERROR(ISNUMBER(SEARCH("Aplicar",$R252))/(ISNUMBER(SEARCH("Conocer",$R252))+ISNUMBER(SEARCH("Aplicar",$R252))+ISNUMBER(SEARCH("Razonar",$R252))),0)</f>
        <v>0</v>
      </c>
      <c r="U252" s="28" t="n">
        <f aca="false">IFERROR(ISNUMBER(SEARCH("Razonar",$R252))/(ISNUMBER(SEARCH("Conocer",$R252))+ISNUMBER(SEARCH("Aplicar",$R252))+ISNUMBER(SEARCH("Razonar",$R252))),0)</f>
        <v>0</v>
      </c>
      <c r="V252" s="8" t="s">
        <v>48</v>
      </c>
      <c r="W252" s="8" t="s">
        <v>67</v>
      </c>
    </row>
    <row r="253" customFormat="false" ht="15" hidden="false" customHeight="false" outlineLevel="0" collapsed="false">
      <c r="A253" s="8" t="s">
        <v>1458</v>
      </c>
      <c r="B253" s="8" t="n">
        <v>5</v>
      </c>
      <c r="C253" s="8" t="s">
        <v>411</v>
      </c>
      <c r="D253" s="8" t="s">
        <v>1285</v>
      </c>
      <c r="E253" s="8" t="s">
        <v>1436</v>
      </c>
      <c r="F253" s="8" t="n">
        <v>8</v>
      </c>
      <c r="G253" s="8" t="s">
        <v>1437</v>
      </c>
      <c r="H253" s="8" t="s">
        <v>1454</v>
      </c>
      <c r="I253" s="27" t="s">
        <v>1459</v>
      </c>
      <c r="J253" s="8" t="s">
        <v>185</v>
      </c>
      <c r="K253" s="8" t="s">
        <v>240</v>
      </c>
      <c r="L253" s="8" t="s">
        <v>222</v>
      </c>
      <c r="M253" s="8" t="str">
        <f aca="false">IF(K253="FUERA","Fuera del marco",IF(K253="N/A","Sin marco",IFERROR(INDEX(Catalogo_TIMSS!$C$5:$C$105,MATCH(K253,Catalogo_TIMSS!$A$5:$A$105,0)),"Pendiente de clasificar")))</f>
        <v>Química</v>
      </c>
      <c r="N253" s="8" t="str">
        <f aca="false">IF(K253="FUERA","Fuera del marco",IF(K253="N/A","Sin marco",IFERROR(INDEX(Catalogo_TIMSS!$F$5:$F$105,MATCH(K253,Catalogo_TIMSS!$A$5:$A$105,0)),"Pendiente de clasificar")))</f>
        <v>Cambio químico</v>
      </c>
      <c r="O253" s="8" t="str">
        <f aca="false">IF(L253="","",IFERROR(INDEX(Catalogo_TIMSS!$C$5:$C$105,MATCH(L253,Catalogo_TIMSS!$A$5:$A$105,0)),"?"))</f>
        <v>Química</v>
      </c>
      <c r="P253" s="8" t="s">
        <v>460</v>
      </c>
      <c r="Q253" s="27" t="s">
        <v>1460</v>
      </c>
      <c r="R253" s="27" t="s">
        <v>1417</v>
      </c>
      <c r="S253" s="28" t="n">
        <f aca="false">IFERROR(ISNUMBER(SEARCH("Conocer",$R253))/(ISNUMBER(SEARCH("Conocer",$R253))+ISNUMBER(SEARCH("Aplicar",$R253))+ISNUMBER(SEARCH("Razonar",$R253))),0)</f>
        <v>0</v>
      </c>
      <c r="T253" s="28" t="n">
        <f aca="false">IFERROR(ISNUMBER(SEARCH("Aplicar",$R253))/(ISNUMBER(SEARCH("Conocer",$R253))+ISNUMBER(SEARCH("Aplicar",$R253))+ISNUMBER(SEARCH("Razonar",$R253))),0)</f>
        <v>0.5</v>
      </c>
      <c r="U253" s="28" t="n">
        <f aca="false">IFERROR(ISNUMBER(SEARCH("Razonar",$R253))/(ISNUMBER(SEARCH("Conocer",$R253))+ISNUMBER(SEARCH("Aplicar",$R253))+ISNUMBER(SEARCH("Razonar",$R253))),0)</f>
        <v>0.5</v>
      </c>
      <c r="V253" s="8" t="s">
        <v>48</v>
      </c>
      <c r="W253" s="8" t="s">
        <v>67</v>
      </c>
    </row>
    <row r="254" customFormat="false" ht="15" hidden="false" customHeight="false" outlineLevel="0" collapsed="false">
      <c r="A254" s="8" t="s">
        <v>1461</v>
      </c>
      <c r="B254" s="8" t="n">
        <v>5</v>
      </c>
      <c r="C254" s="8" t="s">
        <v>411</v>
      </c>
      <c r="D254" s="8" t="s">
        <v>1285</v>
      </c>
      <c r="E254" s="8" t="s">
        <v>1436</v>
      </c>
      <c r="F254" s="8" t="n">
        <v>9</v>
      </c>
      <c r="G254" s="8" t="s">
        <v>1437</v>
      </c>
      <c r="H254" s="8" t="s">
        <v>1454</v>
      </c>
      <c r="I254" s="27" t="s">
        <v>1462</v>
      </c>
      <c r="J254" s="8" t="s">
        <v>185</v>
      </c>
      <c r="K254" s="8" t="s">
        <v>240</v>
      </c>
      <c r="L254" s="8"/>
      <c r="M254" s="8" t="str">
        <f aca="false">IF(K254="FUERA","Fuera del marco",IF(K254="N/A","Sin marco",IFERROR(INDEX(Catalogo_TIMSS!$C$5:$C$105,MATCH(K254,Catalogo_TIMSS!$A$5:$A$105,0)),"Pendiente de clasificar")))</f>
        <v>Química</v>
      </c>
      <c r="N254" s="8" t="str">
        <f aca="false">IF(K254="FUERA","Fuera del marco",IF(K254="N/A","Sin marco",IFERROR(INDEX(Catalogo_TIMSS!$F$5:$F$105,MATCH(K254,Catalogo_TIMSS!$A$5:$A$105,0)),"Pendiente de clasificar")))</f>
        <v>Cambio químico</v>
      </c>
      <c r="O254" s="8" t="str">
        <f aca="false">IF(L254="","",IFERROR(INDEX(Catalogo_TIMSS!$C$5:$C$105,MATCH(L254,Catalogo_TIMSS!$A$5:$A$105,0)),"?"))</f>
        <v/>
      </c>
      <c r="P254" s="8" t="s">
        <v>513</v>
      </c>
      <c r="Q254" s="27" t="s">
        <v>1463</v>
      </c>
      <c r="R254" s="27" t="s">
        <v>1464</v>
      </c>
      <c r="S254" s="28" t="n">
        <f aca="false">IFERROR(ISNUMBER(SEARCH("Conocer",$R254))/(ISNUMBER(SEARCH("Conocer",$R254))+ISNUMBER(SEARCH("Aplicar",$R254))+ISNUMBER(SEARCH("Razonar",$R254))),0)</f>
        <v>0</v>
      </c>
      <c r="T254" s="28" t="n">
        <f aca="false">IFERROR(ISNUMBER(SEARCH("Aplicar",$R254))/(ISNUMBER(SEARCH("Conocer",$R254))+ISNUMBER(SEARCH("Aplicar",$R254))+ISNUMBER(SEARCH("Razonar",$R254))),0)</f>
        <v>1</v>
      </c>
      <c r="U254" s="28" t="n">
        <f aca="false">IFERROR(ISNUMBER(SEARCH("Razonar",$R254))/(ISNUMBER(SEARCH("Conocer",$R254))+ISNUMBER(SEARCH("Aplicar",$R254))+ISNUMBER(SEARCH("Razonar",$R254))),0)</f>
        <v>0</v>
      </c>
      <c r="V254" s="8" t="s">
        <v>48</v>
      </c>
      <c r="W254" s="8" t="s">
        <v>67</v>
      </c>
    </row>
    <row r="255" customFormat="false" ht="15" hidden="false" customHeight="false" outlineLevel="0" collapsed="false">
      <c r="A255" s="8" t="s">
        <v>1465</v>
      </c>
      <c r="B255" s="8" t="n">
        <v>5</v>
      </c>
      <c r="C255" s="8" t="s">
        <v>411</v>
      </c>
      <c r="D255" s="8" t="s">
        <v>1285</v>
      </c>
      <c r="E255" s="8" t="s">
        <v>1466</v>
      </c>
      <c r="F255" s="8" t="n">
        <v>3</v>
      </c>
      <c r="G255" s="8" t="s">
        <v>1467</v>
      </c>
      <c r="H255" s="8" t="s">
        <v>1468</v>
      </c>
      <c r="I255" s="27" t="s">
        <v>1469</v>
      </c>
      <c r="J255" s="8" t="s">
        <v>185</v>
      </c>
      <c r="K255" s="8" t="s">
        <v>417</v>
      </c>
      <c r="L255" s="8"/>
      <c r="M255" s="8" t="str">
        <f aca="false">IF(K255="FUERA","Fuera del marco",IF(K255="N/A","Sin marco",IFERROR(INDEX(Catalogo_TIMSS!$C$5:$C$105,MATCH(K255,Catalogo_TIMSS!$A$5:$A$105,0)),"Pendiente de clasificar")))</f>
        <v>Fuera del marco</v>
      </c>
      <c r="N255" s="8" t="str">
        <f aca="false">IF(K255="FUERA","Fuera del marco",IF(K255="N/A","Sin marco",IFERROR(INDEX(Catalogo_TIMSS!$F$5:$F$105,MATCH(K255,Catalogo_TIMSS!$A$5:$A$105,0)),"Pendiente de clasificar")))</f>
        <v>Fuera del marco</v>
      </c>
      <c r="O255" s="8" t="str">
        <f aca="false">IF(L255="","",IFERROR(INDEX(Catalogo_TIMSS!$C$5:$C$105,MATCH(L255,Catalogo_TIMSS!$A$5:$A$105,0)),"?"))</f>
        <v/>
      </c>
      <c r="P255" s="8" t="s">
        <v>418</v>
      </c>
      <c r="Q255" s="27" t="s">
        <v>1470</v>
      </c>
      <c r="R255" s="27" t="s">
        <v>1172</v>
      </c>
      <c r="S255" s="28" t="n">
        <f aca="false">IFERROR(ISNUMBER(SEARCH("Conocer",$R255))/(ISNUMBER(SEARCH("Conocer",$R255))+ISNUMBER(SEARCH("Aplicar",$R255))+ISNUMBER(SEARCH("Razonar",$R255))),0)</f>
        <v>1</v>
      </c>
      <c r="T255" s="28" t="n">
        <f aca="false">IFERROR(ISNUMBER(SEARCH("Aplicar",$R255))/(ISNUMBER(SEARCH("Conocer",$R255))+ISNUMBER(SEARCH("Aplicar",$R255))+ISNUMBER(SEARCH("Razonar",$R255))),0)</f>
        <v>0</v>
      </c>
      <c r="U255" s="28" t="n">
        <f aca="false">IFERROR(ISNUMBER(SEARCH("Razonar",$R255))/(ISNUMBER(SEARCH("Conocer",$R255))+ISNUMBER(SEARCH("Aplicar",$R255))+ISNUMBER(SEARCH("Razonar",$R255))),0)</f>
        <v>0</v>
      </c>
      <c r="V255" s="8" t="s">
        <v>48</v>
      </c>
      <c r="W255" s="8" t="s">
        <v>67</v>
      </c>
    </row>
    <row r="256" customFormat="false" ht="15" hidden="false" customHeight="false" outlineLevel="0" collapsed="false">
      <c r="A256" s="8" t="s">
        <v>1471</v>
      </c>
      <c r="B256" s="8" t="n">
        <v>5</v>
      </c>
      <c r="C256" s="8" t="s">
        <v>411</v>
      </c>
      <c r="D256" s="8" t="s">
        <v>1285</v>
      </c>
      <c r="E256" s="8" t="s">
        <v>1466</v>
      </c>
      <c r="F256" s="8" t="n">
        <v>4</v>
      </c>
      <c r="G256" s="8" t="s">
        <v>1467</v>
      </c>
      <c r="H256" s="8" t="s">
        <v>1468</v>
      </c>
      <c r="I256" s="27" t="s">
        <v>1472</v>
      </c>
      <c r="J256" s="8" t="s">
        <v>185</v>
      </c>
      <c r="K256" s="8" t="s">
        <v>417</v>
      </c>
      <c r="L256" s="8"/>
      <c r="M256" s="8" t="str">
        <f aca="false">IF(K256="FUERA","Fuera del marco",IF(K256="N/A","Sin marco",IFERROR(INDEX(Catalogo_TIMSS!$C$5:$C$105,MATCH(K256,Catalogo_TIMSS!$A$5:$A$105,0)),"Pendiente de clasificar")))</f>
        <v>Fuera del marco</v>
      </c>
      <c r="N256" s="8" t="str">
        <f aca="false">IF(K256="FUERA","Fuera del marco",IF(K256="N/A","Sin marco",IFERROR(INDEX(Catalogo_TIMSS!$F$5:$F$105,MATCH(K256,Catalogo_TIMSS!$A$5:$A$105,0)),"Pendiente de clasificar")))</f>
        <v>Fuera del marco</v>
      </c>
      <c r="O256" s="8" t="str">
        <f aca="false">IF(L256="","",IFERROR(INDEX(Catalogo_TIMSS!$C$5:$C$105,MATCH(L256,Catalogo_TIMSS!$A$5:$A$105,0)),"?"))</f>
        <v/>
      </c>
      <c r="P256" s="8" t="s">
        <v>460</v>
      </c>
      <c r="Q256" s="27" t="s">
        <v>1473</v>
      </c>
      <c r="R256" s="27" t="s">
        <v>1474</v>
      </c>
      <c r="S256" s="28" t="n">
        <f aca="false">IFERROR(ISNUMBER(SEARCH("Conocer",$R256))/(ISNUMBER(SEARCH("Conocer",$R256))+ISNUMBER(SEARCH("Aplicar",$R256))+ISNUMBER(SEARCH("Razonar",$R256))),0)</f>
        <v>0</v>
      </c>
      <c r="T256" s="28" t="n">
        <f aca="false">IFERROR(ISNUMBER(SEARCH("Aplicar",$R256))/(ISNUMBER(SEARCH("Conocer",$R256))+ISNUMBER(SEARCH("Aplicar",$R256))+ISNUMBER(SEARCH("Razonar",$R256))),0)</f>
        <v>1</v>
      </c>
      <c r="U256" s="28" t="n">
        <f aca="false">IFERROR(ISNUMBER(SEARCH("Razonar",$R256))/(ISNUMBER(SEARCH("Conocer",$R256))+ISNUMBER(SEARCH("Aplicar",$R256))+ISNUMBER(SEARCH("Razonar",$R256))),0)</f>
        <v>0</v>
      </c>
      <c r="V256" s="8" t="s">
        <v>48</v>
      </c>
      <c r="W256" s="8" t="s">
        <v>67</v>
      </c>
    </row>
    <row r="257" customFormat="false" ht="15" hidden="false" customHeight="false" outlineLevel="0" collapsed="false">
      <c r="A257" s="8" t="s">
        <v>1475</v>
      </c>
      <c r="B257" s="8" t="n">
        <v>5</v>
      </c>
      <c r="C257" s="8" t="s">
        <v>411</v>
      </c>
      <c r="D257" s="8" t="s">
        <v>1285</v>
      </c>
      <c r="E257" s="8" t="s">
        <v>1466</v>
      </c>
      <c r="F257" s="8" t="n">
        <v>5</v>
      </c>
      <c r="G257" s="8" t="s">
        <v>1467</v>
      </c>
      <c r="H257" s="8" t="s">
        <v>1476</v>
      </c>
      <c r="I257" s="27" t="s">
        <v>1477</v>
      </c>
      <c r="J257" s="8" t="s">
        <v>185</v>
      </c>
      <c r="K257" s="8" t="s">
        <v>288</v>
      </c>
      <c r="L257" s="8"/>
      <c r="M257" s="8" t="str">
        <f aca="false">IF(K257="FUERA","Fuera del marco",IF(K257="N/A","Sin marco",IFERROR(INDEX(Catalogo_TIMSS!$C$5:$C$105,MATCH(K257,Catalogo_TIMSS!$A$5:$A$105,0)),"Pendiente de clasificar")))</f>
        <v>Ciencias de la Tierra</v>
      </c>
      <c r="N257" s="8" t="str">
        <f aca="false">IF(K257="FUERA","Fuera del marco",IF(K257="N/A","Sin marco",IFERROR(INDEX(Catalogo_TIMSS!$F$5:$F$105,MATCH(K257,Catalogo_TIMSS!$A$5:$A$105,0)),"Pendiente de clasificar")))</f>
        <v>La Tierra en el Sistema Solar y el Universo</v>
      </c>
      <c r="O257" s="8" t="str">
        <f aca="false">IF(L257="","",IFERROR(INDEX(Catalogo_TIMSS!$C$5:$C$105,MATCH(L257,Catalogo_TIMSS!$A$5:$A$105,0)),"?"))</f>
        <v/>
      </c>
      <c r="P257" s="8" t="s">
        <v>513</v>
      </c>
      <c r="Q257" s="27" t="s">
        <v>1478</v>
      </c>
      <c r="R257" s="27" t="s">
        <v>642</v>
      </c>
      <c r="S257" s="28" t="n">
        <f aca="false">IFERROR(ISNUMBER(SEARCH("Conocer",$R257))/(ISNUMBER(SEARCH("Conocer",$R257))+ISNUMBER(SEARCH("Aplicar",$R257))+ISNUMBER(SEARCH("Razonar",$R257))),0)</f>
        <v>0</v>
      </c>
      <c r="T257" s="28" t="n">
        <f aca="false">IFERROR(ISNUMBER(SEARCH("Aplicar",$R257))/(ISNUMBER(SEARCH("Conocer",$R257))+ISNUMBER(SEARCH("Aplicar",$R257))+ISNUMBER(SEARCH("Razonar",$R257))),0)</f>
        <v>1</v>
      </c>
      <c r="U257" s="28" t="n">
        <f aca="false">IFERROR(ISNUMBER(SEARCH("Razonar",$R257))/(ISNUMBER(SEARCH("Conocer",$R257))+ISNUMBER(SEARCH("Aplicar",$R257))+ISNUMBER(SEARCH("Razonar",$R257))),0)</f>
        <v>0</v>
      </c>
      <c r="V257" s="8" t="s">
        <v>48</v>
      </c>
      <c r="W257" s="8" t="s">
        <v>67</v>
      </c>
    </row>
    <row r="258" customFormat="false" ht="15" hidden="false" customHeight="false" outlineLevel="0" collapsed="false">
      <c r="A258" s="8" t="s">
        <v>1479</v>
      </c>
      <c r="B258" s="8" t="n">
        <v>5</v>
      </c>
      <c r="C258" s="8" t="s">
        <v>411</v>
      </c>
      <c r="D258" s="8" t="s">
        <v>1285</v>
      </c>
      <c r="E258" s="8" t="s">
        <v>1466</v>
      </c>
      <c r="F258" s="8" t="n">
        <v>6</v>
      </c>
      <c r="G258" s="8" t="s">
        <v>1467</v>
      </c>
      <c r="H258" s="8" t="s">
        <v>1480</v>
      </c>
      <c r="I258" s="27" t="s">
        <v>1481</v>
      </c>
      <c r="J258" s="8" t="s">
        <v>185</v>
      </c>
      <c r="K258" s="8" t="s">
        <v>417</v>
      </c>
      <c r="L258" s="8"/>
      <c r="M258" s="8" t="str">
        <f aca="false">IF(K258="FUERA","Fuera del marco",IF(K258="N/A","Sin marco",IFERROR(INDEX(Catalogo_TIMSS!$C$5:$C$105,MATCH(K258,Catalogo_TIMSS!$A$5:$A$105,0)),"Pendiente de clasificar")))</f>
        <v>Fuera del marco</v>
      </c>
      <c r="N258" s="8" t="str">
        <f aca="false">IF(K258="FUERA","Fuera del marco",IF(K258="N/A","Sin marco",IFERROR(INDEX(Catalogo_TIMSS!$F$5:$F$105,MATCH(K258,Catalogo_TIMSS!$A$5:$A$105,0)),"Pendiente de clasificar")))</f>
        <v>Fuera del marco</v>
      </c>
      <c r="O258" s="8" t="str">
        <f aca="false">IF(L258="","",IFERROR(INDEX(Catalogo_TIMSS!$C$5:$C$105,MATCH(L258,Catalogo_TIMSS!$A$5:$A$105,0)),"?"))</f>
        <v/>
      </c>
      <c r="P258" s="8" t="s">
        <v>460</v>
      </c>
      <c r="Q258" s="27" t="s">
        <v>1482</v>
      </c>
      <c r="R258" s="27" t="s">
        <v>429</v>
      </c>
      <c r="S258" s="28" t="n">
        <f aca="false">IFERROR(ISNUMBER(SEARCH("Conocer",$R258))/(ISNUMBER(SEARCH("Conocer",$R258))+ISNUMBER(SEARCH("Aplicar",$R258))+ISNUMBER(SEARCH("Razonar",$R258))),0)</f>
        <v>0</v>
      </c>
      <c r="T258" s="28" t="n">
        <f aca="false">IFERROR(ISNUMBER(SEARCH("Aplicar",$R258))/(ISNUMBER(SEARCH("Conocer",$R258))+ISNUMBER(SEARCH("Aplicar",$R258))+ISNUMBER(SEARCH("Razonar",$R258))),0)</f>
        <v>1</v>
      </c>
      <c r="U258" s="28" t="n">
        <f aca="false">IFERROR(ISNUMBER(SEARCH("Razonar",$R258))/(ISNUMBER(SEARCH("Conocer",$R258))+ISNUMBER(SEARCH("Aplicar",$R258))+ISNUMBER(SEARCH("Razonar",$R258))),0)</f>
        <v>0</v>
      </c>
      <c r="V258" s="8" t="s">
        <v>48</v>
      </c>
      <c r="W258" s="8" t="s">
        <v>67</v>
      </c>
    </row>
    <row r="259" customFormat="false" ht="15" hidden="false" customHeight="false" outlineLevel="0" collapsed="false">
      <c r="A259" s="8" t="s">
        <v>1483</v>
      </c>
      <c r="B259" s="8" t="n">
        <v>5</v>
      </c>
      <c r="C259" s="8" t="s">
        <v>411</v>
      </c>
      <c r="D259" s="8" t="s">
        <v>1285</v>
      </c>
      <c r="E259" s="8" t="s">
        <v>1466</v>
      </c>
      <c r="F259" s="8" t="n">
        <v>7</v>
      </c>
      <c r="G259" s="8" t="s">
        <v>1467</v>
      </c>
      <c r="H259" s="8" t="s">
        <v>1480</v>
      </c>
      <c r="I259" s="27" t="s">
        <v>1484</v>
      </c>
      <c r="J259" s="8" t="s">
        <v>185</v>
      </c>
      <c r="K259" s="8" t="s">
        <v>288</v>
      </c>
      <c r="L259" s="8"/>
      <c r="M259" s="8" t="str">
        <f aca="false">IF(K259="FUERA","Fuera del marco",IF(K259="N/A","Sin marco",IFERROR(INDEX(Catalogo_TIMSS!$C$5:$C$105,MATCH(K259,Catalogo_TIMSS!$A$5:$A$105,0)),"Pendiente de clasificar")))</f>
        <v>Ciencias de la Tierra</v>
      </c>
      <c r="N259" s="8" t="str">
        <f aca="false">IF(K259="FUERA","Fuera del marco",IF(K259="N/A","Sin marco",IFERROR(INDEX(Catalogo_TIMSS!$F$5:$F$105,MATCH(K259,Catalogo_TIMSS!$A$5:$A$105,0)),"Pendiente de clasificar")))</f>
        <v>La Tierra en el Sistema Solar y el Universo</v>
      </c>
      <c r="O259" s="8" t="str">
        <f aca="false">IF(L259="","",IFERROR(INDEX(Catalogo_TIMSS!$C$5:$C$105,MATCH(L259,Catalogo_TIMSS!$A$5:$A$105,0)),"?"))</f>
        <v/>
      </c>
      <c r="P259" s="8" t="s">
        <v>513</v>
      </c>
      <c r="Q259" s="27" t="s">
        <v>1485</v>
      </c>
      <c r="R259" s="27" t="s">
        <v>1486</v>
      </c>
      <c r="S259" s="28" t="n">
        <f aca="false">IFERROR(ISNUMBER(SEARCH("Conocer",$R259))/(ISNUMBER(SEARCH("Conocer",$R259))+ISNUMBER(SEARCH("Aplicar",$R259))+ISNUMBER(SEARCH("Razonar",$R259))),0)</f>
        <v>1</v>
      </c>
      <c r="T259" s="28" t="n">
        <f aca="false">IFERROR(ISNUMBER(SEARCH("Aplicar",$R259))/(ISNUMBER(SEARCH("Conocer",$R259))+ISNUMBER(SEARCH("Aplicar",$R259))+ISNUMBER(SEARCH("Razonar",$R259))),0)</f>
        <v>0</v>
      </c>
      <c r="U259" s="28" t="n">
        <f aca="false">IFERROR(ISNUMBER(SEARCH("Razonar",$R259))/(ISNUMBER(SEARCH("Conocer",$R259))+ISNUMBER(SEARCH("Aplicar",$R259))+ISNUMBER(SEARCH("Razonar",$R259))),0)</f>
        <v>0</v>
      </c>
      <c r="V259" s="8" t="s">
        <v>48</v>
      </c>
      <c r="W259" s="8" t="s">
        <v>67</v>
      </c>
    </row>
    <row r="260" customFormat="false" ht="15" hidden="false" customHeight="false" outlineLevel="0" collapsed="false">
      <c r="A260" s="8" t="s">
        <v>1487</v>
      </c>
      <c r="B260" s="8" t="n">
        <v>5</v>
      </c>
      <c r="C260" s="8" t="s">
        <v>411</v>
      </c>
      <c r="D260" s="8" t="s">
        <v>1285</v>
      </c>
      <c r="E260" s="8" t="s">
        <v>1466</v>
      </c>
      <c r="F260" s="8" t="n">
        <v>8</v>
      </c>
      <c r="G260" s="8" t="s">
        <v>1467</v>
      </c>
      <c r="H260" s="8" t="s">
        <v>1480</v>
      </c>
      <c r="I260" s="27" t="s">
        <v>1488</v>
      </c>
      <c r="J260" s="8" t="s">
        <v>185</v>
      </c>
      <c r="K260" s="8" t="s">
        <v>288</v>
      </c>
      <c r="L260" s="8"/>
      <c r="M260" s="8" t="str">
        <f aca="false">IF(K260="FUERA","Fuera del marco",IF(K260="N/A","Sin marco",IFERROR(INDEX(Catalogo_TIMSS!$C$5:$C$105,MATCH(K260,Catalogo_TIMSS!$A$5:$A$105,0)),"Pendiente de clasificar")))</f>
        <v>Ciencias de la Tierra</v>
      </c>
      <c r="N260" s="8" t="str">
        <f aca="false">IF(K260="FUERA","Fuera del marco",IF(K260="N/A","Sin marco",IFERROR(INDEX(Catalogo_TIMSS!$F$5:$F$105,MATCH(K260,Catalogo_TIMSS!$A$5:$A$105,0)),"Pendiente de clasificar")))</f>
        <v>La Tierra en el Sistema Solar y el Universo</v>
      </c>
      <c r="O260" s="8" t="str">
        <f aca="false">IF(L260="","",IFERROR(INDEX(Catalogo_TIMSS!$C$5:$C$105,MATCH(L260,Catalogo_TIMSS!$A$5:$A$105,0)),"?"))</f>
        <v/>
      </c>
      <c r="P260" s="8" t="s">
        <v>513</v>
      </c>
      <c r="Q260" s="27" t="s">
        <v>1489</v>
      </c>
      <c r="R260" s="27" t="s">
        <v>429</v>
      </c>
      <c r="S260" s="28" t="n">
        <f aca="false">IFERROR(ISNUMBER(SEARCH("Conocer",$R260))/(ISNUMBER(SEARCH("Conocer",$R260))+ISNUMBER(SEARCH("Aplicar",$R260))+ISNUMBER(SEARCH("Razonar",$R260))),0)</f>
        <v>0</v>
      </c>
      <c r="T260" s="28" t="n">
        <f aca="false">IFERROR(ISNUMBER(SEARCH("Aplicar",$R260))/(ISNUMBER(SEARCH("Conocer",$R260))+ISNUMBER(SEARCH("Aplicar",$R260))+ISNUMBER(SEARCH("Razonar",$R260))),0)</f>
        <v>1</v>
      </c>
      <c r="U260" s="28" t="n">
        <f aca="false">IFERROR(ISNUMBER(SEARCH("Razonar",$R260))/(ISNUMBER(SEARCH("Conocer",$R260))+ISNUMBER(SEARCH("Aplicar",$R260))+ISNUMBER(SEARCH("Razonar",$R260))),0)</f>
        <v>0</v>
      </c>
      <c r="V260" s="8" t="s">
        <v>48</v>
      </c>
      <c r="W260" s="8" t="s">
        <v>67</v>
      </c>
    </row>
    <row r="261" customFormat="false" ht="15" hidden="false" customHeight="false" outlineLevel="0" collapsed="false">
      <c r="A261" s="8" t="s">
        <v>1490</v>
      </c>
      <c r="B261" s="8" t="n">
        <v>5</v>
      </c>
      <c r="C261" s="8" t="s">
        <v>411</v>
      </c>
      <c r="D261" s="8" t="s">
        <v>1285</v>
      </c>
      <c r="E261" s="8" t="s">
        <v>1466</v>
      </c>
      <c r="F261" s="8" t="n">
        <v>9</v>
      </c>
      <c r="G261" s="8" t="s">
        <v>1467</v>
      </c>
      <c r="H261" s="8" t="s">
        <v>1491</v>
      </c>
      <c r="I261" s="27" t="s">
        <v>1492</v>
      </c>
      <c r="J261" s="8" t="s">
        <v>185</v>
      </c>
      <c r="K261" s="8" t="s">
        <v>288</v>
      </c>
      <c r="L261" s="8"/>
      <c r="M261" s="8" t="str">
        <f aca="false">IF(K261="FUERA","Fuera del marco",IF(K261="N/A","Sin marco",IFERROR(INDEX(Catalogo_TIMSS!$C$5:$C$105,MATCH(K261,Catalogo_TIMSS!$A$5:$A$105,0)),"Pendiente de clasificar")))</f>
        <v>Ciencias de la Tierra</v>
      </c>
      <c r="N261" s="8" t="str">
        <f aca="false">IF(K261="FUERA","Fuera del marco",IF(K261="N/A","Sin marco",IFERROR(INDEX(Catalogo_TIMSS!$F$5:$F$105,MATCH(K261,Catalogo_TIMSS!$A$5:$A$105,0)),"Pendiente de clasificar")))</f>
        <v>La Tierra en el Sistema Solar y el Universo</v>
      </c>
      <c r="O261" s="8" t="str">
        <f aca="false">IF(L261="","",IFERROR(INDEX(Catalogo_TIMSS!$C$5:$C$105,MATCH(L261,Catalogo_TIMSS!$A$5:$A$105,0)),"?"))</f>
        <v/>
      </c>
      <c r="P261" s="8" t="s">
        <v>513</v>
      </c>
      <c r="Q261" s="27" t="s">
        <v>1493</v>
      </c>
      <c r="R261" s="27" t="s">
        <v>1079</v>
      </c>
      <c r="S261" s="28" t="n">
        <f aca="false">IFERROR(ISNUMBER(SEARCH("Conocer",$R261))/(ISNUMBER(SEARCH("Conocer",$R261))+ISNUMBER(SEARCH("Aplicar",$R261))+ISNUMBER(SEARCH("Razonar",$R261))),0)</f>
        <v>0</v>
      </c>
      <c r="T261" s="28" t="n">
        <f aca="false">IFERROR(ISNUMBER(SEARCH("Aplicar",$R261))/(ISNUMBER(SEARCH("Conocer",$R261))+ISNUMBER(SEARCH("Aplicar",$R261))+ISNUMBER(SEARCH("Razonar",$R261))),0)</f>
        <v>0.5</v>
      </c>
      <c r="U261" s="28" t="n">
        <f aca="false">IFERROR(ISNUMBER(SEARCH("Razonar",$R261))/(ISNUMBER(SEARCH("Conocer",$R261))+ISNUMBER(SEARCH("Aplicar",$R261))+ISNUMBER(SEARCH("Razonar",$R261))),0)</f>
        <v>0.5</v>
      </c>
      <c r="V261" s="8" t="s">
        <v>48</v>
      </c>
      <c r="W261" s="8" t="s">
        <v>67</v>
      </c>
    </row>
    <row r="262" customFormat="false" ht="15" hidden="false" customHeight="false" outlineLevel="0" collapsed="false">
      <c r="A262" s="8" t="s">
        <v>1494</v>
      </c>
      <c r="B262" s="8" t="n">
        <v>5</v>
      </c>
      <c r="C262" s="8" t="s">
        <v>411</v>
      </c>
      <c r="D262" s="8" t="s">
        <v>1285</v>
      </c>
      <c r="E262" s="8" t="s">
        <v>1466</v>
      </c>
      <c r="F262" s="8" t="n">
        <v>10</v>
      </c>
      <c r="G262" s="8" t="s">
        <v>1467</v>
      </c>
      <c r="H262" s="8" t="s">
        <v>1495</v>
      </c>
      <c r="I262" s="27" t="s">
        <v>1496</v>
      </c>
      <c r="J262" s="8" t="s">
        <v>185</v>
      </c>
      <c r="K262" s="8" t="s">
        <v>268</v>
      </c>
      <c r="L262" s="8"/>
      <c r="M262" s="8" t="str">
        <f aca="false">IF(K262="FUERA","Fuera del marco",IF(K262="N/A","Sin marco",IFERROR(INDEX(Catalogo_TIMSS!$C$5:$C$105,MATCH(K262,Catalogo_TIMSS!$A$5:$A$105,0)),"Pendiente de clasificar")))</f>
        <v>Ciencias de la Tierra</v>
      </c>
      <c r="N262" s="8" t="str">
        <f aca="false">IF(K262="FUERA","Fuera del marco",IF(K262="N/A","Sin marco",IFERROR(INDEX(Catalogo_TIMSS!$F$5:$F$105,MATCH(K262,Catalogo_TIMSS!$A$5:$A$105,0)),"Pendiente de clasificar")))</f>
        <v>Estructura y rasgos físicos de la Tierra</v>
      </c>
      <c r="O262" s="8" t="str">
        <f aca="false">IF(L262="","",IFERROR(INDEX(Catalogo_TIMSS!$C$5:$C$105,MATCH(L262,Catalogo_TIMSS!$A$5:$A$105,0)),"?"))</f>
        <v/>
      </c>
      <c r="P262" s="8" t="s">
        <v>460</v>
      </c>
      <c r="Q262" s="27" t="s">
        <v>1497</v>
      </c>
      <c r="R262" s="27" t="s">
        <v>642</v>
      </c>
      <c r="S262" s="28" t="n">
        <f aca="false">IFERROR(ISNUMBER(SEARCH("Conocer",$R262))/(ISNUMBER(SEARCH("Conocer",$R262))+ISNUMBER(SEARCH("Aplicar",$R262))+ISNUMBER(SEARCH("Razonar",$R262))),0)</f>
        <v>0</v>
      </c>
      <c r="T262" s="28" t="n">
        <f aca="false">IFERROR(ISNUMBER(SEARCH("Aplicar",$R262))/(ISNUMBER(SEARCH("Conocer",$R262))+ISNUMBER(SEARCH("Aplicar",$R262))+ISNUMBER(SEARCH("Razonar",$R262))),0)</f>
        <v>1</v>
      </c>
      <c r="U262" s="28" t="n">
        <f aca="false">IFERROR(ISNUMBER(SEARCH("Razonar",$R262))/(ISNUMBER(SEARCH("Conocer",$R262))+ISNUMBER(SEARCH("Aplicar",$R262))+ISNUMBER(SEARCH("Razonar",$R262))),0)</f>
        <v>0</v>
      </c>
      <c r="V262" s="8" t="s">
        <v>48</v>
      </c>
      <c r="W262" s="8" t="s">
        <v>67</v>
      </c>
    </row>
    <row r="263" customFormat="false" ht="15" hidden="false" customHeight="false" outlineLevel="0" collapsed="false">
      <c r="A263" s="8" t="s">
        <v>1498</v>
      </c>
      <c r="B263" s="8" t="n">
        <v>5</v>
      </c>
      <c r="C263" s="8" t="s">
        <v>411</v>
      </c>
      <c r="D263" s="8" t="s">
        <v>1285</v>
      </c>
      <c r="E263" s="8" t="s">
        <v>1466</v>
      </c>
      <c r="F263" s="8" t="n">
        <v>11</v>
      </c>
      <c r="G263" s="8" t="s">
        <v>1467</v>
      </c>
      <c r="H263" s="8" t="s">
        <v>1495</v>
      </c>
      <c r="I263" s="27" t="s">
        <v>1499</v>
      </c>
      <c r="J263" s="8" t="s">
        <v>185</v>
      </c>
      <c r="K263" s="8" t="s">
        <v>259</v>
      </c>
      <c r="L263" s="8" t="s">
        <v>268</v>
      </c>
      <c r="M263" s="8" t="str">
        <f aca="false">IF(K263="FUERA","Fuera del marco",IF(K263="N/A","Sin marco",IFERROR(INDEX(Catalogo_TIMSS!$C$5:$C$105,MATCH(K263,Catalogo_TIMSS!$A$5:$A$105,0)),"Pendiente de clasificar")))</f>
        <v>Física</v>
      </c>
      <c r="N263" s="8" t="str">
        <f aca="false">IF(K263="FUERA","Fuera del marco",IF(K263="N/A","Sin marco",IFERROR(INDEX(Catalogo_TIMSS!$F$5:$F$105,MATCH(K263,Catalogo_TIMSS!$A$5:$A$105,0)),"Pendiente de clasificar")))</f>
        <v>Electricidad y magnetismo</v>
      </c>
      <c r="O263" s="8" t="str">
        <f aca="false">IF(L263="","",IFERROR(INDEX(Catalogo_TIMSS!$C$5:$C$105,MATCH(L263,Catalogo_TIMSS!$A$5:$A$105,0)),"?"))</f>
        <v>Ciencias de la Tierra</v>
      </c>
      <c r="P263" s="8" t="s">
        <v>460</v>
      </c>
      <c r="Q263" s="27" t="s">
        <v>1500</v>
      </c>
      <c r="R263" s="27" t="s">
        <v>1501</v>
      </c>
      <c r="S263" s="28" t="n">
        <f aca="false">IFERROR(ISNUMBER(SEARCH("Conocer",$R263))/(ISNUMBER(SEARCH("Conocer",$R263))+ISNUMBER(SEARCH("Aplicar",$R263))+ISNUMBER(SEARCH("Razonar",$R263))),0)</f>
        <v>0</v>
      </c>
      <c r="T263" s="28" t="n">
        <f aca="false">IFERROR(ISNUMBER(SEARCH("Aplicar",$R263))/(ISNUMBER(SEARCH("Conocer",$R263))+ISNUMBER(SEARCH("Aplicar",$R263))+ISNUMBER(SEARCH("Razonar",$R263))),0)</f>
        <v>1</v>
      </c>
      <c r="U263" s="28" t="n">
        <f aca="false">IFERROR(ISNUMBER(SEARCH("Razonar",$R263))/(ISNUMBER(SEARCH("Conocer",$R263))+ISNUMBER(SEARCH("Aplicar",$R263))+ISNUMBER(SEARCH("Razonar",$R263))),0)</f>
        <v>0</v>
      </c>
      <c r="V263" s="8" t="s">
        <v>48</v>
      </c>
      <c r="W263" s="8" t="s">
        <v>67</v>
      </c>
    </row>
    <row r="264" customFormat="false" ht="15" hidden="false" customHeight="false" outlineLevel="0" collapsed="false">
      <c r="A264" s="8" t="s">
        <v>1502</v>
      </c>
      <c r="B264" s="8" t="n">
        <v>5</v>
      </c>
      <c r="C264" s="8" t="s">
        <v>411</v>
      </c>
      <c r="D264" s="8" t="s">
        <v>1285</v>
      </c>
      <c r="E264" s="8" t="s">
        <v>1503</v>
      </c>
      <c r="F264" s="8" t="n">
        <v>3</v>
      </c>
      <c r="G264" s="8" t="s">
        <v>1504</v>
      </c>
      <c r="H264" s="8" t="s">
        <v>1505</v>
      </c>
      <c r="I264" s="27" t="s">
        <v>1506</v>
      </c>
      <c r="J264" s="8" t="s">
        <v>185</v>
      </c>
      <c r="K264" s="8" t="s">
        <v>273</v>
      </c>
      <c r="L264" s="8" t="s">
        <v>203</v>
      </c>
      <c r="M264" s="8" t="str">
        <f aca="false">IF(K264="FUERA","Fuera del marco",IF(K264="N/A","Sin marco",IFERROR(INDEX(Catalogo_TIMSS!$C$5:$C$105,MATCH(K264,Catalogo_TIMSS!$A$5:$A$105,0)),"Pendiente de clasificar")))</f>
        <v>Ciencias de la Tierra</v>
      </c>
      <c r="N264" s="8" t="str">
        <f aca="false">IF(K264="FUERA","Fuera del marco",IF(K264="N/A","Sin marco",IFERROR(INDEX(Catalogo_TIMSS!$F$5:$F$105,MATCH(K264,Catalogo_TIMSS!$A$5:$A$105,0)),"Pendiente de clasificar")))</f>
        <v>Procesos, ciclos e historia de la Tierra</v>
      </c>
      <c r="O264" s="8" t="str">
        <f aca="false">IF(L264="","",IFERROR(INDEX(Catalogo_TIMSS!$C$5:$C$105,MATCH(L264,Catalogo_TIMSS!$A$5:$A$105,0)),"?"))</f>
        <v>Biología</v>
      </c>
      <c r="P264" s="8" t="s">
        <v>460</v>
      </c>
      <c r="Q264" s="27" t="s">
        <v>1507</v>
      </c>
      <c r="R264" s="27" t="s">
        <v>1508</v>
      </c>
      <c r="S264" s="28" t="n">
        <f aca="false">IFERROR(ISNUMBER(SEARCH("Conocer",$R264))/(ISNUMBER(SEARCH("Conocer",$R264))+ISNUMBER(SEARCH("Aplicar",$R264))+ISNUMBER(SEARCH("Razonar",$R264))),0)</f>
        <v>0</v>
      </c>
      <c r="T264" s="28" t="n">
        <f aca="false">IFERROR(ISNUMBER(SEARCH("Aplicar",$R264))/(ISNUMBER(SEARCH("Conocer",$R264))+ISNUMBER(SEARCH("Aplicar",$R264))+ISNUMBER(SEARCH("Razonar",$R264))),0)</f>
        <v>1</v>
      </c>
      <c r="U264" s="28" t="n">
        <f aca="false">IFERROR(ISNUMBER(SEARCH("Razonar",$R264))/(ISNUMBER(SEARCH("Conocer",$R264))+ISNUMBER(SEARCH("Aplicar",$R264))+ISNUMBER(SEARCH("Razonar",$R264))),0)</f>
        <v>0</v>
      </c>
      <c r="V264" s="8" t="s">
        <v>48</v>
      </c>
      <c r="W264" s="8" t="s">
        <v>67</v>
      </c>
    </row>
    <row r="265" customFormat="false" ht="15" hidden="false" customHeight="false" outlineLevel="0" collapsed="false">
      <c r="A265" s="8" t="s">
        <v>1509</v>
      </c>
      <c r="B265" s="8" t="n">
        <v>5</v>
      </c>
      <c r="C265" s="8" t="s">
        <v>411</v>
      </c>
      <c r="D265" s="8" t="s">
        <v>1285</v>
      </c>
      <c r="E265" s="8" t="s">
        <v>1503</v>
      </c>
      <c r="F265" s="8" t="n">
        <v>4</v>
      </c>
      <c r="G265" s="8" t="s">
        <v>1504</v>
      </c>
      <c r="H265" s="8" t="s">
        <v>1505</v>
      </c>
      <c r="I265" s="27" t="s">
        <v>1510</v>
      </c>
      <c r="J265" s="8" t="s">
        <v>185</v>
      </c>
      <c r="K265" s="8" t="s">
        <v>273</v>
      </c>
      <c r="L265" s="8" t="s">
        <v>203</v>
      </c>
      <c r="M265" s="8" t="str">
        <f aca="false">IF(K265="FUERA","Fuera del marco",IF(K265="N/A","Sin marco",IFERROR(INDEX(Catalogo_TIMSS!$C$5:$C$105,MATCH(K265,Catalogo_TIMSS!$A$5:$A$105,0)),"Pendiente de clasificar")))</f>
        <v>Ciencias de la Tierra</v>
      </c>
      <c r="N265" s="8" t="str">
        <f aca="false">IF(K265="FUERA","Fuera del marco",IF(K265="N/A","Sin marco",IFERROR(INDEX(Catalogo_TIMSS!$F$5:$F$105,MATCH(K265,Catalogo_TIMSS!$A$5:$A$105,0)),"Pendiente de clasificar")))</f>
        <v>Procesos, ciclos e historia de la Tierra</v>
      </c>
      <c r="O265" s="8" t="str">
        <f aca="false">IF(L265="","",IFERROR(INDEX(Catalogo_TIMSS!$C$5:$C$105,MATCH(L265,Catalogo_TIMSS!$A$5:$A$105,0)),"?"))</f>
        <v>Biología</v>
      </c>
      <c r="P265" s="8" t="s">
        <v>418</v>
      </c>
      <c r="Q265" s="27" t="s">
        <v>1511</v>
      </c>
      <c r="R265" s="27" t="s">
        <v>642</v>
      </c>
      <c r="S265" s="28" t="n">
        <f aca="false">IFERROR(ISNUMBER(SEARCH("Conocer",$R265))/(ISNUMBER(SEARCH("Conocer",$R265))+ISNUMBER(SEARCH("Aplicar",$R265))+ISNUMBER(SEARCH("Razonar",$R265))),0)</f>
        <v>0</v>
      </c>
      <c r="T265" s="28" t="n">
        <f aca="false">IFERROR(ISNUMBER(SEARCH("Aplicar",$R265))/(ISNUMBER(SEARCH("Conocer",$R265))+ISNUMBER(SEARCH("Aplicar",$R265))+ISNUMBER(SEARCH("Razonar",$R265))),0)</f>
        <v>1</v>
      </c>
      <c r="U265" s="28" t="n">
        <f aca="false">IFERROR(ISNUMBER(SEARCH("Razonar",$R265))/(ISNUMBER(SEARCH("Conocer",$R265))+ISNUMBER(SEARCH("Aplicar",$R265))+ISNUMBER(SEARCH("Razonar",$R265))),0)</f>
        <v>0</v>
      </c>
      <c r="V265" s="8" t="s">
        <v>48</v>
      </c>
      <c r="W265" s="8" t="s">
        <v>67</v>
      </c>
    </row>
    <row r="266" customFormat="false" ht="15" hidden="false" customHeight="false" outlineLevel="0" collapsed="false">
      <c r="A266" s="8" t="s">
        <v>1512</v>
      </c>
      <c r="B266" s="8" t="n">
        <v>5</v>
      </c>
      <c r="C266" s="8" t="s">
        <v>411</v>
      </c>
      <c r="D266" s="8" t="s">
        <v>1285</v>
      </c>
      <c r="E266" s="8" t="s">
        <v>1503</v>
      </c>
      <c r="F266" s="8" t="n">
        <v>5</v>
      </c>
      <c r="G266" s="8" t="s">
        <v>1504</v>
      </c>
      <c r="H266" s="8" t="s">
        <v>1505</v>
      </c>
      <c r="I266" s="27" t="s">
        <v>1513</v>
      </c>
      <c r="J266" s="8" t="s">
        <v>185</v>
      </c>
      <c r="K266" s="8" t="s">
        <v>273</v>
      </c>
      <c r="L266" s="8" t="s">
        <v>203</v>
      </c>
      <c r="M266" s="8" t="str">
        <f aca="false">IF(K266="FUERA","Fuera del marco",IF(K266="N/A","Sin marco",IFERROR(INDEX(Catalogo_TIMSS!$C$5:$C$105,MATCH(K266,Catalogo_TIMSS!$A$5:$A$105,0)),"Pendiente de clasificar")))</f>
        <v>Ciencias de la Tierra</v>
      </c>
      <c r="N266" s="8" t="str">
        <f aca="false">IF(K266="FUERA","Fuera del marco",IF(K266="N/A","Sin marco",IFERROR(INDEX(Catalogo_TIMSS!$F$5:$F$105,MATCH(K266,Catalogo_TIMSS!$A$5:$A$105,0)),"Pendiente de clasificar")))</f>
        <v>Procesos, ciclos e historia de la Tierra</v>
      </c>
      <c r="O266" s="8" t="str">
        <f aca="false">IF(L266="","",IFERROR(INDEX(Catalogo_TIMSS!$C$5:$C$105,MATCH(L266,Catalogo_TIMSS!$A$5:$A$105,0)),"?"))</f>
        <v>Biología</v>
      </c>
      <c r="P266" s="8" t="s">
        <v>460</v>
      </c>
      <c r="Q266" s="27" t="s">
        <v>1514</v>
      </c>
      <c r="R266" s="27" t="s">
        <v>1417</v>
      </c>
      <c r="S266" s="28" t="n">
        <f aca="false">IFERROR(ISNUMBER(SEARCH("Conocer",$R266))/(ISNUMBER(SEARCH("Conocer",$R266))+ISNUMBER(SEARCH("Aplicar",$R266))+ISNUMBER(SEARCH("Razonar",$R266))),0)</f>
        <v>0</v>
      </c>
      <c r="T266" s="28" t="n">
        <f aca="false">IFERROR(ISNUMBER(SEARCH("Aplicar",$R266))/(ISNUMBER(SEARCH("Conocer",$R266))+ISNUMBER(SEARCH("Aplicar",$R266))+ISNUMBER(SEARCH("Razonar",$R266))),0)</f>
        <v>0.5</v>
      </c>
      <c r="U266" s="28" t="n">
        <f aca="false">IFERROR(ISNUMBER(SEARCH("Razonar",$R266))/(ISNUMBER(SEARCH("Conocer",$R266))+ISNUMBER(SEARCH("Aplicar",$R266))+ISNUMBER(SEARCH("Razonar",$R266))),0)</f>
        <v>0.5</v>
      </c>
      <c r="V266" s="8" t="s">
        <v>48</v>
      </c>
      <c r="W266" s="8" t="s">
        <v>67</v>
      </c>
    </row>
    <row r="267" customFormat="false" ht="15" hidden="false" customHeight="false" outlineLevel="0" collapsed="false">
      <c r="A267" s="8" t="s">
        <v>1515</v>
      </c>
      <c r="B267" s="8" t="n">
        <v>5</v>
      </c>
      <c r="C267" s="8" t="s">
        <v>411</v>
      </c>
      <c r="D267" s="8" t="s">
        <v>1285</v>
      </c>
      <c r="E267" s="8" t="s">
        <v>1503</v>
      </c>
      <c r="F267" s="8" t="n">
        <v>6</v>
      </c>
      <c r="G267" s="8" t="s">
        <v>1504</v>
      </c>
      <c r="H267" s="8" t="s">
        <v>1505</v>
      </c>
      <c r="I267" s="27" t="s">
        <v>1516</v>
      </c>
      <c r="J267" s="8" t="s">
        <v>185</v>
      </c>
      <c r="K267" s="8" t="s">
        <v>273</v>
      </c>
      <c r="L267" s="8" t="s">
        <v>203</v>
      </c>
      <c r="M267" s="8" t="str">
        <f aca="false">IF(K267="FUERA","Fuera del marco",IF(K267="N/A","Sin marco",IFERROR(INDEX(Catalogo_TIMSS!$C$5:$C$105,MATCH(K267,Catalogo_TIMSS!$A$5:$A$105,0)),"Pendiente de clasificar")))</f>
        <v>Ciencias de la Tierra</v>
      </c>
      <c r="N267" s="8" t="str">
        <f aca="false">IF(K267="FUERA","Fuera del marco",IF(K267="N/A","Sin marco",IFERROR(INDEX(Catalogo_TIMSS!$F$5:$F$105,MATCH(K267,Catalogo_TIMSS!$A$5:$A$105,0)),"Pendiente de clasificar")))</f>
        <v>Procesos, ciclos e historia de la Tierra</v>
      </c>
      <c r="O267" s="8" t="str">
        <f aca="false">IF(L267="","",IFERROR(INDEX(Catalogo_TIMSS!$C$5:$C$105,MATCH(L267,Catalogo_TIMSS!$A$5:$A$105,0)),"?"))</f>
        <v>Biología</v>
      </c>
      <c r="P267" s="8" t="s">
        <v>460</v>
      </c>
      <c r="Q267" s="27" t="s">
        <v>1517</v>
      </c>
      <c r="R267" s="27" t="s">
        <v>1518</v>
      </c>
      <c r="S267" s="28" t="n">
        <f aca="false">IFERROR(ISNUMBER(SEARCH("Conocer",$R267))/(ISNUMBER(SEARCH("Conocer",$R267))+ISNUMBER(SEARCH("Aplicar",$R267))+ISNUMBER(SEARCH("Razonar",$R267))),0)</f>
        <v>0.5</v>
      </c>
      <c r="T267" s="28" t="n">
        <f aca="false">IFERROR(ISNUMBER(SEARCH("Aplicar",$R267))/(ISNUMBER(SEARCH("Conocer",$R267))+ISNUMBER(SEARCH("Aplicar",$R267))+ISNUMBER(SEARCH("Razonar",$R267))),0)</f>
        <v>0</v>
      </c>
      <c r="U267" s="28" t="n">
        <f aca="false">IFERROR(ISNUMBER(SEARCH("Razonar",$R267))/(ISNUMBER(SEARCH("Conocer",$R267))+ISNUMBER(SEARCH("Aplicar",$R267))+ISNUMBER(SEARCH("Razonar",$R267))),0)</f>
        <v>0.5</v>
      </c>
      <c r="V267" s="8" t="s">
        <v>48</v>
      </c>
      <c r="W267" s="8" t="s">
        <v>67</v>
      </c>
    </row>
    <row r="268" customFormat="false" ht="15" hidden="false" customHeight="false" outlineLevel="0" collapsed="false">
      <c r="A268" s="8" t="s">
        <v>1519</v>
      </c>
      <c r="B268" s="8" t="n">
        <v>5</v>
      </c>
      <c r="C268" s="8" t="s">
        <v>411</v>
      </c>
      <c r="D268" s="8" t="s">
        <v>1285</v>
      </c>
      <c r="E268" s="8" t="s">
        <v>1503</v>
      </c>
      <c r="F268" s="8" t="n">
        <v>7</v>
      </c>
      <c r="G268" s="8" t="s">
        <v>1504</v>
      </c>
      <c r="H268" s="8" t="s">
        <v>1505</v>
      </c>
      <c r="I268" s="27" t="s">
        <v>1520</v>
      </c>
      <c r="J268" s="8" t="s">
        <v>185</v>
      </c>
      <c r="K268" s="8" t="s">
        <v>200</v>
      </c>
      <c r="L268" s="8" t="s">
        <v>203</v>
      </c>
      <c r="M268" s="8" t="str">
        <f aca="false">IF(K268="FUERA","Fuera del marco",IF(K268="N/A","Sin marco",IFERROR(INDEX(Catalogo_TIMSS!$C$5:$C$105,MATCH(K268,Catalogo_TIMSS!$A$5:$A$105,0)),"Pendiente de clasificar")))</f>
        <v>Biología</v>
      </c>
      <c r="N268" s="8" t="str">
        <f aca="false">IF(K268="FUERA","Fuera del marco",IF(K268="N/A","Sin marco",IFERROR(INDEX(Catalogo_TIMSS!$F$5:$F$105,MATCH(K268,Catalogo_TIMSS!$A$5:$A$105,0)),"Pendiente de clasificar")))</f>
        <v>Diversidad, adaptación y selección natural</v>
      </c>
      <c r="O268" s="8" t="str">
        <f aca="false">IF(L268="","",IFERROR(INDEX(Catalogo_TIMSS!$C$5:$C$105,MATCH(L268,Catalogo_TIMSS!$A$5:$A$105,0)),"?"))</f>
        <v>Biología</v>
      </c>
      <c r="P268" s="8" t="s">
        <v>460</v>
      </c>
      <c r="Q268" s="27" t="s">
        <v>1521</v>
      </c>
      <c r="R268" s="27" t="s">
        <v>1126</v>
      </c>
      <c r="S268" s="28" t="n">
        <f aca="false">IFERROR(ISNUMBER(SEARCH("Conocer",$R268))/(ISNUMBER(SEARCH("Conocer",$R268))+ISNUMBER(SEARCH("Aplicar",$R268))+ISNUMBER(SEARCH("Razonar",$R268))),0)</f>
        <v>0</v>
      </c>
      <c r="T268" s="28" t="n">
        <f aca="false">IFERROR(ISNUMBER(SEARCH("Aplicar",$R268))/(ISNUMBER(SEARCH("Conocer",$R268))+ISNUMBER(SEARCH("Aplicar",$R268))+ISNUMBER(SEARCH("Razonar",$R268))),0)</f>
        <v>1</v>
      </c>
      <c r="U268" s="28" t="n">
        <f aca="false">IFERROR(ISNUMBER(SEARCH("Razonar",$R268))/(ISNUMBER(SEARCH("Conocer",$R268))+ISNUMBER(SEARCH("Aplicar",$R268))+ISNUMBER(SEARCH("Razonar",$R268))),0)</f>
        <v>0</v>
      </c>
      <c r="V268" s="8" t="s">
        <v>48</v>
      </c>
      <c r="W268" s="8" t="s">
        <v>67</v>
      </c>
    </row>
    <row r="269" customFormat="false" ht="15" hidden="false" customHeight="false" outlineLevel="0" collapsed="false">
      <c r="A269" s="8" t="s">
        <v>1522</v>
      </c>
      <c r="B269" s="8" t="n">
        <v>5</v>
      </c>
      <c r="C269" s="8" t="s">
        <v>411</v>
      </c>
      <c r="D269" s="8" t="s">
        <v>1285</v>
      </c>
      <c r="E269" s="8" t="s">
        <v>1503</v>
      </c>
      <c r="F269" s="8" t="n">
        <v>8</v>
      </c>
      <c r="G269" s="8" t="s">
        <v>1504</v>
      </c>
      <c r="H269" s="8" t="s">
        <v>1523</v>
      </c>
      <c r="I269" s="27" t="s">
        <v>1524</v>
      </c>
      <c r="J269" s="8" t="s">
        <v>185</v>
      </c>
      <c r="K269" s="8" t="s">
        <v>273</v>
      </c>
      <c r="L269" s="8" t="s">
        <v>268</v>
      </c>
      <c r="M269" s="8" t="str">
        <f aca="false">IF(K269="FUERA","Fuera del marco",IF(K269="N/A","Sin marco",IFERROR(INDEX(Catalogo_TIMSS!$C$5:$C$105,MATCH(K269,Catalogo_TIMSS!$A$5:$A$105,0)),"Pendiente de clasificar")))</f>
        <v>Ciencias de la Tierra</v>
      </c>
      <c r="N269" s="8" t="str">
        <f aca="false">IF(K269="FUERA","Fuera del marco",IF(K269="N/A","Sin marco",IFERROR(INDEX(Catalogo_TIMSS!$F$5:$F$105,MATCH(K269,Catalogo_TIMSS!$A$5:$A$105,0)),"Pendiente de clasificar")))</f>
        <v>Procesos, ciclos e historia de la Tierra</v>
      </c>
      <c r="O269" s="8" t="str">
        <f aca="false">IF(L269="","",IFERROR(INDEX(Catalogo_TIMSS!$C$5:$C$105,MATCH(L269,Catalogo_TIMSS!$A$5:$A$105,0)),"?"))</f>
        <v>Ciencias de la Tierra</v>
      </c>
      <c r="P269" s="8" t="s">
        <v>460</v>
      </c>
      <c r="Q269" s="27" t="s">
        <v>1525</v>
      </c>
      <c r="R269" s="27" t="s">
        <v>642</v>
      </c>
      <c r="S269" s="28" t="n">
        <f aca="false">IFERROR(ISNUMBER(SEARCH("Conocer",$R269))/(ISNUMBER(SEARCH("Conocer",$R269))+ISNUMBER(SEARCH("Aplicar",$R269))+ISNUMBER(SEARCH("Razonar",$R269))),0)</f>
        <v>0</v>
      </c>
      <c r="T269" s="28" t="n">
        <f aca="false">IFERROR(ISNUMBER(SEARCH("Aplicar",$R269))/(ISNUMBER(SEARCH("Conocer",$R269))+ISNUMBER(SEARCH("Aplicar",$R269))+ISNUMBER(SEARCH("Razonar",$R269))),0)</f>
        <v>1</v>
      </c>
      <c r="U269" s="28" t="n">
        <f aca="false">IFERROR(ISNUMBER(SEARCH("Razonar",$R269))/(ISNUMBER(SEARCH("Conocer",$R269))+ISNUMBER(SEARCH("Aplicar",$R269))+ISNUMBER(SEARCH("Razonar",$R269))),0)</f>
        <v>0</v>
      </c>
      <c r="V269" s="8" t="s">
        <v>48</v>
      </c>
      <c r="W269" s="8" t="s">
        <v>67</v>
      </c>
    </row>
    <row r="270" customFormat="false" ht="15" hidden="false" customHeight="false" outlineLevel="0" collapsed="false">
      <c r="A270" s="8" t="s">
        <v>1526</v>
      </c>
      <c r="B270" s="8" t="n">
        <v>5</v>
      </c>
      <c r="C270" s="8" t="s">
        <v>411</v>
      </c>
      <c r="D270" s="8" t="s">
        <v>1285</v>
      </c>
      <c r="E270" s="8" t="s">
        <v>1503</v>
      </c>
      <c r="F270" s="8" t="n">
        <v>9</v>
      </c>
      <c r="G270" s="8" t="s">
        <v>1504</v>
      </c>
      <c r="H270" s="8" t="s">
        <v>1523</v>
      </c>
      <c r="I270" s="27" t="s">
        <v>1527</v>
      </c>
      <c r="J270" s="8" t="s">
        <v>185</v>
      </c>
      <c r="K270" s="8" t="s">
        <v>273</v>
      </c>
      <c r="L270" s="8" t="s">
        <v>268</v>
      </c>
      <c r="M270" s="8" t="str">
        <f aca="false">IF(K270="FUERA","Fuera del marco",IF(K270="N/A","Sin marco",IFERROR(INDEX(Catalogo_TIMSS!$C$5:$C$105,MATCH(K270,Catalogo_TIMSS!$A$5:$A$105,0)),"Pendiente de clasificar")))</f>
        <v>Ciencias de la Tierra</v>
      </c>
      <c r="N270" s="8" t="str">
        <f aca="false">IF(K270="FUERA","Fuera del marco",IF(K270="N/A","Sin marco",IFERROR(INDEX(Catalogo_TIMSS!$F$5:$F$105,MATCH(K270,Catalogo_TIMSS!$A$5:$A$105,0)),"Pendiente de clasificar")))</f>
        <v>Procesos, ciclos e historia de la Tierra</v>
      </c>
      <c r="O270" s="8" t="str">
        <f aca="false">IF(L270="","",IFERROR(INDEX(Catalogo_TIMSS!$C$5:$C$105,MATCH(L270,Catalogo_TIMSS!$A$5:$A$105,0)),"?"))</f>
        <v>Ciencias de la Tierra</v>
      </c>
      <c r="P270" s="8" t="s">
        <v>460</v>
      </c>
      <c r="Q270" s="27" t="s">
        <v>1528</v>
      </c>
      <c r="R270" s="27" t="s">
        <v>1529</v>
      </c>
      <c r="S270" s="28" t="n">
        <f aca="false">IFERROR(ISNUMBER(SEARCH("Conocer",$R270))/(ISNUMBER(SEARCH("Conocer",$R270))+ISNUMBER(SEARCH("Aplicar",$R270))+ISNUMBER(SEARCH("Razonar",$R270))),0)</f>
        <v>0</v>
      </c>
      <c r="T270" s="28" t="n">
        <f aca="false">IFERROR(ISNUMBER(SEARCH("Aplicar",$R270))/(ISNUMBER(SEARCH("Conocer",$R270))+ISNUMBER(SEARCH("Aplicar",$R270))+ISNUMBER(SEARCH("Razonar",$R270))),0)</f>
        <v>1</v>
      </c>
      <c r="U270" s="28" t="n">
        <f aca="false">IFERROR(ISNUMBER(SEARCH("Razonar",$R270))/(ISNUMBER(SEARCH("Conocer",$R270))+ISNUMBER(SEARCH("Aplicar",$R270))+ISNUMBER(SEARCH("Razonar",$R270))),0)</f>
        <v>0</v>
      </c>
      <c r="V270" s="8" t="s">
        <v>48</v>
      </c>
      <c r="W270" s="8" t="s">
        <v>67</v>
      </c>
    </row>
    <row r="271" customFormat="false" ht="15" hidden="false" customHeight="false" outlineLevel="0" collapsed="false">
      <c r="A271" s="8" t="s">
        <v>1530</v>
      </c>
      <c r="B271" s="8" t="n">
        <v>5</v>
      </c>
      <c r="C271" s="8" t="s">
        <v>411</v>
      </c>
      <c r="D271" s="8" t="s">
        <v>1285</v>
      </c>
      <c r="E271" s="8" t="s">
        <v>1503</v>
      </c>
      <c r="F271" s="8" t="n">
        <v>10</v>
      </c>
      <c r="G271" s="8" t="s">
        <v>1504</v>
      </c>
      <c r="H271" s="8" t="s">
        <v>1531</v>
      </c>
      <c r="I271" s="27" t="s">
        <v>1532</v>
      </c>
      <c r="J271" s="8" t="s">
        <v>185</v>
      </c>
      <c r="K271" s="8" t="s">
        <v>273</v>
      </c>
      <c r="L271" s="8"/>
      <c r="M271" s="8" t="str">
        <f aca="false">IF(K271="FUERA","Fuera del marco",IF(K271="N/A","Sin marco",IFERROR(INDEX(Catalogo_TIMSS!$C$5:$C$105,MATCH(K271,Catalogo_TIMSS!$A$5:$A$105,0)),"Pendiente de clasificar")))</f>
        <v>Ciencias de la Tierra</v>
      </c>
      <c r="N271" s="8" t="str">
        <f aca="false">IF(K271="FUERA","Fuera del marco",IF(K271="N/A","Sin marco",IFERROR(INDEX(Catalogo_TIMSS!$F$5:$F$105,MATCH(K271,Catalogo_TIMSS!$A$5:$A$105,0)),"Pendiente de clasificar")))</f>
        <v>Procesos, ciclos e historia de la Tierra</v>
      </c>
      <c r="O271" s="8" t="str">
        <f aca="false">IF(L271="","",IFERROR(INDEX(Catalogo_TIMSS!$C$5:$C$105,MATCH(L271,Catalogo_TIMSS!$A$5:$A$105,0)),"?"))</f>
        <v/>
      </c>
      <c r="P271" s="8" t="s">
        <v>418</v>
      </c>
      <c r="Q271" s="27" t="s">
        <v>1533</v>
      </c>
      <c r="R271" s="27" t="s">
        <v>1534</v>
      </c>
      <c r="S271" s="28" t="n">
        <f aca="false">IFERROR(ISNUMBER(SEARCH("Conocer",$R271))/(ISNUMBER(SEARCH("Conocer",$R271))+ISNUMBER(SEARCH("Aplicar",$R271))+ISNUMBER(SEARCH("Razonar",$R271))),0)</f>
        <v>0</v>
      </c>
      <c r="T271" s="28" t="n">
        <f aca="false">IFERROR(ISNUMBER(SEARCH("Aplicar",$R271))/(ISNUMBER(SEARCH("Conocer",$R271))+ISNUMBER(SEARCH("Aplicar",$R271))+ISNUMBER(SEARCH("Razonar",$R271))),0)</f>
        <v>1</v>
      </c>
      <c r="U271" s="28" t="n">
        <f aca="false">IFERROR(ISNUMBER(SEARCH("Razonar",$R271))/(ISNUMBER(SEARCH("Conocer",$R271))+ISNUMBER(SEARCH("Aplicar",$R271))+ISNUMBER(SEARCH("Razonar",$R271))),0)</f>
        <v>0</v>
      </c>
      <c r="V271" s="8" t="s">
        <v>48</v>
      </c>
      <c r="W271" s="8" t="s">
        <v>67</v>
      </c>
    </row>
    <row r="272" customFormat="false" ht="15" hidden="false" customHeight="false" outlineLevel="0" collapsed="false">
      <c r="A272" s="8" t="s">
        <v>1535</v>
      </c>
      <c r="B272" s="8" t="n">
        <v>5</v>
      </c>
      <c r="C272" s="8" t="s">
        <v>411</v>
      </c>
      <c r="D272" s="8" t="s">
        <v>1285</v>
      </c>
      <c r="E272" s="8" t="s">
        <v>1503</v>
      </c>
      <c r="F272" s="8" t="n">
        <v>11</v>
      </c>
      <c r="G272" s="8" t="s">
        <v>1504</v>
      </c>
      <c r="H272" s="8" t="s">
        <v>1531</v>
      </c>
      <c r="I272" s="27" t="s">
        <v>1536</v>
      </c>
      <c r="J272" s="8" t="s">
        <v>185</v>
      </c>
      <c r="K272" s="8" t="s">
        <v>273</v>
      </c>
      <c r="L272" s="8"/>
      <c r="M272" s="8" t="str">
        <f aca="false">IF(K272="FUERA","Fuera del marco",IF(K272="N/A","Sin marco",IFERROR(INDEX(Catalogo_TIMSS!$C$5:$C$105,MATCH(K272,Catalogo_TIMSS!$A$5:$A$105,0)),"Pendiente de clasificar")))</f>
        <v>Ciencias de la Tierra</v>
      </c>
      <c r="N272" s="8" t="str">
        <f aca="false">IF(K272="FUERA","Fuera del marco",IF(K272="N/A","Sin marco",IFERROR(INDEX(Catalogo_TIMSS!$F$5:$F$105,MATCH(K272,Catalogo_TIMSS!$A$5:$A$105,0)),"Pendiente de clasificar")))</f>
        <v>Procesos, ciclos e historia de la Tierra</v>
      </c>
      <c r="O272" s="8" t="str">
        <f aca="false">IF(L272="","",IFERROR(INDEX(Catalogo_TIMSS!$C$5:$C$105,MATCH(L272,Catalogo_TIMSS!$A$5:$A$105,0)),"?"))</f>
        <v/>
      </c>
      <c r="P272" s="8" t="s">
        <v>460</v>
      </c>
      <c r="Q272" s="27" t="s">
        <v>1537</v>
      </c>
      <c r="R272" s="27" t="s">
        <v>1538</v>
      </c>
      <c r="S272" s="28" t="n">
        <f aca="false">IFERROR(ISNUMBER(SEARCH("Conocer",$R272))/(ISNUMBER(SEARCH("Conocer",$R272))+ISNUMBER(SEARCH("Aplicar",$R272))+ISNUMBER(SEARCH("Razonar",$R272))),0)</f>
        <v>0</v>
      </c>
      <c r="T272" s="28" t="n">
        <f aca="false">IFERROR(ISNUMBER(SEARCH("Aplicar",$R272))/(ISNUMBER(SEARCH("Conocer",$R272))+ISNUMBER(SEARCH("Aplicar",$R272))+ISNUMBER(SEARCH("Razonar",$R272))),0)</f>
        <v>0.5</v>
      </c>
      <c r="U272" s="28" t="n">
        <f aca="false">IFERROR(ISNUMBER(SEARCH("Razonar",$R272))/(ISNUMBER(SEARCH("Conocer",$R272))+ISNUMBER(SEARCH("Aplicar",$R272))+ISNUMBER(SEARCH("Razonar",$R272))),0)</f>
        <v>0.5</v>
      </c>
      <c r="V272" s="8" t="s">
        <v>48</v>
      </c>
      <c r="W272" s="8" t="s">
        <v>67</v>
      </c>
    </row>
    <row r="273" customFormat="false" ht="15" hidden="false" customHeight="false" outlineLevel="0" collapsed="false">
      <c r="A273" s="8" t="s">
        <v>1539</v>
      </c>
      <c r="B273" s="8" t="n">
        <v>5</v>
      </c>
      <c r="C273" s="8" t="s">
        <v>411</v>
      </c>
      <c r="D273" s="8" t="s">
        <v>1285</v>
      </c>
      <c r="E273" s="8" t="s">
        <v>1503</v>
      </c>
      <c r="F273" s="8" t="n">
        <v>12</v>
      </c>
      <c r="G273" s="8" t="s">
        <v>1504</v>
      </c>
      <c r="H273" s="8" t="s">
        <v>1531</v>
      </c>
      <c r="I273" s="27" t="s">
        <v>1540</v>
      </c>
      <c r="J273" s="8" t="s">
        <v>185</v>
      </c>
      <c r="K273" s="8" t="s">
        <v>273</v>
      </c>
      <c r="L273" s="8"/>
      <c r="M273" s="8" t="str">
        <f aca="false">IF(K273="FUERA","Fuera del marco",IF(K273="N/A","Sin marco",IFERROR(INDEX(Catalogo_TIMSS!$C$5:$C$105,MATCH(K273,Catalogo_TIMSS!$A$5:$A$105,0)),"Pendiente de clasificar")))</f>
        <v>Ciencias de la Tierra</v>
      </c>
      <c r="N273" s="8" t="str">
        <f aca="false">IF(K273="FUERA","Fuera del marco",IF(K273="N/A","Sin marco",IFERROR(INDEX(Catalogo_TIMSS!$F$5:$F$105,MATCH(K273,Catalogo_TIMSS!$A$5:$A$105,0)),"Pendiente de clasificar")))</f>
        <v>Procesos, ciclos e historia de la Tierra</v>
      </c>
      <c r="O273" s="8" t="str">
        <f aca="false">IF(L273="","",IFERROR(INDEX(Catalogo_TIMSS!$C$5:$C$105,MATCH(L273,Catalogo_TIMSS!$A$5:$A$105,0)),"?"))</f>
        <v/>
      </c>
      <c r="P273" s="8" t="s">
        <v>513</v>
      </c>
      <c r="Q273" s="27" t="s">
        <v>1541</v>
      </c>
      <c r="R273" s="27" t="s">
        <v>1102</v>
      </c>
      <c r="S273" s="28" t="n">
        <f aca="false">IFERROR(ISNUMBER(SEARCH("Conocer",$R273))/(ISNUMBER(SEARCH("Conocer",$R273))+ISNUMBER(SEARCH("Aplicar",$R273))+ISNUMBER(SEARCH("Razonar",$R273))),0)</f>
        <v>0.5</v>
      </c>
      <c r="T273" s="28" t="n">
        <f aca="false">IFERROR(ISNUMBER(SEARCH("Aplicar",$R273))/(ISNUMBER(SEARCH("Conocer",$R273))+ISNUMBER(SEARCH("Aplicar",$R273))+ISNUMBER(SEARCH("Razonar",$R273))),0)</f>
        <v>0</v>
      </c>
      <c r="U273" s="28" t="n">
        <f aca="false">IFERROR(ISNUMBER(SEARCH("Razonar",$R273))/(ISNUMBER(SEARCH("Conocer",$R273))+ISNUMBER(SEARCH("Aplicar",$R273))+ISNUMBER(SEARCH("Razonar",$R273))),0)</f>
        <v>0.5</v>
      </c>
      <c r="V273" s="8" t="s">
        <v>48</v>
      </c>
      <c r="W273" s="8" t="s">
        <v>67</v>
      </c>
    </row>
    <row r="274" customFormat="false" ht="15" hidden="false" customHeight="false" outlineLevel="0" collapsed="false">
      <c r="A274" s="8" t="s">
        <v>1542</v>
      </c>
      <c r="B274" s="8" t="n">
        <v>5</v>
      </c>
      <c r="C274" s="8" t="s">
        <v>411</v>
      </c>
      <c r="D274" s="8" t="s">
        <v>1285</v>
      </c>
      <c r="E274" s="8" t="s">
        <v>1503</v>
      </c>
      <c r="F274" s="8" t="n">
        <v>13</v>
      </c>
      <c r="G274" s="8" t="s">
        <v>1504</v>
      </c>
      <c r="H274" s="8" t="s">
        <v>1543</v>
      </c>
      <c r="I274" s="27" t="s">
        <v>1544</v>
      </c>
      <c r="J274" s="8" t="s">
        <v>185</v>
      </c>
      <c r="K274" s="8" t="s">
        <v>273</v>
      </c>
      <c r="L274" s="8"/>
      <c r="M274" s="8" t="str">
        <f aca="false">IF(K274="FUERA","Fuera del marco",IF(K274="N/A","Sin marco",IFERROR(INDEX(Catalogo_TIMSS!$C$5:$C$105,MATCH(K274,Catalogo_TIMSS!$A$5:$A$105,0)),"Pendiente de clasificar")))</f>
        <v>Ciencias de la Tierra</v>
      </c>
      <c r="N274" s="8" t="str">
        <f aca="false">IF(K274="FUERA","Fuera del marco",IF(K274="N/A","Sin marco",IFERROR(INDEX(Catalogo_TIMSS!$F$5:$F$105,MATCH(K274,Catalogo_TIMSS!$A$5:$A$105,0)),"Pendiente de clasificar")))</f>
        <v>Procesos, ciclos e historia de la Tierra</v>
      </c>
      <c r="O274" s="8" t="str">
        <f aca="false">IF(L274="","",IFERROR(INDEX(Catalogo_TIMSS!$C$5:$C$105,MATCH(L274,Catalogo_TIMSS!$A$5:$A$105,0)),"?"))</f>
        <v/>
      </c>
      <c r="P274" s="8" t="s">
        <v>418</v>
      </c>
      <c r="Q274" s="27" t="s">
        <v>1545</v>
      </c>
      <c r="R274" s="27" t="s">
        <v>451</v>
      </c>
      <c r="S274" s="28" t="n">
        <f aca="false">IFERROR(ISNUMBER(SEARCH("Conocer",$R274))/(ISNUMBER(SEARCH("Conocer",$R274))+ISNUMBER(SEARCH("Aplicar",$R274))+ISNUMBER(SEARCH("Razonar",$R274))),0)</f>
        <v>0</v>
      </c>
      <c r="T274" s="28" t="n">
        <f aca="false">IFERROR(ISNUMBER(SEARCH("Aplicar",$R274))/(ISNUMBER(SEARCH("Conocer",$R274))+ISNUMBER(SEARCH("Aplicar",$R274))+ISNUMBER(SEARCH("Razonar",$R274))),0)</f>
        <v>1</v>
      </c>
      <c r="U274" s="28" t="n">
        <f aca="false">IFERROR(ISNUMBER(SEARCH("Razonar",$R274))/(ISNUMBER(SEARCH("Conocer",$R274))+ISNUMBER(SEARCH("Aplicar",$R274))+ISNUMBER(SEARCH("Razonar",$R274))),0)</f>
        <v>0</v>
      </c>
      <c r="V274" s="8" t="s">
        <v>48</v>
      </c>
      <c r="W274" s="8" t="s">
        <v>67</v>
      </c>
    </row>
    <row r="275" customFormat="false" ht="15" hidden="false" customHeight="false" outlineLevel="0" collapsed="false">
      <c r="A275" s="8" t="s">
        <v>1546</v>
      </c>
      <c r="B275" s="8" t="n">
        <v>5</v>
      </c>
      <c r="C275" s="8" t="s">
        <v>411</v>
      </c>
      <c r="D275" s="8" t="s">
        <v>1285</v>
      </c>
      <c r="E275" s="8" t="s">
        <v>1503</v>
      </c>
      <c r="F275" s="8" t="n">
        <v>14</v>
      </c>
      <c r="G275" s="8" t="s">
        <v>1504</v>
      </c>
      <c r="H275" s="8" t="s">
        <v>1543</v>
      </c>
      <c r="I275" s="27" t="s">
        <v>1547</v>
      </c>
      <c r="J275" s="8" t="s">
        <v>185</v>
      </c>
      <c r="K275" s="8" t="s">
        <v>273</v>
      </c>
      <c r="L275" s="8"/>
      <c r="M275" s="8" t="str">
        <f aca="false">IF(K275="FUERA","Fuera del marco",IF(K275="N/A","Sin marco",IFERROR(INDEX(Catalogo_TIMSS!$C$5:$C$105,MATCH(K275,Catalogo_TIMSS!$A$5:$A$105,0)),"Pendiente de clasificar")))</f>
        <v>Ciencias de la Tierra</v>
      </c>
      <c r="N275" s="8" t="str">
        <f aca="false">IF(K275="FUERA","Fuera del marco",IF(K275="N/A","Sin marco",IFERROR(INDEX(Catalogo_TIMSS!$F$5:$F$105,MATCH(K275,Catalogo_TIMSS!$A$5:$A$105,0)),"Pendiente de clasificar")))</f>
        <v>Procesos, ciclos e historia de la Tierra</v>
      </c>
      <c r="O275" s="8" t="str">
        <f aca="false">IF(L275="","",IFERROR(INDEX(Catalogo_TIMSS!$C$5:$C$105,MATCH(L275,Catalogo_TIMSS!$A$5:$A$105,0)),"?"))</f>
        <v/>
      </c>
      <c r="P275" s="8" t="s">
        <v>460</v>
      </c>
      <c r="Q275" s="27" t="s">
        <v>1548</v>
      </c>
      <c r="R275" s="27" t="s">
        <v>1549</v>
      </c>
      <c r="S275" s="28" t="n">
        <f aca="false">IFERROR(ISNUMBER(SEARCH("Conocer",$R275))/(ISNUMBER(SEARCH("Conocer",$R275))+ISNUMBER(SEARCH("Aplicar",$R275))+ISNUMBER(SEARCH("Razonar",$R275))),0)</f>
        <v>0</v>
      </c>
      <c r="T275" s="28" t="n">
        <f aca="false">IFERROR(ISNUMBER(SEARCH("Aplicar",$R275))/(ISNUMBER(SEARCH("Conocer",$R275))+ISNUMBER(SEARCH("Aplicar",$R275))+ISNUMBER(SEARCH("Razonar",$R275))),0)</f>
        <v>1</v>
      </c>
      <c r="U275" s="28" t="n">
        <f aca="false">IFERROR(ISNUMBER(SEARCH("Razonar",$R275))/(ISNUMBER(SEARCH("Conocer",$R275))+ISNUMBER(SEARCH("Aplicar",$R275))+ISNUMBER(SEARCH("Razonar",$R275))),0)</f>
        <v>0</v>
      </c>
      <c r="V275" s="8" t="s">
        <v>48</v>
      </c>
      <c r="W275" s="8" t="s">
        <v>67</v>
      </c>
    </row>
    <row r="276" customFormat="false" ht="15" hidden="false" customHeight="false" outlineLevel="0" collapsed="false">
      <c r="A276" s="8" t="s">
        <v>1550</v>
      </c>
      <c r="B276" s="8" t="n">
        <v>5</v>
      </c>
      <c r="C276" s="8" t="s">
        <v>411</v>
      </c>
      <c r="D276" s="8" t="s">
        <v>1285</v>
      </c>
      <c r="E276" s="8" t="s">
        <v>1503</v>
      </c>
      <c r="F276" s="8" t="n">
        <v>15</v>
      </c>
      <c r="G276" s="8" t="s">
        <v>1504</v>
      </c>
      <c r="H276" s="8" t="s">
        <v>1543</v>
      </c>
      <c r="I276" s="27" t="s">
        <v>1551</v>
      </c>
      <c r="J276" s="8" t="s">
        <v>185</v>
      </c>
      <c r="K276" s="8" t="s">
        <v>417</v>
      </c>
      <c r="L276" s="8"/>
      <c r="M276" s="8" t="str">
        <f aca="false">IF(K276="FUERA","Fuera del marco",IF(K276="N/A","Sin marco",IFERROR(INDEX(Catalogo_TIMSS!$C$5:$C$105,MATCH(K276,Catalogo_TIMSS!$A$5:$A$105,0)),"Pendiente de clasificar")))</f>
        <v>Fuera del marco</v>
      </c>
      <c r="N276" s="8" t="str">
        <f aca="false">IF(K276="FUERA","Fuera del marco",IF(K276="N/A","Sin marco",IFERROR(INDEX(Catalogo_TIMSS!$F$5:$F$105,MATCH(K276,Catalogo_TIMSS!$A$5:$A$105,0)),"Pendiente de clasificar")))</f>
        <v>Fuera del marco</v>
      </c>
      <c r="O276" s="8" t="str">
        <f aca="false">IF(L276="","",IFERROR(INDEX(Catalogo_TIMSS!$C$5:$C$105,MATCH(L276,Catalogo_TIMSS!$A$5:$A$105,0)),"?"))</f>
        <v/>
      </c>
      <c r="P276" s="8" t="s">
        <v>418</v>
      </c>
      <c r="Q276" s="27" t="s">
        <v>1552</v>
      </c>
      <c r="R276" s="27" t="s">
        <v>1553</v>
      </c>
      <c r="S276" s="28" t="n">
        <f aca="false">IFERROR(ISNUMBER(SEARCH("Conocer",$R276))/(ISNUMBER(SEARCH("Conocer",$R276))+ISNUMBER(SEARCH("Aplicar",$R276))+ISNUMBER(SEARCH("Razonar",$R276))),0)</f>
        <v>0</v>
      </c>
      <c r="T276" s="28" t="n">
        <f aca="false">IFERROR(ISNUMBER(SEARCH("Aplicar",$R276))/(ISNUMBER(SEARCH("Conocer",$R276))+ISNUMBER(SEARCH("Aplicar",$R276))+ISNUMBER(SEARCH("Razonar",$R276))),0)</f>
        <v>1</v>
      </c>
      <c r="U276" s="28" t="n">
        <f aca="false">IFERROR(ISNUMBER(SEARCH("Razonar",$R276))/(ISNUMBER(SEARCH("Conocer",$R276))+ISNUMBER(SEARCH("Aplicar",$R276))+ISNUMBER(SEARCH("Razonar",$R276))),0)</f>
        <v>0</v>
      </c>
      <c r="V276" s="8" t="s">
        <v>48</v>
      </c>
      <c r="W276" s="8" t="s">
        <v>67</v>
      </c>
    </row>
    <row r="277" customFormat="false" ht="15" hidden="false" customHeight="false" outlineLevel="0" collapsed="false">
      <c r="A277" s="8" t="s">
        <v>1554</v>
      </c>
      <c r="B277" s="8" t="n">
        <v>5</v>
      </c>
      <c r="C277" s="8" t="s">
        <v>411</v>
      </c>
      <c r="D277" s="8" t="s">
        <v>1285</v>
      </c>
      <c r="E277" s="8" t="s">
        <v>1503</v>
      </c>
      <c r="F277" s="8" t="n">
        <v>16</v>
      </c>
      <c r="G277" s="8" t="s">
        <v>1504</v>
      </c>
      <c r="H277" s="8" t="s">
        <v>1555</v>
      </c>
      <c r="I277" s="27" t="s">
        <v>1556</v>
      </c>
      <c r="J277" s="8" t="s">
        <v>185</v>
      </c>
      <c r="K277" s="8" t="s">
        <v>273</v>
      </c>
      <c r="L277" s="8" t="s">
        <v>235</v>
      </c>
      <c r="M277" s="8" t="str">
        <f aca="false">IF(K277="FUERA","Fuera del marco",IF(K277="N/A","Sin marco",IFERROR(INDEX(Catalogo_TIMSS!$C$5:$C$105,MATCH(K277,Catalogo_TIMSS!$A$5:$A$105,0)),"Pendiente de clasificar")))</f>
        <v>Ciencias de la Tierra</v>
      </c>
      <c r="N277" s="8" t="str">
        <f aca="false">IF(K277="FUERA","Fuera del marco",IF(K277="N/A","Sin marco",IFERROR(INDEX(Catalogo_TIMSS!$F$5:$F$105,MATCH(K277,Catalogo_TIMSS!$A$5:$A$105,0)),"Pendiente de clasificar")))</f>
        <v>Procesos, ciclos e historia de la Tierra</v>
      </c>
      <c r="O277" s="8" t="str">
        <f aca="false">IF(L277="","",IFERROR(INDEX(Catalogo_TIMSS!$C$5:$C$105,MATCH(L277,Catalogo_TIMSS!$A$5:$A$105,0)),"?"))</f>
        <v>Química</v>
      </c>
      <c r="P277" s="8" t="s">
        <v>513</v>
      </c>
      <c r="Q277" s="27" t="s">
        <v>1557</v>
      </c>
      <c r="R277" s="27" t="s">
        <v>1558</v>
      </c>
      <c r="S277" s="28" t="n">
        <f aca="false">IFERROR(ISNUMBER(SEARCH("Conocer",$R277))/(ISNUMBER(SEARCH("Conocer",$R277))+ISNUMBER(SEARCH("Aplicar",$R277))+ISNUMBER(SEARCH("Razonar",$R277))),0)</f>
        <v>0</v>
      </c>
      <c r="T277" s="28" t="n">
        <f aca="false">IFERROR(ISNUMBER(SEARCH("Aplicar",$R277))/(ISNUMBER(SEARCH("Conocer",$R277))+ISNUMBER(SEARCH("Aplicar",$R277))+ISNUMBER(SEARCH("Razonar",$R277))),0)</f>
        <v>0</v>
      </c>
      <c r="U277" s="28" t="n">
        <f aca="false">IFERROR(ISNUMBER(SEARCH("Razonar",$R277))/(ISNUMBER(SEARCH("Conocer",$R277))+ISNUMBER(SEARCH("Aplicar",$R277))+ISNUMBER(SEARCH("Razonar",$R277))),0)</f>
        <v>1</v>
      </c>
      <c r="V277" s="8" t="s">
        <v>48</v>
      </c>
      <c r="W277" s="8" t="s">
        <v>67</v>
      </c>
    </row>
    <row r="278" customFormat="false" ht="15" hidden="false" customHeight="false" outlineLevel="0" collapsed="false">
      <c r="A278" s="8" t="s">
        <v>1559</v>
      </c>
      <c r="B278" s="8" t="n">
        <v>5</v>
      </c>
      <c r="C278" s="8" t="s">
        <v>411</v>
      </c>
      <c r="D278" s="8" t="s">
        <v>1285</v>
      </c>
      <c r="E278" s="8" t="s">
        <v>1503</v>
      </c>
      <c r="F278" s="8" t="n">
        <v>17</v>
      </c>
      <c r="G278" s="8" t="s">
        <v>1504</v>
      </c>
      <c r="H278" s="8" t="s">
        <v>1555</v>
      </c>
      <c r="I278" s="27" t="s">
        <v>1560</v>
      </c>
      <c r="J278" s="8" t="s">
        <v>185</v>
      </c>
      <c r="K278" s="8" t="s">
        <v>273</v>
      </c>
      <c r="L278" s="8"/>
      <c r="M278" s="8" t="str">
        <f aca="false">IF(K278="FUERA","Fuera del marco",IF(K278="N/A","Sin marco",IFERROR(INDEX(Catalogo_TIMSS!$C$5:$C$105,MATCH(K278,Catalogo_TIMSS!$A$5:$A$105,0)),"Pendiente de clasificar")))</f>
        <v>Ciencias de la Tierra</v>
      </c>
      <c r="N278" s="8" t="str">
        <f aca="false">IF(K278="FUERA","Fuera del marco",IF(K278="N/A","Sin marco",IFERROR(INDEX(Catalogo_TIMSS!$F$5:$F$105,MATCH(K278,Catalogo_TIMSS!$A$5:$A$105,0)),"Pendiente de clasificar")))</f>
        <v>Procesos, ciclos e historia de la Tierra</v>
      </c>
      <c r="O278" s="8" t="str">
        <f aca="false">IF(L278="","",IFERROR(INDEX(Catalogo_TIMSS!$C$5:$C$105,MATCH(L278,Catalogo_TIMSS!$A$5:$A$105,0)),"?"))</f>
        <v/>
      </c>
      <c r="P278" s="8" t="s">
        <v>418</v>
      </c>
      <c r="Q278" s="27" t="s">
        <v>1561</v>
      </c>
      <c r="R278" s="27" t="s">
        <v>1562</v>
      </c>
      <c r="S278" s="28" t="n">
        <f aca="false">IFERROR(ISNUMBER(SEARCH("Conocer",$R278))/(ISNUMBER(SEARCH("Conocer",$R278))+ISNUMBER(SEARCH("Aplicar",$R278))+ISNUMBER(SEARCH("Razonar",$R278))),0)</f>
        <v>0</v>
      </c>
      <c r="T278" s="28" t="n">
        <f aca="false">IFERROR(ISNUMBER(SEARCH("Aplicar",$R278))/(ISNUMBER(SEARCH("Conocer",$R278))+ISNUMBER(SEARCH("Aplicar",$R278))+ISNUMBER(SEARCH("Razonar",$R278))),0)</f>
        <v>1</v>
      </c>
      <c r="U278" s="28" t="n">
        <f aca="false">IFERROR(ISNUMBER(SEARCH("Razonar",$R278))/(ISNUMBER(SEARCH("Conocer",$R278))+ISNUMBER(SEARCH("Aplicar",$R278))+ISNUMBER(SEARCH("Razonar",$R278))),0)</f>
        <v>0</v>
      </c>
      <c r="V278" s="8" t="s">
        <v>48</v>
      </c>
      <c r="W278" s="8" t="s">
        <v>67</v>
      </c>
    </row>
    <row r="279" customFormat="false" ht="15" hidden="false" customHeight="false" outlineLevel="0" collapsed="false">
      <c r="A279" s="8" t="s">
        <v>1563</v>
      </c>
      <c r="B279" s="8" t="n">
        <v>5</v>
      </c>
      <c r="C279" s="8" t="s">
        <v>411</v>
      </c>
      <c r="D279" s="8" t="s">
        <v>1285</v>
      </c>
      <c r="E279" s="8" t="s">
        <v>1503</v>
      </c>
      <c r="F279" s="8" t="n">
        <v>18</v>
      </c>
      <c r="G279" s="8" t="s">
        <v>1504</v>
      </c>
      <c r="H279" s="8" t="s">
        <v>1555</v>
      </c>
      <c r="I279" s="27" t="s">
        <v>1564</v>
      </c>
      <c r="J279" s="8" t="s">
        <v>185</v>
      </c>
      <c r="K279" s="8" t="s">
        <v>283</v>
      </c>
      <c r="L279" s="8"/>
      <c r="M279" s="8" t="str">
        <f aca="false">IF(K279="FUERA","Fuera del marco",IF(K279="N/A","Sin marco",IFERROR(INDEX(Catalogo_TIMSS!$C$5:$C$105,MATCH(K279,Catalogo_TIMSS!$A$5:$A$105,0)),"Pendiente de clasificar")))</f>
        <v>Ciencias de la Tierra</v>
      </c>
      <c r="N279" s="8" t="str">
        <f aca="false">IF(K279="FUERA","Fuera del marco",IF(K279="N/A","Sin marco",IFERROR(INDEX(Catalogo_TIMSS!$F$5:$F$105,MATCH(K279,Catalogo_TIMSS!$A$5:$A$105,0)),"Pendiente de clasificar")))</f>
        <v>Recursos de la Tierra, uso y conservación</v>
      </c>
      <c r="O279" s="8" t="str">
        <f aca="false">IF(L279="","",IFERROR(INDEX(Catalogo_TIMSS!$C$5:$C$105,MATCH(L279,Catalogo_TIMSS!$A$5:$A$105,0)),"?"))</f>
        <v/>
      </c>
      <c r="P279" s="8" t="s">
        <v>513</v>
      </c>
      <c r="Q279" s="27" t="s">
        <v>1565</v>
      </c>
      <c r="R279" s="27" t="s">
        <v>1566</v>
      </c>
      <c r="S279" s="28" t="n">
        <f aca="false">IFERROR(ISNUMBER(SEARCH("Conocer",$R279))/(ISNUMBER(SEARCH("Conocer",$R279))+ISNUMBER(SEARCH("Aplicar",$R279))+ISNUMBER(SEARCH("Razonar",$R279))),0)</f>
        <v>0</v>
      </c>
      <c r="T279" s="28" t="n">
        <f aca="false">IFERROR(ISNUMBER(SEARCH("Aplicar",$R279))/(ISNUMBER(SEARCH("Conocer",$R279))+ISNUMBER(SEARCH("Aplicar",$R279))+ISNUMBER(SEARCH("Razonar",$R279))),0)</f>
        <v>0</v>
      </c>
      <c r="U279" s="28" t="n">
        <f aca="false">IFERROR(ISNUMBER(SEARCH("Razonar",$R279))/(ISNUMBER(SEARCH("Conocer",$R279))+ISNUMBER(SEARCH("Aplicar",$R279))+ISNUMBER(SEARCH("Razonar",$R279))),0)</f>
        <v>1</v>
      </c>
      <c r="V279" s="8" t="s">
        <v>48</v>
      </c>
      <c r="W279" s="8" t="s">
        <v>67</v>
      </c>
    </row>
    <row r="280" customFormat="false" ht="15" hidden="false" customHeight="false" outlineLevel="0" collapsed="false">
      <c r="A280" s="8" t="s">
        <v>1567</v>
      </c>
      <c r="B280" s="8" t="n">
        <v>5</v>
      </c>
      <c r="C280" s="8" t="s">
        <v>411</v>
      </c>
      <c r="D280" s="8" t="s">
        <v>1285</v>
      </c>
      <c r="E280" s="8" t="s">
        <v>1503</v>
      </c>
      <c r="F280" s="8" t="n">
        <v>19</v>
      </c>
      <c r="G280" s="8" t="s">
        <v>1504</v>
      </c>
      <c r="H280" s="8" t="s">
        <v>1555</v>
      </c>
      <c r="I280" s="27" t="s">
        <v>1568</v>
      </c>
      <c r="J280" s="8" t="s">
        <v>185</v>
      </c>
      <c r="K280" s="8" t="s">
        <v>273</v>
      </c>
      <c r="L280" s="8"/>
      <c r="M280" s="8" t="str">
        <f aca="false">IF(K280="FUERA","Fuera del marco",IF(K280="N/A","Sin marco",IFERROR(INDEX(Catalogo_TIMSS!$C$5:$C$105,MATCH(K280,Catalogo_TIMSS!$A$5:$A$105,0)),"Pendiente de clasificar")))</f>
        <v>Ciencias de la Tierra</v>
      </c>
      <c r="N280" s="8" t="str">
        <f aca="false">IF(K280="FUERA","Fuera del marco",IF(K280="N/A","Sin marco",IFERROR(INDEX(Catalogo_TIMSS!$F$5:$F$105,MATCH(K280,Catalogo_TIMSS!$A$5:$A$105,0)),"Pendiente de clasificar")))</f>
        <v>Procesos, ciclos e historia de la Tierra</v>
      </c>
      <c r="O280" s="8" t="str">
        <f aca="false">IF(L280="","",IFERROR(INDEX(Catalogo_TIMSS!$C$5:$C$105,MATCH(L280,Catalogo_TIMSS!$A$5:$A$105,0)),"?"))</f>
        <v/>
      </c>
      <c r="P280" s="8" t="s">
        <v>418</v>
      </c>
      <c r="Q280" s="27" t="s">
        <v>1569</v>
      </c>
      <c r="R280" s="27" t="s">
        <v>1168</v>
      </c>
      <c r="S280" s="28" t="n">
        <f aca="false">IFERROR(ISNUMBER(SEARCH("Conocer",$R280))/(ISNUMBER(SEARCH("Conocer",$R280))+ISNUMBER(SEARCH("Aplicar",$R280))+ISNUMBER(SEARCH("Razonar",$R280))),0)</f>
        <v>0</v>
      </c>
      <c r="T280" s="28" t="n">
        <f aca="false">IFERROR(ISNUMBER(SEARCH("Aplicar",$R280))/(ISNUMBER(SEARCH("Conocer",$R280))+ISNUMBER(SEARCH("Aplicar",$R280))+ISNUMBER(SEARCH("Razonar",$R280))),0)</f>
        <v>0.5</v>
      </c>
      <c r="U280" s="28" t="n">
        <f aca="false">IFERROR(ISNUMBER(SEARCH("Razonar",$R280))/(ISNUMBER(SEARCH("Conocer",$R280))+ISNUMBER(SEARCH("Aplicar",$R280))+ISNUMBER(SEARCH("Razonar",$R280))),0)</f>
        <v>0.5</v>
      </c>
      <c r="V280" s="8" t="s">
        <v>48</v>
      </c>
      <c r="W280" s="8" t="s">
        <v>67</v>
      </c>
    </row>
    <row r="281" customFormat="false" ht="15" hidden="false" customHeight="false" outlineLevel="0" collapsed="false">
      <c r="A281" s="8" t="s">
        <v>1570</v>
      </c>
      <c r="B281" s="8" t="n">
        <v>5</v>
      </c>
      <c r="C281" s="8" t="s">
        <v>411</v>
      </c>
      <c r="D281" s="8" t="s">
        <v>1285</v>
      </c>
      <c r="E281" s="8" t="s">
        <v>1503</v>
      </c>
      <c r="F281" s="8" t="n">
        <v>20</v>
      </c>
      <c r="G281" s="8" t="s">
        <v>1504</v>
      </c>
      <c r="H281" s="8" t="s">
        <v>1555</v>
      </c>
      <c r="I281" s="27" t="s">
        <v>1571</v>
      </c>
      <c r="J281" s="8" t="s">
        <v>185</v>
      </c>
      <c r="K281" s="8" t="s">
        <v>283</v>
      </c>
      <c r="L281" s="8" t="s">
        <v>213</v>
      </c>
      <c r="M281" s="8" t="str">
        <f aca="false">IF(K281="FUERA","Fuera del marco",IF(K281="N/A","Sin marco",IFERROR(INDEX(Catalogo_TIMSS!$C$5:$C$105,MATCH(K281,Catalogo_TIMSS!$A$5:$A$105,0)),"Pendiente de clasificar")))</f>
        <v>Ciencias de la Tierra</v>
      </c>
      <c r="N281" s="8" t="str">
        <f aca="false">IF(K281="FUERA","Fuera del marco",IF(K281="N/A","Sin marco",IFERROR(INDEX(Catalogo_TIMSS!$F$5:$F$105,MATCH(K281,Catalogo_TIMSS!$A$5:$A$105,0)),"Pendiente de clasificar")))</f>
        <v>Recursos de la Tierra, uso y conservación</v>
      </c>
      <c r="O281" s="8" t="str">
        <f aca="false">IF(L281="","",IFERROR(INDEX(Catalogo_TIMSS!$C$5:$C$105,MATCH(L281,Catalogo_TIMSS!$A$5:$A$105,0)),"?"))</f>
        <v>Biología</v>
      </c>
      <c r="P281" s="8" t="s">
        <v>418</v>
      </c>
      <c r="Q281" s="27" t="s">
        <v>1572</v>
      </c>
      <c r="R281" s="27" t="s">
        <v>1573</v>
      </c>
      <c r="S281" s="28" t="n">
        <f aca="false">IFERROR(ISNUMBER(SEARCH("Conocer",$R281))/(ISNUMBER(SEARCH("Conocer",$R281))+ISNUMBER(SEARCH("Aplicar",$R281))+ISNUMBER(SEARCH("Razonar",$R281))),0)</f>
        <v>0</v>
      </c>
      <c r="T281" s="28" t="n">
        <f aca="false">IFERROR(ISNUMBER(SEARCH("Aplicar",$R281))/(ISNUMBER(SEARCH("Conocer",$R281))+ISNUMBER(SEARCH("Aplicar",$R281))+ISNUMBER(SEARCH("Razonar",$R281))),0)</f>
        <v>0</v>
      </c>
      <c r="U281" s="28" t="n">
        <f aca="false">IFERROR(ISNUMBER(SEARCH("Razonar",$R281))/(ISNUMBER(SEARCH("Conocer",$R281))+ISNUMBER(SEARCH("Aplicar",$R281))+ISNUMBER(SEARCH("Razonar",$R281))),0)</f>
        <v>1</v>
      </c>
      <c r="V281" s="8" t="s">
        <v>48</v>
      </c>
      <c r="W281" s="8" t="s">
        <v>67</v>
      </c>
    </row>
    <row r="282" customFormat="false" ht="15" hidden="false" customHeight="false" outlineLevel="0" collapsed="false">
      <c r="A282" s="8" t="s">
        <v>1574</v>
      </c>
      <c r="B282" s="8" t="n">
        <v>5</v>
      </c>
      <c r="C282" s="8" t="s">
        <v>411</v>
      </c>
      <c r="D282" s="8" t="s">
        <v>1285</v>
      </c>
      <c r="E282" s="8" t="s">
        <v>1503</v>
      </c>
      <c r="F282" s="8" t="n">
        <v>21</v>
      </c>
      <c r="G282" s="8" t="s">
        <v>1504</v>
      </c>
      <c r="H282" s="8" t="s">
        <v>1555</v>
      </c>
      <c r="I282" s="27" t="s">
        <v>1575</v>
      </c>
      <c r="J282" s="8" t="s">
        <v>185</v>
      </c>
      <c r="K282" s="8" t="s">
        <v>283</v>
      </c>
      <c r="L282" s="8"/>
      <c r="M282" s="8" t="str">
        <f aca="false">IF(K282="FUERA","Fuera del marco",IF(K282="N/A","Sin marco",IFERROR(INDEX(Catalogo_TIMSS!$C$5:$C$105,MATCH(K282,Catalogo_TIMSS!$A$5:$A$105,0)),"Pendiente de clasificar")))</f>
        <v>Ciencias de la Tierra</v>
      </c>
      <c r="N282" s="8" t="str">
        <f aca="false">IF(K282="FUERA","Fuera del marco",IF(K282="N/A","Sin marco",IFERROR(INDEX(Catalogo_TIMSS!$F$5:$F$105,MATCH(K282,Catalogo_TIMSS!$A$5:$A$105,0)),"Pendiente de clasificar")))</f>
        <v>Recursos de la Tierra, uso y conservación</v>
      </c>
      <c r="O282" s="8" t="str">
        <f aca="false">IF(L282="","",IFERROR(INDEX(Catalogo_TIMSS!$C$5:$C$105,MATCH(L282,Catalogo_TIMSS!$A$5:$A$105,0)),"?"))</f>
        <v/>
      </c>
      <c r="P282" s="8" t="s">
        <v>513</v>
      </c>
      <c r="Q282" s="27" t="s">
        <v>1576</v>
      </c>
      <c r="R282" s="27" t="s">
        <v>536</v>
      </c>
      <c r="S282" s="28" t="n">
        <f aca="false">IFERROR(ISNUMBER(SEARCH("Conocer",$R282))/(ISNUMBER(SEARCH("Conocer",$R282))+ISNUMBER(SEARCH("Aplicar",$R282))+ISNUMBER(SEARCH("Razonar",$R282))),0)</f>
        <v>1</v>
      </c>
      <c r="T282" s="28" t="n">
        <f aca="false">IFERROR(ISNUMBER(SEARCH("Aplicar",$R282))/(ISNUMBER(SEARCH("Conocer",$R282))+ISNUMBER(SEARCH("Aplicar",$R282))+ISNUMBER(SEARCH("Razonar",$R282))),0)</f>
        <v>0</v>
      </c>
      <c r="U282" s="28" t="n">
        <f aca="false">IFERROR(ISNUMBER(SEARCH("Razonar",$R282))/(ISNUMBER(SEARCH("Conocer",$R282))+ISNUMBER(SEARCH("Aplicar",$R282))+ISNUMBER(SEARCH("Razonar",$R282))),0)</f>
        <v>0</v>
      </c>
      <c r="V282" s="8" t="s">
        <v>48</v>
      </c>
      <c r="W282" s="8" t="s">
        <v>67</v>
      </c>
    </row>
    <row r="283" customFormat="false" ht="15" hidden="false" customHeight="false" outlineLevel="0" collapsed="false">
      <c r="A283" s="8" t="s">
        <v>1577</v>
      </c>
      <c r="B283" s="8" t="n">
        <v>5</v>
      </c>
      <c r="C283" s="8" t="s">
        <v>411</v>
      </c>
      <c r="D283" s="8" t="s">
        <v>1285</v>
      </c>
      <c r="E283" s="8" t="s">
        <v>1503</v>
      </c>
      <c r="F283" s="8" t="n">
        <v>22</v>
      </c>
      <c r="G283" s="8" t="s">
        <v>1504</v>
      </c>
      <c r="H283" s="8" t="s">
        <v>1578</v>
      </c>
      <c r="I283" s="27" t="s">
        <v>1579</v>
      </c>
      <c r="J283" s="8" t="s">
        <v>185</v>
      </c>
      <c r="K283" s="8" t="s">
        <v>283</v>
      </c>
      <c r="L283" s="8"/>
      <c r="M283" s="8" t="str">
        <f aca="false">IF(K283="FUERA","Fuera del marco",IF(K283="N/A","Sin marco",IFERROR(INDEX(Catalogo_TIMSS!$C$5:$C$105,MATCH(K283,Catalogo_TIMSS!$A$5:$A$105,0)),"Pendiente de clasificar")))</f>
        <v>Ciencias de la Tierra</v>
      </c>
      <c r="N283" s="8" t="str">
        <f aca="false">IF(K283="FUERA","Fuera del marco",IF(K283="N/A","Sin marco",IFERROR(INDEX(Catalogo_TIMSS!$F$5:$F$105,MATCH(K283,Catalogo_TIMSS!$A$5:$A$105,0)),"Pendiente de clasificar")))</f>
        <v>Recursos de la Tierra, uso y conservación</v>
      </c>
      <c r="O283" s="8" t="str">
        <f aca="false">IF(L283="","",IFERROR(INDEX(Catalogo_TIMSS!$C$5:$C$105,MATCH(L283,Catalogo_TIMSS!$A$5:$A$105,0)),"?"))</f>
        <v/>
      </c>
      <c r="P283" s="8" t="s">
        <v>418</v>
      </c>
      <c r="Q283" s="27" t="s">
        <v>1580</v>
      </c>
      <c r="R283" s="27" t="s">
        <v>1265</v>
      </c>
      <c r="S283" s="28" t="n">
        <f aca="false">IFERROR(ISNUMBER(SEARCH("Conocer",$R283))/(ISNUMBER(SEARCH("Conocer",$R283))+ISNUMBER(SEARCH("Aplicar",$R283))+ISNUMBER(SEARCH("Razonar",$R283))),0)</f>
        <v>0</v>
      </c>
      <c r="T283" s="28" t="n">
        <f aca="false">IFERROR(ISNUMBER(SEARCH("Aplicar",$R283))/(ISNUMBER(SEARCH("Conocer",$R283))+ISNUMBER(SEARCH("Aplicar",$R283))+ISNUMBER(SEARCH("Razonar",$R283))),0)</f>
        <v>1</v>
      </c>
      <c r="U283" s="28" t="n">
        <f aca="false">IFERROR(ISNUMBER(SEARCH("Razonar",$R283))/(ISNUMBER(SEARCH("Conocer",$R283))+ISNUMBER(SEARCH("Aplicar",$R283))+ISNUMBER(SEARCH("Razonar",$R283))),0)</f>
        <v>0</v>
      </c>
      <c r="V283" s="8" t="s">
        <v>48</v>
      </c>
      <c r="W283" s="8" t="s">
        <v>67</v>
      </c>
    </row>
    <row r="284" customFormat="false" ht="15" hidden="false" customHeight="false" outlineLevel="0" collapsed="false">
      <c r="A284" s="8" t="s">
        <v>1581</v>
      </c>
      <c r="B284" s="8" t="n">
        <v>5</v>
      </c>
      <c r="C284" s="8" t="s">
        <v>411</v>
      </c>
      <c r="D284" s="8" t="s">
        <v>1285</v>
      </c>
      <c r="E284" s="8" t="s">
        <v>1503</v>
      </c>
      <c r="F284" s="8" t="n">
        <v>23</v>
      </c>
      <c r="G284" s="8" t="s">
        <v>1504</v>
      </c>
      <c r="H284" s="8" t="s">
        <v>1578</v>
      </c>
      <c r="I284" s="27" t="s">
        <v>1582</v>
      </c>
      <c r="J284" s="8" t="s">
        <v>185</v>
      </c>
      <c r="K284" s="8" t="s">
        <v>283</v>
      </c>
      <c r="L284" s="8" t="s">
        <v>213</v>
      </c>
      <c r="M284" s="8" t="str">
        <f aca="false">IF(K284="FUERA","Fuera del marco",IF(K284="N/A","Sin marco",IFERROR(INDEX(Catalogo_TIMSS!$C$5:$C$105,MATCH(K284,Catalogo_TIMSS!$A$5:$A$105,0)),"Pendiente de clasificar")))</f>
        <v>Ciencias de la Tierra</v>
      </c>
      <c r="N284" s="8" t="str">
        <f aca="false">IF(K284="FUERA","Fuera del marco",IF(K284="N/A","Sin marco",IFERROR(INDEX(Catalogo_TIMSS!$F$5:$F$105,MATCH(K284,Catalogo_TIMSS!$A$5:$A$105,0)),"Pendiente de clasificar")))</f>
        <v>Recursos de la Tierra, uso y conservación</v>
      </c>
      <c r="O284" s="8" t="str">
        <f aca="false">IF(L284="","",IFERROR(INDEX(Catalogo_TIMSS!$C$5:$C$105,MATCH(L284,Catalogo_TIMSS!$A$5:$A$105,0)),"?"))</f>
        <v>Biología</v>
      </c>
      <c r="P284" s="8" t="s">
        <v>418</v>
      </c>
      <c r="Q284" s="27" t="s">
        <v>1583</v>
      </c>
      <c r="R284" s="27" t="s">
        <v>1584</v>
      </c>
      <c r="S284" s="28" t="n">
        <f aca="false">IFERROR(ISNUMBER(SEARCH("Conocer",$R284))/(ISNUMBER(SEARCH("Conocer",$R284))+ISNUMBER(SEARCH("Aplicar",$R284))+ISNUMBER(SEARCH("Razonar",$R284))),0)</f>
        <v>0</v>
      </c>
      <c r="T284" s="28" t="n">
        <f aca="false">IFERROR(ISNUMBER(SEARCH("Aplicar",$R284))/(ISNUMBER(SEARCH("Conocer",$R284))+ISNUMBER(SEARCH("Aplicar",$R284))+ISNUMBER(SEARCH("Razonar",$R284))),0)</f>
        <v>0</v>
      </c>
      <c r="U284" s="28" t="n">
        <f aca="false">IFERROR(ISNUMBER(SEARCH("Razonar",$R284))/(ISNUMBER(SEARCH("Conocer",$R284))+ISNUMBER(SEARCH("Aplicar",$R284))+ISNUMBER(SEARCH("Razonar",$R284))),0)</f>
        <v>1</v>
      </c>
      <c r="V284" s="8" t="s">
        <v>48</v>
      </c>
      <c r="W284" s="8" t="s">
        <v>67</v>
      </c>
    </row>
    <row r="285" customFormat="false" ht="15" hidden="false" customHeight="false" outlineLevel="0" collapsed="false">
      <c r="A285" s="8" t="s">
        <v>1585</v>
      </c>
      <c r="B285" s="8" t="n">
        <v>6</v>
      </c>
      <c r="C285" s="8" t="s">
        <v>411</v>
      </c>
      <c r="D285" s="8" t="s">
        <v>1586</v>
      </c>
      <c r="E285" s="8" t="s">
        <v>1587</v>
      </c>
      <c r="F285" s="8" t="n">
        <v>3</v>
      </c>
      <c r="G285" s="8" t="s">
        <v>1588</v>
      </c>
      <c r="H285" s="8" t="s">
        <v>1589</v>
      </c>
      <c r="I285" s="27" t="s">
        <v>1590</v>
      </c>
      <c r="J285" s="8" t="s">
        <v>185</v>
      </c>
      <c r="K285" s="8" t="s">
        <v>242</v>
      </c>
      <c r="L285" s="8" t="s">
        <v>266</v>
      </c>
      <c r="M285" s="8" t="str">
        <f aca="false">IF(K285="FUERA","Fuera del marco",IF(K285="N/A","Sin marco",IFERROR(INDEX(Catalogo_TIMSS!$C$5:$C$105,MATCH(K285,Catalogo_TIMSS!$A$5:$A$105,0)),"Pendiente de clasificar")))</f>
        <v>Física</v>
      </c>
      <c r="N285" s="8" t="str">
        <f aca="false">IF(K285="FUERA","Fuera del marco",IF(K285="N/A","Sin marco",IFERROR(INDEX(Catalogo_TIMSS!$F$5:$F$105,MATCH(K285,Catalogo_TIMSS!$A$5:$A$105,0)),"Pendiente de clasificar")))</f>
        <v>Estados físicos y cambios de la materia</v>
      </c>
      <c r="O285" s="8" t="str">
        <f aca="false">IF(L285="","",IFERROR(INDEX(Catalogo_TIMSS!$C$5:$C$105,MATCH(L285,Catalogo_TIMSS!$A$5:$A$105,0)),"?"))</f>
        <v>Física</v>
      </c>
      <c r="P285" s="8" t="s">
        <v>460</v>
      </c>
      <c r="Q285" s="27" t="s">
        <v>1591</v>
      </c>
      <c r="R285" s="27" t="s">
        <v>1592</v>
      </c>
      <c r="S285" s="28" t="n">
        <f aca="false">IFERROR(ISNUMBER(SEARCH("Conocer",$R285))/(ISNUMBER(SEARCH("Conocer",$R285))+ISNUMBER(SEARCH("Aplicar",$R285))+ISNUMBER(SEARCH("Razonar",$R285))),0)</f>
        <v>0</v>
      </c>
      <c r="T285" s="28" t="n">
        <f aca="false">IFERROR(ISNUMBER(SEARCH("Aplicar",$R285))/(ISNUMBER(SEARCH("Conocer",$R285))+ISNUMBER(SEARCH("Aplicar",$R285))+ISNUMBER(SEARCH("Razonar",$R285))),0)</f>
        <v>0.5</v>
      </c>
      <c r="U285" s="28" t="n">
        <f aca="false">IFERROR(ISNUMBER(SEARCH("Razonar",$R285))/(ISNUMBER(SEARCH("Conocer",$R285))+ISNUMBER(SEARCH("Aplicar",$R285))+ISNUMBER(SEARCH("Razonar",$R285))),0)</f>
        <v>0.5</v>
      </c>
      <c r="V285" s="8" t="s">
        <v>50</v>
      </c>
      <c r="W285" s="8" t="s">
        <v>67</v>
      </c>
    </row>
    <row r="286" customFormat="false" ht="15" hidden="false" customHeight="false" outlineLevel="0" collapsed="false">
      <c r="A286" s="8" t="s">
        <v>1593</v>
      </c>
      <c r="B286" s="8" t="n">
        <v>6</v>
      </c>
      <c r="C286" s="8" t="s">
        <v>411</v>
      </c>
      <c r="D286" s="8" t="s">
        <v>1586</v>
      </c>
      <c r="E286" s="8" t="s">
        <v>1587</v>
      </c>
      <c r="F286" s="8" t="n">
        <v>4</v>
      </c>
      <c r="G286" s="8" t="s">
        <v>1588</v>
      </c>
      <c r="H286" s="8" t="s">
        <v>1589</v>
      </c>
      <c r="I286" s="27" t="s">
        <v>1594</v>
      </c>
      <c r="J286" s="8" t="s">
        <v>185</v>
      </c>
      <c r="K286" s="8" t="s">
        <v>266</v>
      </c>
      <c r="L286" s="8"/>
      <c r="M286" s="8" t="str">
        <f aca="false">IF(K286="FUERA","Fuera del marco",IF(K286="N/A","Sin marco",IFERROR(INDEX(Catalogo_TIMSS!$C$5:$C$105,MATCH(K286,Catalogo_TIMSS!$A$5:$A$105,0)),"Pendiente de clasificar")))</f>
        <v>Física</v>
      </c>
      <c r="N286" s="8" t="str">
        <f aca="false">IF(K286="FUERA","Fuera del marco",IF(K286="N/A","Sin marco",IFERROR(INDEX(Catalogo_TIMSS!$F$5:$F$105,MATCH(K286,Catalogo_TIMSS!$A$5:$A$105,0)),"Pendiente de clasificar")))</f>
        <v>Movimiento y fuerzas</v>
      </c>
      <c r="O286" s="8" t="str">
        <f aca="false">IF(L286="","",IFERROR(INDEX(Catalogo_TIMSS!$C$5:$C$105,MATCH(L286,Catalogo_TIMSS!$A$5:$A$105,0)),"?"))</f>
        <v/>
      </c>
      <c r="P286" s="8" t="s">
        <v>418</v>
      </c>
      <c r="Q286" s="27" t="s">
        <v>1595</v>
      </c>
      <c r="R286" s="27" t="s">
        <v>661</v>
      </c>
      <c r="S286" s="28" t="n">
        <f aca="false">IFERROR(ISNUMBER(SEARCH("Conocer",$R286))/(ISNUMBER(SEARCH("Conocer",$R286))+ISNUMBER(SEARCH("Aplicar",$R286))+ISNUMBER(SEARCH("Razonar",$R286))),0)</f>
        <v>0</v>
      </c>
      <c r="T286" s="28" t="n">
        <f aca="false">IFERROR(ISNUMBER(SEARCH("Aplicar",$R286))/(ISNUMBER(SEARCH("Conocer",$R286))+ISNUMBER(SEARCH("Aplicar",$R286))+ISNUMBER(SEARCH("Razonar",$R286))),0)</f>
        <v>0</v>
      </c>
      <c r="U286" s="28" t="n">
        <f aca="false">IFERROR(ISNUMBER(SEARCH("Razonar",$R286))/(ISNUMBER(SEARCH("Conocer",$R286))+ISNUMBER(SEARCH("Aplicar",$R286))+ISNUMBER(SEARCH("Razonar",$R286))),0)</f>
        <v>1</v>
      </c>
      <c r="V286" s="8" t="s">
        <v>50</v>
      </c>
      <c r="W286" s="8" t="s">
        <v>67</v>
      </c>
    </row>
    <row r="287" customFormat="false" ht="15" hidden="false" customHeight="false" outlineLevel="0" collapsed="false">
      <c r="A287" s="8" t="s">
        <v>1596</v>
      </c>
      <c r="B287" s="8" t="n">
        <v>6</v>
      </c>
      <c r="C287" s="8" t="s">
        <v>411</v>
      </c>
      <c r="D287" s="8" t="s">
        <v>1586</v>
      </c>
      <c r="E287" s="8" t="s">
        <v>1587</v>
      </c>
      <c r="F287" s="8" t="n">
        <v>5</v>
      </c>
      <c r="G287" s="8" t="s">
        <v>1588</v>
      </c>
      <c r="H287" s="8" t="s">
        <v>1589</v>
      </c>
      <c r="I287" s="27" t="s">
        <v>1597</v>
      </c>
      <c r="J287" s="8" t="s">
        <v>185</v>
      </c>
      <c r="K287" s="8" t="s">
        <v>266</v>
      </c>
      <c r="L287" s="8"/>
      <c r="M287" s="8" t="str">
        <f aca="false">IF(K287="FUERA","Fuera del marco",IF(K287="N/A","Sin marco",IFERROR(INDEX(Catalogo_TIMSS!$C$5:$C$105,MATCH(K287,Catalogo_TIMSS!$A$5:$A$105,0)),"Pendiente de clasificar")))</f>
        <v>Física</v>
      </c>
      <c r="N287" s="8" t="str">
        <f aca="false">IF(K287="FUERA","Fuera del marco",IF(K287="N/A","Sin marco",IFERROR(INDEX(Catalogo_TIMSS!$F$5:$F$105,MATCH(K287,Catalogo_TIMSS!$A$5:$A$105,0)),"Pendiente de clasificar")))</f>
        <v>Movimiento y fuerzas</v>
      </c>
      <c r="O287" s="8" t="str">
        <f aca="false">IF(L287="","",IFERROR(INDEX(Catalogo_TIMSS!$C$5:$C$105,MATCH(L287,Catalogo_TIMSS!$A$5:$A$105,0)),"?"))</f>
        <v/>
      </c>
      <c r="P287" s="8" t="s">
        <v>418</v>
      </c>
      <c r="Q287" s="27" t="s">
        <v>1598</v>
      </c>
      <c r="R287" s="27" t="s">
        <v>1599</v>
      </c>
      <c r="S287" s="28" t="n">
        <f aca="false">IFERROR(ISNUMBER(SEARCH("Conocer",$R287))/(ISNUMBER(SEARCH("Conocer",$R287))+ISNUMBER(SEARCH("Aplicar",$R287))+ISNUMBER(SEARCH("Razonar",$R287))),0)</f>
        <v>0</v>
      </c>
      <c r="T287" s="28" t="n">
        <f aca="false">IFERROR(ISNUMBER(SEARCH("Aplicar",$R287))/(ISNUMBER(SEARCH("Conocer",$R287))+ISNUMBER(SEARCH("Aplicar",$R287))+ISNUMBER(SEARCH("Razonar",$R287))),0)</f>
        <v>0.5</v>
      </c>
      <c r="U287" s="28" t="n">
        <f aca="false">IFERROR(ISNUMBER(SEARCH("Razonar",$R287))/(ISNUMBER(SEARCH("Conocer",$R287))+ISNUMBER(SEARCH("Aplicar",$R287))+ISNUMBER(SEARCH("Razonar",$R287))),0)</f>
        <v>0.5</v>
      </c>
      <c r="V287" s="8" t="s">
        <v>50</v>
      </c>
      <c r="W287" s="8" t="s">
        <v>67</v>
      </c>
    </row>
    <row r="288" customFormat="false" ht="15" hidden="false" customHeight="false" outlineLevel="0" collapsed="false">
      <c r="A288" s="8" t="s">
        <v>1600</v>
      </c>
      <c r="B288" s="8" t="n">
        <v>6</v>
      </c>
      <c r="C288" s="8" t="s">
        <v>411</v>
      </c>
      <c r="D288" s="8" t="s">
        <v>1586</v>
      </c>
      <c r="E288" s="8" t="s">
        <v>1587</v>
      </c>
      <c r="F288" s="8" t="n">
        <v>6</v>
      </c>
      <c r="G288" s="8" t="s">
        <v>1588</v>
      </c>
      <c r="H288" s="8" t="s">
        <v>1589</v>
      </c>
      <c r="I288" s="27" t="s">
        <v>1601</v>
      </c>
      <c r="J288" s="8" t="s">
        <v>185</v>
      </c>
      <c r="K288" s="8" t="s">
        <v>242</v>
      </c>
      <c r="L288" s="8"/>
      <c r="M288" s="8" t="str">
        <f aca="false">IF(K288="FUERA","Fuera del marco",IF(K288="N/A","Sin marco",IFERROR(INDEX(Catalogo_TIMSS!$C$5:$C$105,MATCH(K288,Catalogo_TIMSS!$A$5:$A$105,0)),"Pendiente de clasificar")))</f>
        <v>Física</v>
      </c>
      <c r="N288" s="8" t="str">
        <f aca="false">IF(K288="FUERA","Fuera del marco",IF(K288="N/A","Sin marco",IFERROR(INDEX(Catalogo_TIMSS!$F$5:$F$105,MATCH(K288,Catalogo_TIMSS!$A$5:$A$105,0)),"Pendiente de clasificar")))</f>
        <v>Estados físicos y cambios de la materia</v>
      </c>
      <c r="O288" s="8" t="str">
        <f aca="false">IF(L288="","",IFERROR(INDEX(Catalogo_TIMSS!$C$5:$C$105,MATCH(L288,Catalogo_TIMSS!$A$5:$A$105,0)),"?"))</f>
        <v/>
      </c>
      <c r="P288" s="8" t="s">
        <v>513</v>
      </c>
      <c r="Q288" s="27" t="s">
        <v>1602</v>
      </c>
      <c r="R288" s="27" t="s">
        <v>1603</v>
      </c>
      <c r="S288" s="28" t="n">
        <f aca="false">IFERROR(ISNUMBER(SEARCH("Conocer",$R288))/(ISNUMBER(SEARCH("Conocer",$R288))+ISNUMBER(SEARCH("Aplicar",$R288))+ISNUMBER(SEARCH("Razonar",$R288))),0)</f>
        <v>1</v>
      </c>
      <c r="T288" s="28" t="n">
        <f aca="false">IFERROR(ISNUMBER(SEARCH("Aplicar",$R288))/(ISNUMBER(SEARCH("Conocer",$R288))+ISNUMBER(SEARCH("Aplicar",$R288))+ISNUMBER(SEARCH("Razonar",$R288))),0)</f>
        <v>0</v>
      </c>
      <c r="U288" s="28" t="n">
        <f aca="false">IFERROR(ISNUMBER(SEARCH("Razonar",$R288))/(ISNUMBER(SEARCH("Conocer",$R288))+ISNUMBER(SEARCH("Aplicar",$R288))+ISNUMBER(SEARCH("Razonar",$R288))),0)</f>
        <v>0</v>
      </c>
      <c r="V288" s="8" t="s">
        <v>50</v>
      </c>
      <c r="W288" s="8" t="s">
        <v>67</v>
      </c>
    </row>
    <row r="289" customFormat="false" ht="15" hidden="false" customHeight="false" outlineLevel="0" collapsed="false">
      <c r="A289" s="8" t="s">
        <v>1604</v>
      </c>
      <c r="B289" s="8" t="n">
        <v>6</v>
      </c>
      <c r="C289" s="8" t="s">
        <v>411</v>
      </c>
      <c r="D289" s="8" t="s">
        <v>1586</v>
      </c>
      <c r="E289" s="8" t="s">
        <v>1587</v>
      </c>
      <c r="F289" s="8" t="n">
        <v>7</v>
      </c>
      <c r="G289" s="8" t="s">
        <v>1588</v>
      </c>
      <c r="H289" s="8" t="s">
        <v>1589</v>
      </c>
      <c r="I289" s="27" t="s">
        <v>1605</v>
      </c>
      <c r="J289" s="8" t="s">
        <v>185</v>
      </c>
      <c r="K289" s="8" t="s">
        <v>242</v>
      </c>
      <c r="L289" s="8"/>
      <c r="M289" s="8" t="str">
        <f aca="false">IF(K289="FUERA","Fuera del marco",IF(K289="N/A","Sin marco",IFERROR(INDEX(Catalogo_TIMSS!$C$5:$C$105,MATCH(K289,Catalogo_TIMSS!$A$5:$A$105,0)),"Pendiente de clasificar")))</f>
        <v>Física</v>
      </c>
      <c r="N289" s="8" t="str">
        <f aca="false">IF(K289="FUERA","Fuera del marco",IF(K289="N/A","Sin marco",IFERROR(INDEX(Catalogo_TIMSS!$F$5:$F$105,MATCH(K289,Catalogo_TIMSS!$A$5:$A$105,0)),"Pendiente de clasificar")))</f>
        <v>Estados físicos y cambios de la materia</v>
      </c>
      <c r="O289" s="8" t="str">
        <f aca="false">IF(L289="","",IFERROR(INDEX(Catalogo_TIMSS!$C$5:$C$105,MATCH(L289,Catalogo_TIMSS!$A$5:$A$105,0)),"?"))</f>
        <v/>
      </c>
      <c r="P289" s="8" t="s">
        <v>513</v>
      </c>
      <c r="Q289" s="27" t="s">
        <v>1606</v>
      </c>
      <c r="R289" s="27" t="s">
        <v>1566</v>
      </c>
      <c r="S289" s="28" t="n">
        <f aca="false">IFERROR(ISNUMBER(SEARCH("Conocer",$R289))/(ISNUMBER(SEARCH("Conocer",$R289))+ISNUMBER(SEARCH("Aplicar",$R289))+ISNUMBER(SEARCH("Razonar",$R289))),0)</f>
        <v>0</v>
      </c>
      <c r="T289" s="28" t="n">
        <f aca="false">IFERROR(ISNUMBER(SEARCH("Aplicar",$R289))/(ISNUMBER(SEARCH("Conocer",$R289))+ISNUMBER(SEARCH("Aplicar",$R289))+ISNUMBER(SEARCH("Razonar",$R289))),0)</f>
        <v>0</v>
      </c>
      <c r="U289" s="28" t="n">
        <f aca="false">IFERROR(ISNUMBER(SEARCH("Razonar",$R289))/(ISNUMBER(SEARCH("Conocer",$R289))+ISNUMBER(SEARCH("Aplicar",$R289))+ISNUMBER(SEARCH("Razonar",$R289))),0)</f>
        <v>1</v>
      </c>
      <c r="V289" s="8" t="s">
        <v>50</v>
      </c>
      <c r="W289" s="8" t="s">
        <v>67</v>
      </c>
    </row>
    <row r="290" customFormat="false" ht="15" hidden="false" customHeight="false" outlineLevel="0" collapsed="false">
      <c r="A290" s="8" t="s">
        <v>1607</v>
      </c>
      <c r="B290" s="8" t="n">
        <v>6</v>
      </c>
      <c r="C290" s="8" t="s">
        <v>411</v>
      </c>
      <c r="D290" s="8" t="s">
        <v>1586</v>
      </c>
      <c r="E290" s="8" t="s">
        <v>1587</v>
      </c>
      <c r="F290" s="8" t="n">
        <v>8</v>
      </c>
      <c r="G290" s="8" t="s">
        <v>1588</v>
      </c>
      <c r="H290" s="8" t="s">
        <v>1608</v>
      </c>
      <c r="I290" s="27" t="s">
        <v>1609</v>
      </c>
      <c r="J290" s="8" t="s">
        <v>185</v>
      </c>
      <c r="K290" s="8" t="s">
        <v>266</v>
      </c>
      <c r="L290" s="8" t="s">
        <v>283</v>
      </c>
      <c r="M290" s="8" t="str">
        <f aca="false">IF(K290="FUERA","Fuera del marco",IF(K290="N/A","Sin marco",IFERROR(INDEX(Catalogo_TIMSS!$C$5:$C$105,MATCH(K290,Catalogo_TIMSS!$A$5:$A$105,0)),"Pendiente de clasificar")))</f>
        <v>Física</v>
      </c>
      <c r="N290" s="8" t="str">
        <f aca="false">IF(K290="FUERA","Fuera del marco",IF(K290="N/A","Sin marco",IFERROR(INDEX(Catalogo_TIMSS!$F$5:$F$105,MATCH(K290,Catalogo_TIMSS!$A$5:$A$105,0)),"Pendiente de clasificar")))</f>
        <v>Movimiento y fuerzas</v>
      </c>
      <c r="O290" s="8" t="str">
        <f aca="false">IF(L290="","",IFERROR(INDEX(Catalogo_TIMSS!$C$5:$C$105,MATCH(L290,Catalogo_TIMSS!$A$5:$A$105,0)),"?"))</f>
        <v>Ciencias de la Tierra</v>
      </c>
      <c r="P290" s="8" t="s">
        <v>513</v>
      </c>
      <c r="Q290" s="27" t="s">
        <v>1610</v>
      </c>
      <c r="R290" s="27" t="s">
        <v>1347</v>
      </c>
      <c r="S290" s="28" t="n">
        <f aca="false">IFERROR(ISNUMBER(SEARCH("Conocer",$R290))/(ISNUMBER(SEARCH("Conocer",$R290))+ISNUMBER(SEARCH("Aplicar",$R290))+ISNUMBER(SEARCH("Razonar",$R290))),0)</f>
        <v>0</v>
      </c>
      <c r="T290" s="28" t="n">
        <f aca="false">IFERROR(ISNUMBER(SEARCH("Aplicar",$R290))/(ISNUMBER(SEARCH("Conocer",$R290))+ISNUMBER(SEARCH("Aplicar",$R290))+ISNUMBER(SEARCH("Razonar",$R290))),0)</f>
        <v>1</v>
      </c>
      <c r="U290" s="28" t="n">
        <f aca="false">IFERROR(ISNUMBER(SEARCH("Razonar",$R290))/(ISNUMBER(SEARCH("Conocer",$R290))+ISNUMBER(SEARCH("Aplicar",$R290))+ISNUMBER(SEARCH("Razonar",$R290))),0)</f>
        <v>0</v>
      </c>
      <c r="V290" s="8" t="s">
        <v>50</v>
      </c>
      <c r="W290" s="8" t="s">
        <v>67</v>
      </c>
    </row>
    <row r="291" customFormat="false" ht="15" hidden="false" customHeight="false" outlineLevel="0" collapsed="false">
      <c r="A291" s="8" t="s">
        <v>1611</v>
      </c>
      <c r="B291" s="8" t="n">
        <v>6</v>
      </c>
      <c r="C291" s="8" t="s">
        <v>411</v>
      </c>
      <c r="D291" s="8" t="s">
        <v>1586</v>
      </c>
      <c r="E291" s="8" t="s">
        <v>1587</v>
      </c>
      <c r="F291" s="8" t="n">
        <v>9</v>
      </c>
      <c r="G291" s="8" t="s">
        <v>1588</v>
      </c>
      <c r="H291" s="8" t="s">
        <v>1608</v>
      </c>
      <c r="I291" s="27" t="s">
        <v>1612</v>
      </c>
      <c r="J291" s="8" t="s">
        <v>185</v>
      </c>
      <c r="K291" s="8" t="s">
        <v>266</v>
      </c>
      <c r="L291" s="8"/>
      <c r="M291" s="8" t="str">
        <f aca="false">IF(K291="FUERA","Fuera del marco",IF(K291="N/A","Sin marco",IFERROR(INDEX(Catalogo_TIMSS!$C$5:$C$105,MATCH(K291,Catalogo_TIMSS!$A$5:$A$105,0)),"Pendiente de clasificar")))</f>
        <v>Física</v>
      </c>
      <c r="N291" s="8" t="str">
        <f aca="false">IF(K291="FUERA","Fuera del marco",IF(K291="N/A","Sin marco",IFERROR(INDEX(Catalogo_TIMSS!$F$5:$F$105,MATCH(K291,Catalogo_TIMSS!$A$5:$A$105,0)),"Pendiente de clasificar")))</f>
        <v>Movimiento y fuerzas</v>
      </c>
      <c r="O291" s="8" t="str">
        <f aca="false">IF(L291="","",IFERROR(INDEX(Catalogo_TIMSS!$C$5:$C$105,MATCH(L291,Catalogo_TIMSS!$A$5:$A$105,0)),"?"))</f>
        <v/>
      </c>
      <c r="P291" s="8" t="s">
        <v>460</v>
      </c>
      <c r="Q291" s="27" t="s">
        <v>1613</v>
      </c>
      <c r="R291" s="27" t="s">
        <v>1614</v>
      </c>
      <c r="S291" s="28" t="n">
        <f aca="false">IFERROR(ISNUMBER(SEARCH("Conocer",$R291))/(ISNUMBER(SEARCH("Conocer",$R291))+ISNUMBER(SEARCH("Aplicar",$R291))+ISNUMBER(SEARCH("Razonar",$R291))),0)</f>
        <v>0.5</v>
      </c>
      <c r="T291" s="28" t="n">
        <f aca="false">IFERROR(ISNUMBER(SEARCH("Aplicar",$R291))/(ISNUMBER(SEARCH("Conocer",$R291))+ISNUMBER(SEARCH("Aplicar",$R291))+ISNUMBER(SEARCH("Razonar",$R291))),0)</f>
        <v>0</v>
      </c>
      <c r="U291" s="28" t="n">
        <f aca="false">IFERROR(ISNUMBER(SEARCH("Razonar",$R291))/(ISNUMBER(SEARCH("Conocer",$R291))+ISNUMBER(SEARCH("Aplicar",$R291))+ISNUMBER(SEARCH("Razonar",$R291))),0)</f>
        <v>0.5</v>
      </c>
      <c r="V291" s="8" t="s">
        <v>50</v>
      </c>
      <c r="W291" s="8" t="s">
        <v>67</v>
      </c>
    </row>
    <row r="292" customFormat="false" ht="15" hidden="false" customHeight="false" outlineLevel="0" collapsed="false">
      <c r="A292" s="8" t="s">
        <v>1615</v>
      </c>
      <c r="B292" s="8" t="n">
        <v>6</v>
      </c>
      <c r="C292" s="8" t="s">
        <v>411</v>
      </c>
      <c r="D292" s="8" t="s">
        <v>1586</v>
      </c>
      <c r="E292" s="8" t="s">
        <v>1587</v>
      </c>
      <c r="F292" s="8" t="n">
        <v>10</v>
      </c>
      <c r="G292" s="8" t="s">
        <v>1588</v>
      </c>
      <c r="H292" s="8" t="s">
        <v>1608</v>
      </c>
      <c r="I292" s="27" t="s">
        <v>1616</v>
      </c>
      <c r="J292" s="8" t="s">
        <v>185</v>
      </c>
      <c r="K292" s="8" t="s">
        <v>266</v>
      </c>
      <c r="L292" s="8"/>
      <c r="M292" s="8" t="str">
        <f aca="false">IF(K292="FUERA","Fuera del marco",IF(K292="N/A","Sin marco",IFERROR(INDEX(Catalogo_TIMSS!$C$5:$C$105,MATCH(K292,Catalogo_TIMSS!$A$5:$A$105,0)),"Pendiente de clasificar")))</f>
        <v>Física</v>
      </c>
      <c r="N292" s="8" t="str">
        <f aca="false">IF(K292="FUERA","Fuera del marco",IF(K292="N/A","Sin marco",IFERROR(INDEX(Catalogo_TIMSS!$F$5:$F$105,MATCH(K292,Catalogo_TIMSS!$A$5:$A$105,0)),"Pendiente de clasificar")))</f>
        <v>Movimiento y fuerzas</v>
      </c>
      <c r="O292" s="8" t="str">
        <f aca="false">IF(L292="","",IFERROR(INDEX(Catalogo_TIMSS!$C$5:$C$105,MATCH(L292,Catalogo_TIMSS!$A$5:$A$105,0)),"?"))</f>
        <v/>
      </c>
      <c r="P292" s="8" t="s">
        <v>460</v>
      </c>
      <c r="Q292" s="27" t="s">
        <v>1617</v>
      </c>
      <c r="R292" s="27" t="s">
        <v>1501</v>
      </c>
      <c r="S292" s="28" t="n">
        <f aca="false">IFERROR(ISNUMBER(SEARCH("Conocer",$R292))/(ISNUMBER(SEARCH("Conocer",$R292))+ISNUMBER(SEARCH("Aplicar",$R292))+ISNUMBER(SEARCH("Razonar",$R292))),0)</f>
        <v>0</v>
      </c>
      <c r="T292" s="28" t="n">
        <f aca="false">IFERROR(ISNUMBER(SEARCH("Aplicar",$R292))/(ISNUMBER(SEARCH("Conocer",$R292))+ISNUMBER(SEARCH("Aplicar",$R292))+ISNUMBER(SEARCH("Razonar",$R292))),0)</f>
        <v>1</v>
      </c>
      <c r="U292" s="28" t="n">
        <f aca="false">IFERROR(ISNUMBER(SEARCH("Razonar",$R292))/(ISNUMBER(SEARCH("Conocer",$R292))+ISNUMBER(SEARCH("Aplicar",$R292))+ISNUMBER(SEARCH("Razonar",$R292))),0)</f>
        <v>0</v>
      </c>
      <c r="V292" s="8" t="s">
        <v>50</v>
      </c>
      <c r="W292" s="8" t="s">
        <v>67</v>
      </c>
    </row>
    <row r="293" customFormat="false" ht="15" hidden="false" customHeight="false" outlineLevel="0" collapsed="false">
      <c r="A293" s="8" t="s">
        <v>1618</v>
      </c>
      <c r="B293" s="8" t="n">
        <v>6</v>
      </c>
      <c r="C293" s="8" t="s">
        <v>411</v>
      </c>
      <c r="D293" s="8" t="s">
        <v>1586</v>
      </c>
      <c r="E293" s="8" t="s">
        <v>1619</v>
      </c>
      <c r="F293" s="8" t="n">
        <v>3</v>
      </c>
      <c r="G293" s="8" t="s">
        <v>1620</v>
      </c>
      <c r="H293" s="8" t="s">
        <v>1621</v>
      </c>
      <c r="I293" s="27" t="s">
        <v>1622</v>
      </c>
      <c r="J293" s="8" t="s">
        <v>185</v>
      </c>
      <c r="K293" s="8" t="s">
        <v>242</v>
      </c>
      <c r="L293" s="8" t="s">
        <v>250</v>
      </c>
      <c r="M293" s="8" t="str">
        <f aca="false">IF(K293="FUERA","Fuera del marco",IF(K293="N/A","Sin marco",IFERROR(INDEX(Catalogo_TIMSS!$C$5:$C$105,MATCH(K293,Catalogo_TIMSS!$A$5:$A$105,0)),"Pendiente de clasificar")))</f>
        <v>Física</v>
      </c>
      <c r="N293" s="8" t="str">
        <f aca="false">IF(K293="FUERA","Fuera del marco",IF(K293="N/A","Sin marco",IFERROR(INDEX(Catalogo_TIMSS!$F$5:$F$105,MATCH(K293,Catalogo_TIMSS!$A$5:$A$105,0)),"Pendiente de clasificar")))</f>
        <v>Estados físicos y cambios de la materia</v>
      </c>
      <c r="O293" s="8" t="str">
        <f aca="false">IF(L293="","",IFERROR(INDEX(Catalogo_TIMSS!$C$5:$C$105,MATCH(L293,Catalogo_TIMSS!$A$5:$A$105,0)),"?"))</f>
        <v>Física</v>
      </c>
      <c r="P293" s="8" t="s">
        <v>418</v>
      </c>
      <c r="Q293" s="27" t="s">
        <v>1623</v>
      </c>
      <c r="R293" s="27" t="s">
        <v>1624</v>
      </c>
      <c r="S293" s="28" t="n">
        <f aca="false">IFERROR(ISNUMBER(SEARCH("Conocer",$R293))/(ISNUMBER(SEARCH("Conocer",$R293))+ISNUMBER(SEARCH("Aplicar",$R293))+ISNUMBER(SEARCH("Razonar",$R293))),0)</f>
        <v>0</v>
      </c>
      <c r="T293" s="28" t="n">
        <f aca="false">IFERROR(ISNUMBER(SEARCH("Aplicar",$R293))/(ISNUMBER(SEARCH("Conocer",$R293))+ISNUMBER(SEARCH("Aplicar",$R293))+ISNUMBER(SEARCH("Razonar",$R293))),0)</f>
        <v>1</v>
      </c>
      <c r="U293" s="28" t="n">
        <f aca="false">IFERROR(ISNUMBER(SEARCH("Razonar",$R293))/(ISNUMBER(SEARCH("Conocer",$R293))+ISNUMBER(SEARCH("Aplicar",$R293))+ISNUMBER(SEARCH("Razonar",$R293))),0)</f>
        <v>0</v>
      </c>
      <c r="V293" s="8" t="s">
        <v>50</v>
      </c>
      <c r="W293" s="8" t="s">
        <v>67</v>
      </c>
    </row>
    <row r="294" customFormat="false" ht="15" hidden="false" customHeight="false" outlineLevel="0" collapsed="false">
      <c r="A294" s="8" t="s">
        <v>1625</v>
      </c>
      <c r="B294" s="8" t="n">
        <v>6</v>
      </c>
      <c r="C294" s="8" t="s">
        <v>411</v>
      </c>
      <c r="D294" s="8" t="s">
        <v>1586</v>
      </c>
      <c r="E294" s="8" t="s">
        <v>1619</v>
      </c>
      <c r="F294" s="8" t="n">
        <v>4</v>
      </c>
      <c r="G294" s="8" t="s">
        <v>1620</v>
      </c>
      <c r="H294" s="8" t="s">
        <v>1621</v>
      </c>
      <c r="I294" s="27" t="s">
        <v>1626</v>
      </c>
      <c r="J294" s="8" t="s">
        <v>185</v>
      </c>
      <c r="K294" s="8" t="s">
        <v>250</v>
      </c>
      <c r="L294" s="8" t="s">
        <v>242</v>
      </c>
      <c r="M294" s="8" t="str">
        <f aca="false">IF(K294="FUERA","Fuera del marco",IF(K294="N/A","Sin marco",IFERROR(INDEX(Catalogo_TIMSS!$C$5:$C$105,MATCH(K294,Catalogo_TIMSS!$A$5:$A$105,0)),"Pendiente de clasificar")))</f>
        <v>Física</v>
      </c>
      <c r="N294" s="8" t="str">
        <f aca="false">IF(K294="FUERA","Fuera del marco",IF(K294="N/A","Sin marco",IFERROR(INDEX(Catalogo_TIMSS!$F$5:$F$105,MATCH(K294,Catalogo_TIMSS!$A$5:$A$105,0)),"Pendiente de clasificar")))</f>
        <v>Transformación y transferencia de energía</v>
      </c>
      <c r="O294" s="8" t="str">
        <f aca="false">IF(L294="","",IFERROR(INDEX(Catalogo_TIMSS!$C$5:$C$105,MATCH(L294,Catalogo_TIMSS!$A$5:$A$105,0)),"?"))</f>
        <v>Física</v>
      </c>
      <c r="P294" s="8" t="s">
        <v>460</v>
      </c>
      <c r="Q294" s="27" t="s">
        <v>1627</v>
      </c>
      <c r="R294" s="27" t="s">
        <v>1628</v>
      </c>
      <c r="S294" s="28" t="n">
        <f aca="false">IFERROR(ISNUMBER(SEARCH("Conocer",$R294))/(ISNUMBER(SEARCH("Conocer",$R294))+ISNUMBER(SEARCH("Aplicar",$R294))+ISNUMBER(SEARCH("Razonar",$R294))),0)</f>
        <v>0</v>
      </c>
      <c r="T294" s="28" t="n">
        <f aca="false">IFERROR(ISNUMBER(SEARCH("Aplicar",$R294))/(ISNUMBER(SEARCH("Conocer",$R294))+ISNUMBER(SEARCH("Aplicar",$R294))+ISNUMBER(SEARCH("Razonar",$R294))),0)</f>
        <v>1</v>
      </c>
      <c r="U294" s="28" t="n">
        <f aca="false">IFERROR(ISNUMBER(SEARCH("Razonar",$R294))/(ISNUMBER(SEARCH("Conocer",$R294))+ISNUMBER(SEARCH("Aplicar",$R294))+ISNUMBER(SEARCH("Razonar",$R294))),0)</f>
        <v>0</v>
      </c>
      <c r="V294" s="8" t="s">
        <v>50</v>
      </c>
      <c r="W294" s="8" t="s">
        <v>67</v>
      </c>
    </row>
    <row r="295" customFormat="false" ht="15" hidden="false" customHeight="false" outlineLevel="0" collapsed="false">
      <c r="A295" s="8" t="s">
        <v>1629</v>
      </c>
      <c r="B295" s="8" t="n">
        <v>6</v>
      </c>
      <c r="C295" s="8" t="s">
        <v>411</v>
      </c>
      <c r="D295" s="8" t="s">
        <v>1586</v>
      </c>
      <c r="E295" s="8" t="s">
        <v>1619</v>
      </c>
      <c r="F295" s="8" t="n">
        <v>5</v>
      </c>
      <c r="G295" s="8" t="s">
        <v>1620</v>
      </c>
      <c r="H295" s="8" t="s">
        <v>1621</v>
      </c>
      <c r="I295" s="27" t="s">
        <v>1630</v>
      </c>
      <c r="J295" s="8" t="s">
        <v>185</v>
      </c>
      <c r="K295" s="8" t="s">
        <v>250</v>
      </c>
      <c r="L295" s="8"/>
      <c r="M295" s="8" t="str">
        <f aca="false">IF(K295="FUERA","Fuera del marco",IF(K295="N/A","Sin marco",IFERROR(INDEX(Catalogo_TIMSS!$C$5:$C$105,MATCH(K295,Catalogo_TIMSS!$A$5:$A$105,0)),"Pendiente de clasificar")))</f>
        <v>Física</v>
      </c>
      <c r="N295" s="8" t="str">
        <f aca="false">IF(K295="FUERA","Fuera del marco",IF(K295="N/A","Sin marco",IFERROR(INDEX(Catalogo_TIMSS!$F$5:$F$105,MATCH(K295,Catalogo_TIMSS!$A$5:$A$105,0)),"Pendiente de clasificar")))</f>
        <v>Transformación y transferencia de energía</v>
      </c>
      <c r="O295" s="8" t="str">
        <f aca="false">IF(L295="","",IFERROR(INDEX(Catalogo_TIMSS!$C$5:$C$105,MATCH(L295,Catalogo_TIMSS!$A$5:$A$105,0)),"?"))</f>
        <v/>
      </c>
      <c r="P295" s="8" t="s">
        <v>513</v>
      </c>
      <c r="Q295" s="27" t="s">
        <v>1631</v>
      </c>
      <c r="R295" s="27" t="s">
        <v>1632</v>
      </c>
      <c r="S295" s="28" t="n">
        <f aca="false">IFERROR(ISNUMBER(SEARCH("Conocer",$R295))/(ISNUMBER(SEARCH("Conocer",$R295))+ISNUMBER(SEARCH("Aplicar",$R295))+ISNUMBER(SEARCH("Razonar",$R295))),0)</f>
        <v>0</v>
      </c>
      <c r="T295" s="28" t="n">
        <f aca="false">IFERROR(ISNUMBER(SEARCH("Aplicar",$R295))/(ISNUMBER(SEARCH("Conocer",$R295))+ISNUMBER(SEARCH("Aplicar",$R295))+ISNUMBER(SEARCH("Razonar",$R295))),0)</f>
        <v>1</v>
      </c>
      <c r="U295" s="28" t="n">
        <f aca="false">IFERROR(ISNUMBER(SEARCH("Razonar",$R295))/(ISNUMBER(SEARCH("Conocer",$R295))+ISNUMBER(SEARCH("Aplicar",$R295))+ISNUMBER(SEARCH("Razonar",$R295))),0)</f>
        <v>0</v>
      </c>
      <c r="V295" s="8" t="s">
        <v>50</v>
      </c>
      <c r="W295" s="8" t="s">
        <v>67</v>
      </c>
    </row>
    <row r="296" customFormat="false" ht="15" hidden="false" customHeight="false" outlineLevel="0" collapsed="false">
      <c r="A296" s="8" t="s">
        <v>1633</v>
      </c>
      <c r="B296" s="8" t="n">
        <v>6</v>
      </c>
      <c r="C296" s="8" t="s">
        <v>411</v>
      </c>
      <c r="D296" s="8" t="s">
        <v>1586</v>
      </c>
      <c r="E296" s="8" t="s">
        <v>1619</v>
      </c>
      <c r="F296" s="8" t="n">
        <v>6</v>
      </c>
      <c r="G296" s="8" t="s">
        <v>1620</v>
      </c>
      <c r="H296" s="8" t="s">
        <v>1634</v>
      </c>
      <c r="I296" s="27" t="s">
        <v>1635</v>
      </c>
      <c r="J296" s="8" t="s">
        <v>185</v>
      </c>
      <c r="K296" s="8" t="s">
        <v>245</v>
      </c>
      <c r="L296" s="8" t="s">
        <v>250</v>
      </c>
      <c r="M296" s="8" t="str">
        <f aca="false">IF(K296="FUERA","Fuera del marco",IF(K296="N/A","Sin marco",IFERROR(INDEX(Catalogo_TIMSS!$C$5:$C$105,MATCH(K296,Catalogo_TIMSS!$A$5:$A$105,0)),"Pendiente de clasificar")))</f>
        <v>Física</v>
      </c>
      <c r="N296" s="8" t="str">
        <f aca="false">IF(K296="FUERA","Fuera del marco",IF(K296="N/A","Sin marco",IFERROR(INDEX(Catalogo_TIMSS!$F$5:$F$105,MATCH(K296,Catalogo_TIMSS!$A$5:$A$105,0)),"Pendiente de clasificar")))</f>
        <v>Estados físicos y cambios de la materia</v>
      </c>
      <c r="O296" s="8" t="str">
        <f aca="false">IF(L296="","",IFERROR(INDEX(Catalogo_TIMSS!$C$5:$C$105,MATCH(L296,Catalogo_TIMSS!$A$5:$A$105,0)),"?"))</f>
        <v>Física</v>
      </c>
      <c r="P296" s="8" t="s">
        <v>418</v>
      </c>
      <c r="Q296" s="27" t="s">
        <v>1636</v>
      </c>
      <c r="R296" s="27" t="s">
        <v>1637</v>
      </c>
      <c r="S296" s="28" t="n">
        <f aca="false">IFERROR(ISNUMBER(SEARCH("Conocer",$R296))/(ISNUMBER(SEARCH("Conocer",$R296))+ISNUMBER(SEARCH("Aplicar",$R296))+ISNUMBER(SEARCH("Razonar",$R296))),0)</f>
        <v>0</v>
      </c>
      <c r="T296" s="28" t="n">
        <f aca="false">IFERROR(ISNUMBER(SEARCH("Aplicar",$R296))/(ISNUMBER(SEARCH("Conocer",$R296))+ISNUMBER(SEARCH("Aplicar",$R296))+ISNUMBER(SEARCH("Razonar",$R296))),0)</f>
        <v>0.5</v>
      </c>
      <c r="U296" s="28" t="n">
        <f aca="false">IFERROR(ISNUMBER(SEARCH("Razonar",$R296))/(ISNUMBER(SEARCH("Conocer",$R296))+ISNUMBER(SEARCH("Aplicar",$R296))+ISNUMBER(SEARCH("Razonar",$R296))),0)</f>
        <v>0.5</v>
      </c>
      <c r="V296" s="8" t="s">
        <v>50</v>
      </c>
      <c r="W296" s="8" t="s">
        <v>67</v>
      </c>
    </row>
    <row r="297" customFormat="false" ht="15" hidden="false" customHeight="false" outlineLevel="0" collapsed="false">
      <c r="A297" s="8" t="s">
        <v>1638</v>
      </c>
      <c r="B297" s="8" t="n">
        <v>6</v>
      </c>
      <c r="C297" s="8" t="s">
        <v>411</v>
      </c>
      <c r="D297" s="8" t="s">
        <v>1586</v>
      </c>
      <c r="E297" s="8" t="s">
        <v>1619</v>
      </c>
      <c r="F297" s="8" t="n">
        <v>7</v>
      </c>
      <c r="G297" s="8" t="s">
        <v>1620</v>
      </c>
      <c r="H297" s="8" t="s">
        <v>1634</v>
      </c>
      <c r="I297" s="27" t="s">
        <v>1639</v>
      </c>
      <c r="J297" s="8" t="s">
        <v>185</v>
      </c>
      <c r="K297" s="8" t="s">
        <v>250</v>
      </c>
      <c r="L297" s="8"/>
      <c r="M297" s="8" t="str">
        <f aca="false">IF(K297="FUERA","Fuera del marco",IF(K297="N/A","Sin marco",IFERROR(INDEX(Catalogo_TIMSS!$C$5:$C$105,MATCH(K297,Catalogo_TIMSS!$A$5:$A$105,0)),"Pendiente de clasificar")))</f>
        <v>Física</v>
      </c>
      <c r="N297" s="8" t="str">
        <f aca="false">IF(K297="FUERA","Fuera del marco",IF(K297="N/A","Sin marco",IFERROR(INDEX(Catalogo_TIMSS!$F$5:$F$105,MATCH(K297,Catalogo_TIMSS!$A$5:$A$105,0)),"Pendiente de clasificar")))</f>
        <v>Transformación y transferencia de energía</v>
      </c>
      <c r="O297" s="8" t="str">
        <f aca="false">IF(L297="","",IFERROR(INDEX(Catalogo_TIMSS!$C$5:$C$105,MATCH(L297,Catalogo_TIMSS!$A$5:$A$105,0)),"?"))</f>
        <v/>
      </c>
      <c r="P297" s="8" t="s">
        <v>418</v>
      </c>
      <c r="Q297" s="27" t="s">
        <v>1640</v>
      </c>
      <c r="R297" s="27" t="s">
        <v>1641</v>
      </c>
      <c r="S297" s="28" t="n">
        <f aca="false">IFERROR(ISNUMBER(SEARCH("Conocer",$R297))/(ISNUMBER(SEARCH("Conocer",$R297))+ISNUMBER(SEARCH("Aplicar",$R297))+ISNUMBER(SEARCH("Razonar",$R297))),0)</f>
        <v>0</v>
      </c>
      <c r="T297" s="28" t="n">
        <f aca="false">IFERROR(ISNUMBER(SEARCH("Aplicar",$R297))/(ISNUMBER(SEARCH("Conocer",$R297))+ISNUMBER(SEARCH("Aplicar",$R297))+ISNUMBER(SEARCH("Razonar",$R297))),0)</f>
        <v>1</v>
      </c>
      <c r="U297" s="28" t="n">
        <f aca="false">IFERROR(ISNUMBER(SEARCH("Razonar",$R297))/(ISNUMBER(SEARCH("Conocer",$R297))+ISNUMBER(SEARCH("Aplicar",$R297))+ISNUMBER(SEARCH("Razonar",$R297))),0)</f>
        <v>0</v>
      </c>
      <c r="V297" s="8" t="s">
        <v>50</v>
      </c>
      <c r="W297" s="8" t="s">
        <v>67</v>
      </c>
    </row>
    <row r="298" customFormat="false" ht="15" hidden="false" customHeight="false" outlineLevel="0" collapsed="false">
      <c r="A298" s="8" t="s">
        <v>1642</v>
      </c>
      <c r="B298" s="8" t="n">
        <v>6</v>
      </c>
      <c r="C298" s="8" t="s">
        <v>411</v>
      </c>
      <c r="D298" s="8" t="s">
        <v>1586</v>
      </c>
      <c r="E298" s="8" t="s">
        <v>1619</v>
      </c>
      <c r="F298" s="8" t="n">
        <v>8</v>
      </c>
      <c r="G298" s="8" t="s">
        <v>1620</v>
      </c>
      <c r="H298" s="8" t="s">
        <v>1634</v>
      </c>
      <c r="I298" s="27" t="s">
        <v>1643</v>
      </c>
      <c r="J298" s="8" t="s">
        <v>185</v>
      </c>
      <c r="K298" s="8" t="s">
        <v>250</v>
      </c>
      <c r="L298" s="8"/>
      <c r="M298" s="8" t="str">
        <f aca="false">IF(K298="FUERA","Fuera del marco",IF(K298="N/A","Sin marco",IFERROR(INDEX(Catalogo_TIMSS!$C$5:$C$105,MATCH(K298,Catalogo_TIMSS!$A$5:$A$105,0)),"Pendiente de clasificar")))</f>
        <v>Física</v>
      </c>
      <c r="N298" s="8" t="str">
        <f aca="false">IF(K298="FUERA","Fuera del marco",IF(K298="N/A","Sin marco",IFERROR(INDEX(Catalogo_TIMSS!$F$5:$F$105,MATCH(K298,Catalogo_TIMSS!$A$5:$A$105,0)),"Pendiente de clasificar")))</f>
        <v>Transformación y transferencia de energía</v>
      </c>
      <c r="O298" s="8" t="str">
        <f aca="false">IF(L298="","",IFERROR(INDEX(Catalogo_TIMSS!$C$5:$C$105,MATCH(L298,Catalogo_TIMSS!$A$5:$A$105,0)),"?"))</f>
        <v/>
      </c>
      <c r="P298" s="8" t="s">
        <v>460</v>
      </c>
      <c r="Q298" s="27" t="s">
        <v>1644</v>
      </c>
      <c r="R298" s="27" t="s">
        <v>1566</v>
      </c>
      <c r="S298" s="28" t="n">
        <f aca="false">IFERROR(ISNUMBER(SEARCH("Conocer",$R298))/(ISNUMBER(SEARCH("Conocer",$R298))+ISNUMBER(SEARCH("Aplicar",$R298))+ISNUMBER(SEARCH("Razonar",$R298))),0)</f>
        <v>0</v>
      </c>
      <c r="T298" s="28" t="n">
        <f aca="false">IFERROR(ISNUMBER(SEARCH("Aplicar",$R298))/(ISNUMBER(SEARCH("Conocer",$R298))+ISNUMBER(SEARCH("Aplicar",$R298))+ISNUMBER(SEARCH("Razonar",$R298))),0)</f>
        <v>0</v>
      </c>
      <c r="U298" s="28" t="n">
        <f aca="false">IFERROR(ISNUMBER(SEARCH("Razonar",$R298))/(ISNUMBER(SEARCH("Conocer",$R298))+ISNUMBER(SEARCH("Aplicar",$R298))+ISNUMBER(SEARCH("Razonar",$R298))),0)</f>
        <v>1</v>
      </c>
      <c r="V298" s="8" t="s">
        <v>50</v>
      </c>
      <c r="W298" s="8" t="s">
        <v>67</v>
      </c>
    </row>
    <row r="299" customFormat="false" ht="15" hidden="false" customHeight="false" outlineLevel="0" collapsed="false">
      <c r="A299" s="8" t="s">
        <v>1645</v>
      </c>
      <c r="B299" s="8" t="n">
        <v>6</v>
      </c>
      <c r="C299" s="8" t="s">
        <v>411</v>
      </c>
      <c r="D299" s="8" t="s">
        <v>1586</v>
      </c>
      <c r="E299" s="8" t="s">
        <v>1619</v>
      </c>
      <c r="F299" s="8" t="n">
        <v>9</v>
      </c>
      <c r="G299" s="8" t="s">
        <v>1620</v>
      </c>
      <c r="H299" s="8" t="s">
        <v>1634</v>
      </c>
      <c r="I299" s="27" t="s">
        <v>1646</v>
      </c>
      <c r="J299" s="8" t="s">
        <v>185</v>
      </c>
      <c r="K299" s="8" t="s">
        <v>242</v>
      </c>
      <c r="L299" s="8"/>
      <c r="M299" s="8" t="str">
        <f aca="false">IF(K299="FUERA","Fuera del marco",IF(K299="N/A","Sin marco",IFERROR(INDEX(Catalogo_TIMSS!$C$5:$C$105,MATCH(K299,Catalogo_TIMSS!$A$5:$A$105,0)),"Pendiente de clasificar")))</f>
        <v>Física</v>
      </c>
      <c r="N299" s="8" t="str">
        <f aca="false">IF(K299="FUERA","Fuera del marco",IF(K299="N/A","Sin marco",IFERROR(INDEX(Catalogo_TIMSS!$F$5:$F$105,MATCH(K299,Catalogo_TIMSS!$A$5:$A$105,0)),"Pendiente de clasificar")))</f>
        <v>Estados físicos y cambios de la materia</v>
      </c>
      <c r="O299" s="8" t="str">
        <f aca="false">IF(L299="","",IFERROR(INDEX(Catalogo_TIMSS!$C$5:$C$105,MATCH(L299,Catalogo_TIMSS!$A$5:$A$105,0)),"?"))</f>
        <v/>
      </c>
      <c r="P299" s="8" t="s">
        <v>418</v>
      </c>
      <c r="Q299" s="27" t="s">
        <v>1647</v>
      </c>
      <c r="R299" s="27" t="s">
        <v>451</v>
      </c>
      <c r="S299" s="28" t="n">
        <f aca="false">IFERROR(ISNUMBER(SEARCH("Conocer",$R299))/(ISNUMBER(SEARCH("Conocer",$R299))+ISNUMBER(SEARCH("Aplicar",$R299))+ISNUMBER(SEARCH("Razonar",$R299))),0)</f>
        <v>0</v>
      </c>
      <c r="T299" s="28" t="n">
        <f aca="false">IFERROR(ISNUMBER(SEARCH("Aplicar",$R299))/(ISNUMBER(SEARCH("Conocer",$R299))+ISNUMBER(SEARCH("Aplicar",$R299))+ISNUMBER(SEARCH("Razonar",$R299))),0)</f>
        <v>1</v>
      </c>
      <c r="U299" s="28" t="n">
        <f aca="false">IFERROR(ISNUMBER(SEARCH("Razonar",$R299))/(ISNUMBER(SEARCH("Conocer",$R299))+ISNUMBER(SEARCH("Aplicar",$R299))+ISNUMBER(SEARCH("Razonar",$R299))),0)</f>
        <v>0</v>
      </c>
      <c r="V299" s="8" t="s">
        <v>50</v>
      </c>
      <c r="W299" s="8" t="s">
        <v>67</v>
      </c>
    </row>
    <row r="300" customFormat="false" ht="15" hidden="false" customHeight="false" outlineLevel="0" collapsed="false">
      <c r="A300" s="8" t="s">
        <v>1648</v>
      </c>
      <c r="B300" s="8" t="n">
        <v>6</v>
      </c>
      <c r="C300" s="8" t="s">
        <v>411</v>
      </c>
      <c r="D300" s="8" t="s">
        <v>1586</v>
      </c>
      <c r="E300" s="8" t="s">
        <v>1649</v>
      </c>
      <c r="F300" s="8" t="n">
        <v>3</v>
      </c>
      <c r="G300" s="8" t="s">
        <v>1650</v>
      </c>
      <c r="H300" s="8" t="s">
        <v>1651</v>
      </c>
      <c r="I300" s="27" t="s">
        <v>1652</v>
      </c>
      <c r="J300" s="8" t="s">
        <v>185</v>
      </c>
      <c r="K300" s="8" t="s">
        <v>257</v>
      </c>
      <c r="L300" s="8"/>
      <c r="M300" s="8" t="str">
        <f aca="false">IF(K300="FUERA","Fuera del marco",IF(K300="N/A","Sin marco",IFERROR(INDEX(Catalogo_TIMSS!$C$5:$C$105,MATCH(K300,Catalogo_TIMSS!$A$5:$A$105,0)),"Pendiente de clasificar")))</f>
        <v>Física</v>
      </c>
      <c r="N300" s="8" t="str">
        <f aca="false">IF(K300="FUERA","Fuera del marco",IF(K300="N/A","Sin marco",IFERROR(INDEX(Catalogo_TIMSS!$F$5:$F$105,MATCH(K300,Catalogo_TIMSS!$A$5:$A$105,0)),"Pendiente de clasificar")))</f>
        <v>Electricidad y magnetismo</v>
      </c>
      <c r="O300" s="8" t="str">
        <f aca="false">IF(L300="","",IFERROR(INDEX(Catalogo_TIMSS!$C$5:$C$105,MATCH(L300,Catalogo_TIMSS!$A$5:$A$105,0)),"?"))</f>
        <v/>
      </c>
      <c r="P300" s="8" t="s">
        <v>460</v>
      </c>
      <c r="Q300" s="27" t="s">
        <v>1653</v>
      </c>
      <c r="R300" s="27" t="s">
        <v>1654</v>
      </c>
      <c r="S300" s="28" t="n">
        <f aca="false">IFERROR(ISNUMBER(SEARCH("Conocer",$R300))/(ISNUMBER(SEARCH("Conocer",$R300))+ISNUMBER(SEARCH("Aplicar",$R300))+ISNUMBER(SEARCH("Razonar",$R300))),0)</f>
        <v>0</v>
      </c>
      <c r="T300" s="28" t="n">
        <f aca="false">IFERROR(ISNUMBER(SEARCH("Aplicar",$R300))/(ISNUMBER(SEARCH("Conocer",$R300))+ISNUMBER(SEARCH("Aplicar",$R300))+ISNUMBER(SEARCH("Razonar",$R300))),0)</f>
        <v>1</v>
      </c>
      <c r="U300" s="28" t="n">
        <f aca="false">IFERROR(ISNUMBER(SEARCH("Razonar",$R300))/(ISNUMBER(SEARCH("Conocer",$R300))+ISNUMBER(SEARCH("Aplicar",$R300))+ISNUMBER(SEARCH("Razonar",$R300))),0)</f>
        <v>0</v>
      </c>
      <c r="V300" s="8" t="s">
        <v>50</v>
      </c>
      <c r="W300" s="8" t="s">
        <v>67</v>
      </c>
    </row>
    <row r="301" customFormat="false" ht="15" hidden="false" customHeight="false" outlineLevel="0" collapsed="false">
      <c r="A301" s="8" t="s">
        <v>1655</v>
      </c>
      <c r="B301" s="8" t="n">
        <v>6</v>
      </c>
      <c r="C301" s="8" t="s">
        <v>411</v>
      </c>
      <c r="D301" s="8" t="s">
        <v>1586</v>
      </c>
      <c r="E301" s="8" t="s">
        <v>1649</v>
      </c>
      <c r="F301" s="8" t="n">
        <v>4</v>
      </c>
      <c r="G301" s="8" t="s">
        <v>1650</v>
      </c>
      <c r="H301" s="8" t="s">
        <v>1651</v>
      </c>
      <c r="I301" s="27" t="s">
        <v>1656</v>
      </c>
      <c r="J301" s="8" t="s">
        <v>185</v>
      </c>
      <c r="K301" s="8" t="s">
        <v>257</v>
      </c>
      <c r="L301" s="8"/>
      <c r="M301" s="8" t="str">
        <f aca="false">IF(K301="FUERA","Fuera del marco",IF(K301="N/A","Sin marco",IFERROR(INDEX(Catalogo_TIMSS!$C$5:$C$105,MATCH(K301,Catalogo_TIMSS!$A$5:$A$105,0)),"Pendiente de clasificar")))</f>
        <v>Física</v>
      </c>
      <c r="N301" s="8" t="str">
        <f aca="false">IF(K301="FUERA","Fuera del marco",IF(K301="N/A","Sin marco",IFERROR(INDEX(Catalogo_TIMSS!$F$5:$F$105,MATCH(K301,Catalogo_TIMSS!$A$5:$A$105,0)),"Pendiente de clasificar")))</f>
        <v>Electricidad y magnetismo</v>
      </c>
      <c r="O301" s="8" t="str">
        <f aca="false">IF(L301="","",IFERROR(INDEX(Catalogo_TIMSS!$C$5:$C$105,MATCH(L301,Catalogo_TIMSS!$A$5:$A$105,0)),"?"))</f>
        <v/>
      </c>
      <c r="P301" s="8" t="s">
        <v>460</v>
      </c>
      <c r="Q301" s="27" t="s">
        <v>1657</v>
      </c>
      <c r="R301" s="27" t="s">
        <v>1658</v>
      </c>
      <c r="S301" s="28" t="n">
        <f aca="false">IFERROR(ISNUMBER(SEARCH("Conocer",$R301))/(ISNUMBER(SEARCH("Conocer",$R301))+ISNUMBER(SEARCH("Aplicar",$R301))+ISNUMBER(SEARCH("Razonar",$R301))),0)</f>
        <v>0</v>
      </c>
      <c r="T301" s="28" t="n">
        <f aca="false">IFERROR(ISNUMBER(SEARCH("Aplicar",$R301))/(ISNUMBER(SEARCH("Conocer",$R301))+ISNUMBER(SEARCH("Aplicar",$R301))+ISNUMBER(SEARCH("Razonar",$R301))),0)</f>
        <v>1</v>
      </c>
      <c r="U301" s="28" t="n">
        <f aca="false">IFERROR(ISNUMBER(SEARCH("Razonar",$R301))/(ISNUMBER(SEARCH("Conocer",$R301))+ISNUMBER(SEARCH("Aplicar",$R301))+ISNUMBER(SEARCH("Razonar",$R301))),0)</f>
        <v>0</v>
      </c>
      <c r="V301" s="8" t="s">
        <v>50</v>
      </c>
      <c r="W301" s="8" t="s">
        <v>67</v>
      </c>
    </row>
    <row r="302" customFormat="false" ht="15" hidden="false" customHeight="false" outlineLevel="0" collapsed="false">
      <c r="A302" s="8" t="s">
        <v>1659</v>
      </c>
      <c r="B302" s="8" t="n">
        <v>6</v>
      </c>
      <c r="C302" s="8" t="s">
        <v>411</v>
      </c>
      <c r="D302" s="8" t="s">
        <v>1586</v>
      </c>
      <c r="E302" s="8" t="s">
        <v>1649</v>
      </c>
      <c r="F302" s="8" t="n">
        <v>5</v>
      </c>
      <c r="G302" s="8" t="s">
        <v>1650</v>
      </c>
      <c r="H302" s="8" t="s">
        <v>1660</v>
      </c>
      <c r="I302" s="27" t="s">
        <v>1661</v>
      </c>
      <c r="J302" s="8" t="s">
        <v>185</v>
      </c>
      <c r="K302" s="8" t="s">
        <v>257</v>
      </c>
      <c r="L302" s="8"/>
      <c r="M302" s="8" t="str">
        <f aca="false">IF(K302="FUERA","Fuera del marco",IF(K302="N/A","Sin marco",IFERROR(INDEX(Catalogo_TIMSS!$C$5:$C$105,MATCH(K302,Catalogo_TIMSS!$A$5:$A$105,0)),"Pendiente de clasificar")))</f>
        <v>Física</v>
      </c>
      <c r="N302" s="8" t="str">
        <f aca="false">IF(K302="FUERA","Fuera del marco",IF(K302="N/A","Sin marco",IFERROR(INDEX(Catalogo_TIMSS!$F$5:$F$105,MATCH(K302,Catalogo_TIMSS!$A$5:$A$105,0)),"Pendiente de clasificar")))</f>
        <v>Electricidad y magnetismo</v>
      </c>
      <c r="O302" s="8" t="str">
        <f aca="false">IF(L302="","",IFERROR(INDEX(Catalogo_TIMSS!$C$5:$C$105,MATCH(L302,Catalogo_TIMSS!$A$5:$A$105,0)),"?"))</f>
        <v/>
      </c>
      <c r="P302" s="8" t="s">
        <v>418</v>
      </c>
      <c r="Q302" s="27" t="s">
        <v>1662</v>
      </c>
      <c r="R302" s="27" t="s">
        <v>1663</v>
      </c>
      <c r="S302" s="28" t="n">
        <f aca="false">IFERROR(ISNUMBER(SEARCH("Conocer",$R302))/(ISNUMBER(SEARCH("Conocer",$R302))+ISNUMBER(SEARCH("Aplicar",$R302))+ISNUMBER(SEARCH("Razonar",$R302))),0)</f>
        <v>0</v>
      </c>
      <c r="T302" s="28" t="n">
        <f aca="false">IFERROR(ISNUMBER(SEARCH("Aplicar",$R302))/(ISNUMBER(SEARCH("Conocer",$R302))+ISNUMBER(SEARCH("Aplicar",$R302))+ISNUMBER(SEARCH("Razonar",$R302))),0)</f>
        <v>1</v>
      </c>
      <c r="U302" s="28" t="n">
        <f aca="false">IFERROR(ISNUMBER(SEARCH("Razonar",$R302))/(ISNUMBER(SEARCH("Conocer",$R302))+ISNUMBER(SEARCH("Aplicar",$R302))+ISNUMBER(SEARCH("Razonar",$R302))),0)</f>
        <v>0</v>
      </c>
      <c r="V302" s="8" t="s">
        <v>50</v>
      </c>
      <c r="W302" s="8" t="s">
        <v>67</v>
      </c>
    </row>
    <row r="303" customFormat="false" ht="15" hidden="false" customHeight="false" outlineLevel="0" collapsed="false">
      <c r="A303" s="8" t="s">
        <v>1664</v>
      </c>
      <c r="B303" s="8" t="n">
        <v>6</v>
      </c>
      <c r="C303" s="8" t="s">
        <v>411</v>
      </c>
      <c r="D303" s="8" t="s">
        <v>1586</v>
      </c>
      <c r="E303" s="8" t="s">
        <v>1649</v>
      </c>
      <c r="F303" s="8" t="n">
        <v>6</v>
      </c>
      <c r="G303" s="8" t="s">
        <v>1650</v>
      </c>
      <c r="H303" s="8" t="s">
        <v>1660</v>
      </c>
      <c r="I303" s="27" t="s">
        <v>1665</v>
      </c>
      <c r="J303" s="8" t="s">
        <v>185</v>
      </c>
      <c r="K303" s="8" t="s">
        <v>257</v>
      </c>
      <c r="L303" s="8"/>
      <c r="M303" s="8" t="str">
        <f aca="false">IF(K303="FUERA","Fuera del marco",IF(K303="N/A","Sin marco",IFERROR(INDEX(Catalogo_TIMSS!$C$5:$C$105,MATCH(K303,Catalogo_TIMSS!$A$5:$A$105,0)),"Pendiente de clasificar")))</f>
        <v>Física</v>
      </c>
      <c r="N303" s="8" t="str">
        <f aca="false">IF(K303="FUERA","Fuera del marco",IF(K303="N/A","Sin marco",IFERROR(INDEX(Catalogo_TIMSS!$F$5:$F$105,MATCH(K303,Catalogo_TIMSS!$A$5:$A$105,0)),"Pendiente de clasificar")))</f>
        <v>Electricidad y magnetismo</v>
      </c>
      <c r="O303" s="8" t="str">
        <f aca="false">IF(L303="","",IFERROR(INDEX(Catalogo_TIMSS!$C$5:$C$105,MATCH(L303,Catalogo_TIMSS!$A$5:$A$105,0)),"?"))</f>
        <v/>
      </c>
      <c r="P303" s="8" t="s">
        <v>418</v>
      </c>
      <c r="Q303" s="27" t="s">
        <v>1666</v>
      </c>
      <c r="R303" s="27" t="s">
        <v>1667</v>
      </c>
      <c r="S303" s="28" t="n">
        <f aca="false">IFERROR(ISNUMBER(SEARCH("Conocer",$R303))/(ISNUMBER(SEARCH("Conocer",$R303))+ISNUMBER(SEARCH("Aplicar",$R303))+ISNUMBER(SEARCH("Razonar",$R303))),0)</f>
        <v>0</v>
      </c>
      <c r="T303" s="28" t="n">
        <f aca="false">IFERROR(ISNUMBER(SEARCH("Aplicar",$R303))/(ISNUMBER(SEARCH("Conocer",$R303))+ISNUMBER(SEARCH("Aplicar",$R303))+ISNUMBER(SEARCH("Razonar",$R303))),0)</f>
        <v>1</v>
      </c>
      <c r="U303" s="28" t="n">
        <f aca="false">IFERROR(ISNUMBER(SEARCH("Razonar",$R303))/(ISNUMBER(SEARCH("Conocer",$R303))+ISNUMBER(SEARCH("Aplicar",$R303))+ISNUMBER(SEARCH("Razonar",$R303))),0)</f>
        <v>0</v>
      </c>
      <c r="V303" s="8" t="s">
        <v>50</v>
      </c>
      <c r="W303" s="8" t="s">
        <v>67</v>
      </c>
    </row>
    <row r="304" customFormat="false" ht="15" hidden="false" customHeight="false" outlineLevel="0" collapsed="false">
      <c r="A304" s="8" t="s">
        <v>1668</v>
      </c>
      <c r="B304" s="8" t="n">
        <v>6</v>
      </c>
      <c r="C304" s="8" t="s">
        <v>411</v>
      </c>
      <c r="D304" s="8" t="s">
        <v>1586</v>
      </c>
      <c r="E304" s="8" t="s">
        <v>1649</v>
      </c>
      <c r="F304" s="8" t="n">
        <v>7</v>
      </c>
      <c r="G304" s="8" t="s">
        <v>1650</v>
      </c>
      <c r="H304" s="8" t="s">
        <v>1660</v>
      </c>
      <c r="I304" s="27" t="s">
        <v>1669</v>
      </c>
      <c r="J304" s="8" t="s">
        <v>185</v>
      </c>
      <c r="K304" s="8" t="s">
        <v>257</v>
      </c>
      <c r="L304" s="8"/>
      <c r="M304" s="8" t="str">
        <f aca="false">IF(K304="FUERA","Fuera del marco",IF(K304="N/A","Sin marco",IFERROR(INDEX(Catalogo_TIMSS!$C$5:$C$105,MATCH(K304,Catalogo_TIMSS!$A$5:$A$105,0)),"Pendiente de clasificar")))</f>
        <v>Física</v>
      </c>
      <c r="N304" s="8" t="str">
        <f aca="false">IF(K304="FUERA","Fuera del marco",IF(K304="N/A","Sin marco",IFERROR(INDEX(Catalogo_TIMSS!$F$5:$F$105,MATCH(K304,Catalogo_TIMSS!$A$5:$A$105,0)),"Pendiente de clasificar")))</f>
        <v>Electricidad y magnetismo</v>
      </c>
      <c r="O304" s="8" t="str">
        <f aca="false">IF(L304="","",IFERROR(INDEX(Catalogo_TIMSS!$C$5:$C$105,MATCH(L304,Catalogo_TIMSS!$A$5:$A$105,0)),"?"))</f>
        <v/>
      </c>
      <c r="P304" s="8" t="s">
        <v>460</v>
      </c>
      <c r="Q304" s="27" t="s">
        <v>1670</v>
      </c>
      <c r="R304" s="27" t="s">
        <v>1671</v>
      </c>
      <c r="S304" s="28" t="n">
        <f aca="false">IFERROR(ISNUMBER(SEARCH("Conocer",$R304))/(ISNUMBER(SEARCH("Conocer",$R304))+ISNUMBER(SEARCH("Aplicar",$R304))+ISNUMBER(SEARCH("Razonar",$R304))),0)</f>
        <v>0</v>
      </c>
      <c r="T304" s="28" t="n">
        <f aca="false">IFERROR(ISNUMBER(SEARCH("Aplicar",$R304))/(ISNUMBER(SEARCH("Conocer",$R304))+ISNUMBER(SEARCH("Aplicar",$R304))+ISNUMBER(SEARCH("Razonar",$R304))),0)</f>
        <v>0.5</v>
      </c>
      <c r="U304" s="28" t="n">
        <f aca="false">IFERROR(ISNUMBER(SEARCH("Razonar",$R304))/(ISNUMBER(SEARCH("Conocer",$R304))+ISNUMBER(SEARCH("Aplicar",$R304))+ISNUMBER(SEARCH("Razonar",$R304))),0)</f>
        <v>0.5</v>
      </c>
      <c r="V304" s="8" t="s">
        <v>50</v>
      </c>
      <c r="W304" s="8" t="s">
        <v>67</v>
      </c>
    </row>
    <row r="305" customFormat="false" ht="15" hidden="false" customHeight="false" outlineLevel="0" collapsed="false">
      <c r="A305" s="8" t="s">
        <v>1672</v>
      </c>
      <c r="B305" s="8" t="n">
        <v>6</v>
      </c>
      <c r="C305" s="8" t="s">
        <v>411</v>
      </c>
      <c r="D305" s="8" t="s">
        <v>1586</v>
      </c>
      <c r="E305" s="8" t="s">
        <v>1649</v>
      </c>
      <c r="F305" s="8" t="n">
        <v>8</v>
      </c>
      <c r="G305" s="8" t="s">
        <v>1650</v>
      </c>
      <c r="H305" s="8" t="s">
        <v>1660</v>
      </c>
      <c r="I305" s="27" t="s">
        <v>1673</v>
      </c>
      <c r="J305" s="8" t="s">
        <v>185</v>
      </c>
      <c r="K305" s="8" t="s">
        <v>257</v>
      </c>
      <c r="L305" s="8"/>
      <c r="M305" s="8" t="str">
        <f aca="false">IF(K305="FUERA","Fuera del marco",IF(K305="N/A","Sin marco",IFERROR(INDEX(Catalogo_TIMSS!$C$5:$C$105,MATCH(K305,Catalogo_TIMSS!$A$5:$A$105,0)),"Pendiente de clasificar")))</f>
        <v>Física</v>
      </c>
      <c r="N305" s="8" t="str">
        <f aca="false">IF(K305="FUERA","Fuera del marco",IF(K305="N/A","Sin marco",IFERROR(INDEX(Catalogo_TIMSS!$F$5:$F$105,MATCH(K305,Catalogo_TIMSS!$A$5:$A$105,0)),"Pendiente de clasificar")))</f>
        <v>Electricidad y magnetismo</v>
      </c>
      <c r="O305" s="8" t="str">
        <f aca="false">IF(L305="","",IFERROR(INDEX(Catalogo_TIMSS!$C$5:$C$105,MATCH(L305,Catalogo_TIMSS!$A$5:$A$105,0)),"?"))</f>
        <v/>
      </c>
      <c r="P305" s="8" t="s">
        <v>418</v>
      </c>
      <c r="Q305" s="27" t="s">
        <v>1674</v>
      </c>
      <c r="R305" s="27" t="s">
        <v>1675</v>
      </c>
      <c r="S305" s="28" t="n">
        <f aca="false">IFERROR(ISNUMBER(SEARCH("Conocer",$R305))/(ISNUMBER(SEARCH("Conocer",$R305))+ISNUMBER(SEARCH("Aplicar",$R305))+ISNUMBER(SEARCH("Razonar",$R305))),0)</f>
        <v>0</v>
      </c>
      <c r="T305" s="28" t="n">
        <f aca="false">IFERROR(ISNUMBER(SEARCH("Aplicar",$R305))/(ISNUMBER(SEARCH("Conocer",$R305))+ISNUMBER(SEARCH("Aplicar",$R305))+ISNUMBER(SEARCH("Razonar",$R305))),0)</f>
        <v>1</v>
      </c>
      <c r="U305" s="28" t="n">
        <f aca="false">IFERROR(ISNUMBER(SEARCH("Razonar",$R305))/(ISNUMBER(SEARCH("Conocer",$R305))+ISNUMBER(SEARCH("Aplicar",$R305))+ISNUMBER(SEARCH("Razonar",$R305))),0)</f>
        <v>0</v>
      </c>
      <c r="V305" s="8" t="s">
        <v>50</v>
      </c>
      <c r="W305" s="8" t="s">
        <v>67</v>
      </c>
    </row>
    <row r="306" customFormat="false" ht="15" hidden="false" customHeight="false" outlineLevel="0" collapsed="false">
      <c r="A306" s="8" t="s">
        <v>1676</v>
      </c>
      <c r="B306" s="8" t="n">
        <v>6</v>
      </c>
      <c r="C306" s="8" t="s">
        <v>411</v>
      </c>
      <c r="D306" s="8" t="s">
        <v>1586</v>
      </c>
      <c r="E306" s="8" t="s">
        <v>1649</v>
      </c>
      <c r="F306" s="8" t="n">
        <v>9</v>
      </c>
      <c r="G306" s="8" t="s">
        <v>1650</v>
      </c>
      <c r="H306" s="8" t="s">
        <v>1660</v>
      </c>
      <c r="I306" s="27" t="s">
        <v>1677</v>
      </c>
      <c r="J306" s="8" t="s">
        <v>185</v>
      </c>
      <c r="K306" s="8" t="s">
        <v>257</v>
      </c>
      <c r="L306" s="8"/>
      <c r="M306" s="8" t="str">
        <f aca="false">IF(K306="FUERA","Fuera del marco",IF(K306="N/A","Sin marco",IFERROR(INDEX(Catalogo_TIMSS!$C$5:$C$105,MATCH(K306,Catalogo_TIMSS!$A$5:$A$105,0)),"Pendiente de clasificar")))</f>
        <v>Física</v>
      </c>
      <c r="N306" s="8" t="str">
        <f aca="false">IF(K306="FUERA","Fuera del marco",IF(K306="N/A","Sin marco",IFERROR(INDEX(Catalogo_TIMSS!$F$5:$F$105,MATCH(K306,Catalogo_TIMSS!$A$5:$A$105,0)),"Pendiente de clasificar")))</f>
        <v>Electricidad y magnetismo</v>
      </c>
      <c r="O306" s="8" t="str">
        <f aca="false">IF(L306="","",IFERROR(INDEX(Catalogo_TIMSS!$C$5:$C$105,MATCH(L306,Catalogo_TIMSS!$A$5:$A$105,0)),"?"))</f>
        <v/>
      </c>
      <c r="P306" s="8" t="s">
        <v>460</v>
      </c>
      <c r="Q306" s="27" t="s">
        <v>1678</v>
      </c>
      <c r="R306" s="27" t="s">
        <v>1408</v>
      </c>
      <c r="S306" s="28" t="n">
        <f aca="false">IFERROR(ISNUMBER(SEARCH("Conocer",$R306))/(ISNUMBER(SEARCH("Conocer",$R306))+ISNUMBER(SEARCH("Aplicar",$R306))+ISNUMBER(SEARCH("Razonar",$R306))),0)</f>
        <v>0</v>
      </c>
      <c r="T306" s="28" t="n">
        <f aca="false">IFERROR(ISNUMBER(SEARCH("Aplicar",$R306))/(ISNUMBER(SEARCH("Conocer",$R306))+ISNUMBER(SEARCH("Aplicar",$R306))+ISNUMBER(SEARCH("Razonar",$R306))),0)</f>
        <v>1</v>
      </c>
      <c r="U306" s="28" t="n">
        <f aca="false">IFERROR(ISNUMBER(SEARCH("Razonar",$R306))/(ISNUMBER(SEARCH("Conocer",$R306))+ISNUMBER(SEARCH("Aplicar",$R306))+ISNUMBER(SEARCH("Razonar",$R306))),0)</f>
        <v>0</v>
      </c>
      <c r="V306" s="8" t="s">
        <v>50</v>
      </c>
      <c r="W306" s="8" t="s">
        <v>67</v>
      </c>
    </row>
    <row r="307" customFormat="false" ht="15" hidden="false" customHeight="false" outlineLevel="0" collapsed="false">
      <c r="A307" s="8" t="s">
        <v>1679</v>
      </c>
      <c r="B307" s="8" t="n">
        <v>6</v>
      </c>
      <c r="C307" s="8" t="s">
        <v>411</v>
      </c>
      <c r="D307" s="8" t="s">
        <v>1586</v>
      </c>
      <c r="E307" s="8" t="s">
        <v>1649</v>
      </c>
      <c r="F307" s="8" t="n">
        <v>10</v>
      </c>
      <c r="G307" s="8" t="s">
        <v>1650</v>
      </c>
      <c r="H307" s="8" t="s">
        <v>1680</v>
      </c>
      <c r="I307" s="27" t="s">
        <v>1681</v>
      </c>
      <c r="J307" s="8" t="s">
        <v>185</v>
      </c>
      <c r="K307" s="8" t="s">
        <v>259</v>
      </c>
      <c r="L307" s="8"/>
      <c r="M307" s="8" t="str">
        <f aca="false">IF(K307="FUERA","Fuera del marco",IF(K307="N/A","Sin marco",IFERROR(INDEX(Catalogo_TIMSS!$C$5:$C$105,MATCH(K307,Catalogo_TIMSS!$A$5:$A$105,0)),"Pendiente de clasificar")))</f>
        <v>Física</v>
      </c>
      <c r="N307" s="8" t="str">
        <f aca="false">IF(K307="FUERA","Fuera del marco",IF(K307="N/A","Sin marco",IFERROR(INDEX(Catalogo_TIMSS!$F$5:$F$105,MATCH(K307,Catalogo_TIMSS!$A$5:$A$105,0)),"Pendiente de clasificar")))</f>
        <v>Electricidad y magnetismo</v>
      </c>
      <c r="O307" s="8" t="str">
        <f aca="false">IF(L307="","",IFERROR(INDEX(Catalogo_TIMSS!$C$5:$C$105,MATCH(L307,Catalogo_TIMSS!$A$5:$A$105,0)),"?"))</f>
        <v/>
      </c>
      <c r="P307" s="8" t="s">
        <v>418</v>
      </c>
      <c r="Q307" s="27" t="s">
        <v>1682</v>
      </c>
      <c r="R307" s="27" t="s">
        <v>1683</v>
      </c>
      <c r="S307" s="28" t="n">
        <f aca="false">IFERROR(ISNUMBER(SEARCH("Conocer",$R307))/(ISNUMBER(SEARCH("Conocer",$R307))+ISNUMBER(SEARCH("Aplicar",$R307))+ISNUMBER(SEARCH("Razonar",$R307))),0)</f>
        <v>0</v>
      </c>
      <c r="T307" s="28" t="n">
        <f aca="false">IFERROR(ISNUMBER(SEARCH("Aplicar",$R307))/(ISNUMBER(SEARCH("Conocer",$R307))+ISNUMBER(SEARCH("Aplicar",$R307))+ISNUMBER(SEARCH("Razonar",$R307))),0)</f>
        <v>0</v>
      </c>
      <c r="U307" s="28" t="n">
        <f aca="false">IFERROR(ISNUMBER(SEARCH("Razonar",$R307))/(ISNUMBER(SEARCH("Conocer",$R307))+ISNUMBER(SEARCH("Aplicar",$R307))+ISNUMBER(SEARCH("Razonar",$R307))),0)</f>
        <v>1</v>
      </c>
      <c r="V307" s="8" t="s">
        <v>50</v>
      </c>
      <c r="W307" s="8" t="s">
        <v>67</v>
      </c>
    </row>
    <row r="308" customFormat="false" ht="15" hidden="false" customHeight="false" outlineLevel="0" collapsed="false">
      <c r="A308" s="8" t="s">
        <v>1684</v>
      </c>
      <c r="B308" s="8" t="n">
        <v>6</v>
      </c>
      <c r="C308" s="8" t="s">
        <v>411</v>
      </c>
      <c r="D308" s="8" t="s">
        <v>1586</v>
      </c>
      <c r="E308" s="8" t="s">
        <v>1649</v>
      </c>
      <c r="F308" s="8" t="n">
        <v>11</v>
      </c>
      <c r="G308" s="8" t="s">
        <v>1650</v>
      </c>
      <c r="H308" s="8" t="s">
        <v>1680</v>
      </c>
      <c r="I308" s="27" t="s">
        <v>1685</v>
      </c>
      <c r="J308" s="8" t="s">
        <v>185</v>
      </c>
      <c r="K308" s="8" t="s">
        <v>259</v>
      </c>
      <c r="L308" s="8"/>
      <c r="M308" s="8" t="str">
        <f aca="false">IF(K308="FUERA","Fuera del marco",IF(K308="N/A","Sin marco",IFERROR(INDEX(Catalogo_TIMSS!$C$5:$C$105,MATCH(K308,Catalogo_TIMSS!$A$5:$A$105,0)),"Pendiente de clasificar")))</f>
        <v>Física</v>
      </c>
      <c r="N308" s="8" t="str">
        <f aca="false">IF(K308="FUERA","Fuera del marco",IF(K308="N/A","Sin marco",IFERROR(INDEX(Catalogo_TIMSS!$F$5:$F$105,MATCH(K308,Catalogo_TIMSS!$A$5:$A$105,0)),"Pendiente de clasificar")))</f>
        <v>Electricidad y magnetismo</v>
      </c>
      <c r="O308" s="8" t="str">
        <f aca="false">IF(L308="","",IFERROR(INDEX(Catalogo_TIMSS!$C$5:$C$105,MATCH(L308,Catalogo_TIMSS!$A$5:$A$105,0)),"?"))</f>
        <v/>
      </c>
      <c r="P308" s="8" t="s">
        <v>418</v>
      </c>
      <c r="Q308" s="27" t="s">
        <v>1686</v>
      </c>
      <c r="R308" s="27" t="s">
        <v>1265</v>
      </c>
      <c r="S308" s="28" t="n">
        <f aca="false">IFERROR(ISNUMBER(SEARCH("Conocer",$R308))/(ISNUMBER(SEARCH("Conocer",$R308))+ISNUMBER(SEARCH("Aplicar",$R308))+ISNUMBER(SEARCH("Razonar",$R308))),0)</f>
        <v>0</v>
      </c>
      <c r="T308" s="28" t="n">
        <f aca="false">IFERROR(ISNUMBER(SEARCH("Aplicar",$R308))/(ISNUMBER(SEARCH("Conocer",$R308))+ISNUMBER(SEARCH("Aplicar",$R308))+ISNUMBER(SEARCH("Razonar",$R308))),0)</f>
        <v>1</v>
      </c>
      <c r="U308" s="28" t="n">
        <f aca="false">IFERROR(ISNUMBER(SEARCH("Razonar",$R308))/(ISNUMBER(SEARCH("Conocer",$R308))+ISNUMBER(SEARCH("Aplicar",$R308))+ISNUMBER(SEARCH("Razonar",$R308))),0)</f>
        <v>0</v>
      </c>
      <c r="V308" s="8" t="s">
        <v>50</v>
      </c>
      <c r="W308" s="8" t="s">
        <v>67</v>
      </c>
    </row>
    <row r="309" customFormat="false" ht="15" hidden="false" customHeight="false" outlineLevel="0" collapsed="false">
      <c r="A309" s="8" t="s">
        <v>1687</v>
      </c>
      <c r="B309" s="8" t="n">
        <v>6</v>
      </c>
      <c r="C309" s="8" t="s">
        <v>411</v>
      </c>
      <c r="D309" s="8" t="s">
        <v>1586</v>
      </c>
      <c r="E309" s="8" t="s">
        <v>1688</v>
      </c>
      <c r="F309" s="8" t="n">
        <v>3</v>
      </c>
      <c r="G309" s="8" t="s">
        <v>1689</v>
      </c>
      <c r="H309" s="8" t="s">
        <v>1690</v>
      </c>
      <c r="I309" s="27" t="s">
        <v>1691</v>
      </c>
      <c r="J309" s="8" t="s">
        <v>185</v>
      </c>
      <c r="K309" s="8" t="s">
        <v>240</v>
      </c>
      <c r="L309" s="8" t="s">
        <v>219</v>
      </c>
      <c r="M309" s="8" t="str">
        <f aca="false">IF(K309="FUERA","Fuera del marco",IF(K309="N/A","Sin marco",IFERROR(INDEX(Catalogo_TIMSS!$C$5:$C$105,MATCH(K309,Catalogo_TIMSS!$A$5:$A$105,0)),"Pendiente de clasificar")))</f>
        <v>Química</v>
      </c>
      <c r="N309" s="8" t="str">
        <f aca="false">IF(K309="FUERA","Fuera del marco",IF(K309="N/A","Sin marco",IFERROR(INDEX(Catalogo_TIMSS!$F$5:$F$105,MATCH(K309,Catalogo_TIMSS!$A$5:$A$105,0)),"Pendiente de clasificar")))</f>
        <v>Cambio químico</v>
      </c>
      <c r="O309" s="8" t="str">
        <f aca="false">IF(L309="","",IFERROR(INDEX(Catalogo_TIMSS!$C$5:$C$105,MATCH(L309,Catalogo_TIMSS!$A$5:$A$105,0)),"?"))</f>
        <v>Química</v>
      </c>
      <c r="P309" s="8" t="s">
        <v>460</v>
      </c>
      <c r="Q309" s="27" t="s">
        <v>1692</v>
      </c>
      <c r="R309" s="27" t="s">
        <v>1265</v>
      </c>
      <c r="S309" s="28" t="n">
        <f aca="false">IFERROR(ISNUMBER(SEARCH("Conocer",$R309))/(ISNUMBER(SEARCH("Conocer",$R309))+ISNUMBER(SEARCH("Aplicar",$R309))+ISNUMBER(SEARCH("Razonar",$R309))),0)</f>
        <v>0</v>
      </c>
      <c r="T309" s="28" t="n">
        <f aca="false">IFERROR(ISNUMBER(SEARCH("Aplicar",$R309))/(ISNUMBER(SEARCH("Conocer",$R309))+ISNUMBER(SEARCH("Aplicar",$R309))+ISNUMBER(SEARCH("Razonar",$R309))),0)</f>
        <v>1</v>
      </c>
      <c r="U309" s="28" t="n">
        <f aca="false">IFERROR(ISNUMBER(SEARCH("Razonar",$R309))/(ISNUMBER(SEARCH("Conocer",$R309))+ISNUMBER(SEARCH("Aplicar",$R309))+ISNUMBER(SEARCH("Razonar",$R309))),0)</f>
        <v>0</v>
      </c>
      <c r="V309" s="8" t="s">
        <v>50</v>
      </c>
      <c r="W309" s="8" t="s">
        <v>67</v>
      </c>
    </row>
    <row r="310" customFormat="false" ht="15" hidden="false" customHeight="false" outlineLevel="0" collapsed="false">
      <c r="A310" s="8" t="s">
        <v>1693</v>
      </c>
      <c r="B310" s="8" t="n">
        <v>6</v>
      </c>
      <c r="C310" s="8" t="s">
        <v>411</v>
      </c>
      <c r="D310" s="8" t="s">
        <v>1586</v>
      </c>
      <c r="E310" s="8" t="s">
        <v>1688</v>
      </c>
      <c r="F310" s="8" t="n">
        <v>4</v>
      </c>
      <c r="G310" s="8" t="s">
        <v>1689</v>
      </c>
      <c r="H310" s="8" t="s">
        <v>1690</v>
      </c>
      <c r="I310" s="27" t="s">
        <v>1694</v>
      </c>
      <c r="J310" s="8" t="s">
        <v>185</v>
      </c>
      <c r="K310" s="8" t="s">
        <v>240</v>
      </c>
      <c r="L310" s="8"/>
      <c r="M310" s="8" t="str">
        <f aca="false">IF(K310="FUERA","Fuera del marco",IF(K310="N/A","Sin marco",IFERROR(INDEX(Catalogo_TIMSS!$C$5:$C$105,MATCH(K310,Catalogo_TIMSS!$A$5:$A$105,0)),"Pendiente de clasificar")))</f>
        <v>Química</v>
      </c>
      <c r="N310" s="8" t="str">
        <f aca="false">IF(K310="FUERA","Fuera del marco",IF(K310="N/A","Sin marco",IFERROR(INDEX(Catalogo_TIMSS!$F$5:$F$105,MATCH(K310,Catalogo_TIMSS!$A$5:$A$105,0)),"Pendiente de clasificar")))</f>
        <v>Cambio químico</v>
      </c>
      <c r="O310" s="8" t="str">
        <f aca="false">IF(L310="","",IFERROR(INDEX(Catalogo_TIMSS!$C$5:$C$105,MATCH(L310,Catalogo_TIMSS!$A$5:$A$105,0)),"?"))</f>
        <v/>
      </c>
      <c r="P310" s="8" t="s">
        <v>418</v>
      </c>
      <c r="Q310" s="27" t="s">
        <v>1695</v>
      </c>
      <c r="R310" s="27" t="s">
        <v>451</v>
      </c>
      <c r="S310" s="28" t="n">
        <f aca="false">IFERROR(ISNUMBER(SEARCH("Conocer",$R310))/(ISNUMBER(SEARCH("Conocer",$R310))+ISNUMBER(SEARCH("Aplicar",$R310))+ISNUMBER(SEARCH("Razonar",$R310))),0)</f>
        <v>0</v>
      </c>
      <c r="T310" s="28" t="n">
        <f aca="false">IFERROR(ISNUMBER(SEARCH("Aplicar",$R310))/(ISNUMBER(SEARCH("Conocer",$R310))+ISNUMBER(SEARCH("Aplicar",$R310))+ISNUMBER(SEARCH("Razonar",$R310))),0)</f>
        <v>1</v>
      </c>
      <c r="U310" s="28" t="n">
        <f aca="false">IFERROR(ISNUMBER(SEARCH("Razonar",$R310))/(ISNUMBER(SEARCH("Conocer",$R310))+ISNUMBER(SEARCH("Aplicar",$R310))+ISNUMBER(SEARCH("Razonar",$R310))),0)</f>
        <v>0</v>
      </c>
      <c r="V310" s="8" t="s">
        <v>50</v>
      </c>
      <c r="W310" s="8" t="s">
        <v>67</v>
      </c>
    </row>
    <row r="311" customFormat="false" ht="15" hidden="false" customHeight="false" outlineLevel="0" collapsed="false">
      <c r="A311" s="8" t="s">
        <v>1696</v>
      </c>
      <c r="B311" s="8" t="n">
        <v>6</v>
      </c>
      <c r="C311" s="8" t="s">
        <v>411</v>
      </c>
      <c r="D311" s="8" t="s">
        <v>1586</v>
      </c>
      <c r="E311" s="8" t="s">
        <v>1688</v>
      </c>
      <c r="F311" s="8" t="n">
        <v>5</v>
      </c>
      <c r="G311" s="8" t="s">
        <v>1689</v>
      </c>
      <c r="H311" s="8" t="s">
        <v>1690</v>
      </c>
      <c r="I311" s="27" t="s">
        <v>1697</v>
      </c>
      <c r="J311" s="8" t="s">
        <v>185</v>
      </c>
      <c r="K311" s="8" t="s">
        <v>240</v>
      </c>
      <c r="L311" s="8"/>
      <c r="M311" s="8" t="str">
        <f aca="false">IF(K311="FUERA","Fuera del marco",IF(K311="N/A","Sin marco",IFERROR(INDEX(Catalogo_TIMSS!$C$5:$C$105,MATCH(K311,Catalogo_TIMSS!$A$5:$A$105,0)),"Pendiente de clasificar")))</f>
        <v>Química</v>
      </c>
      <c r="N311" s="8" t="str">
        <f aca="false">IF(K311="FUERA","Fuera del marco",IF(K311="N/A","Sin marco",IFERROR(INDEX(Catalogo_TIMSS!$F$5:$F$105,MATCH(K311,Catalogo_TIMSS!$A$5:$A$105,0)),"Pendiente de clasificar")))</f>
        <v>Cambio químico</v>
      </c>
      <c r="O311" s="8" t="str">
        <f aca="false">IF(L311="","",IFERROR(INDEX(Catalogo_TIMSS!$C$5:$C$105,MATCH(L311,Catalogo_TIMSS!$A$5:$A$105,0)),"?"))</f>
        <v/>
      </c>
      <c r="P311" s="8" t="s">
        <v>418</v>
      </c>
      <c r="Q311" s="27" t="s">
        <v>1698</v>
      </c>
      <c r="R311" s="27" t="s">
        <v>642</v>
      </c>
      <c r="S311" s="28" t="n">
        <f aca="false">IFERROR(ISNUMBER(SEARCH("Conocer",$R311))/(ISNUMBER(SEARCH("Conocer",$R311))+ISNUMBER(SEARCH("Aplicar",$R311))+ISNUMBER(SEARCH("Razonar",$R311))),0)</f>
        <v>0</v>
      </c>
      <c r="T311" s="28" t="n">
        <f aca="false">IFERROR(ISNUMBER(SEARCH("Aplicar",$R311))/(ISNUMBER(SEARCH("Conocer",$R311))+ISNUMBER(SEARCH("Aplicar",$R311))+ISNUMBER(SEARCH("Razonar",$R311))),0)</f>
        <v>1</v>
      </c>
      <c r="U311" s="28" t="n">
        <f aca="false">IFERROR(ISNUMBER(SEARCH("Razonar",$R311))/(ISNUMBER(SEARCH("Conocer",$R311))+ISNUMBER(SEARCH("Aplicar",$R311))+ISNUMBER(SEARCH("Razonar",$R311))),0)</f>
        <v>0</v>
      </c>
      <c r="V311" s="8" t="s">
        <v>50</v>
      </c>
      <c r="W311" s="8" t="s">
        <v>67</v>
      </c>
    </row>
    <row r="312" customFormat="false" ht="15" hidden="false" customHeight="false" outlineLevel="0" collapsed="false">
      <c r="A312" s="8" t="s">
        <v>1699</v>
      </c>
      <c r="B312" s="8" t="n">
        <v>6</v>
      </c>
      <c r="C312" s="8" t="s">
        <v>411</v>
      </c>
      <c r="D312" s="8" t="s">
        <v>1586</v>
      </c>
      <c r="E312" s="8" t="s">
        <v>1688</v>
      </c>
      <c r="F312" s="8" t="n">
        <v>6</v>
      </c>
      <c r="G312" s="8" t="s">
        <v>1689</v>
      </c>
      <c r="H312" s="8" t="s">
        <v>1700</v>
      </c>
      <c r="I312" s="27" t="s">
        <v>1701</v>
      </c>
      <c r="J312" s="8" t="s">
        <v>185</v>
      </c>
      <c r="K312" s="8" t="s">
        <v>240</v>
      </c>
      <c r="L312" s="8" t="s">
        <v>219</v>
      </c>
      <c r="M312" s="8" t="str">
        <f aca="false">IF(K312="FUERA","Fuera del marco",IF(K312="N/A","Sin marco",IFERROR(INDEX(Catalogo_TIMSS!$C$5:$C$105,MATCH(K312,Catalogo_TIMSS!$A$5:$A$105,0)),"Pendiente de clasificar")))</f>
        <v>Química</v>
      </c>
      <c r="N312" s="8" t="str">
        <f aca="false">IF(K312="FUERA","Fuera del marco",IF(K312="N/A","Sin marco",IFERROR(INDEX(Catalogo_TIMSS!$F$5:$F$105,MATCH(K312,Catalogo_TIMSS!$A$5:$A$105,0)),"Pendiente de clasificar")))</f>
        <v>Cambio químico</v>
      </c>
      <c r="O312" s="8" t="str">
        <f aca="false">IF(L312="","",IFERROR(INDEX(Catalogo_TIMSS!$C$5:$C$105,MATCH(L312,Catalogo_TIMSS!$A$5:$A$105,0)),"?"))</f>
        <v>Química</v>
      </c>
      <c r="P312" s="8" t="s">
        <v>418</v>
      </c>
      <c r="Q312" s="27" t="s">
        <v>1702</v>
      </c>
      <c r="R312" s="27" t="s">
        <v>429</v>
      </c>
      <c r="S312" s="28" t="n">
        <f aca="false">IFERROR(ISNUMBER(SEARCH("Conocer",$R312))/(ISNUMBER(SEARCH("Conocer",$R312))+ISNUMBER(SEARCH("Aplicar",$R312))+ISNUMBER(SEARCH("Razonar",$R312))),0)</f>
        <v>0</v>
      </c>
      <c r="T312" s="28" t="n">
        <f aca="false">IFERROR(ISNUMBER(SEARCH("Aplicar",$R312))/(ISNUMBER(SEARCH("Conocer",$R312))+ISNUMBER(SEARCH("Aplicar",$R312))+ISNUMBER(SEARCH("Razonar",$R312))),0)</f>
        <v>1</v>
      </c>
      <c r="U312" s="28" t="n">
        <f aca="false">IFERROR(ISNUMBER(SEARCH("Razonar",$R312))/(ISNUMBER(SEARCH("Conocer",$R312))+ISNUMBER(SEARCH("Aplicar",$R312))+ISNUMBER(SEARCH("Razonar",$R312))),0)</f>
        <v>0</v>
      </c>
      <c r="V312" s="8" t="s">
        <v>50</v>
      </c>
      <c r="W312" s="8" t="s">
        <v>67</v>
      </c>
    </row>
    <row r="313" customFormat="false" ht="15" hidden="false" customHeight="false" outlineLevel="0" collapsed="false">
      <c r="A313" s="8" t="s">
        <v>1703</v>
      </c>
      <c r="B313" s="8" t="n">
        <v>6</v>
      </c>
      <c r="C313" s="8" t="s">
        <v>411</v>
      </c>
      <c r="D313" s="8" t="s">
        <v>1586</v>
      </c>
      <c r="E313" s="8" t="s">
        <v>1688</v>
      </c>
      <c r="F313" s="8" t="n">
        <v>7</v>
      </c>
      <c r="G313" s="8" t="s">
        <v>1689</v>
      </c>
      <c r="H313" s="8" t="s">
        <v>1700</v>
      </c>
      <c r="I313" s="27" t="s">
        <v>1704</v>
      </c>
      <c r="J313" s="8" t="s">
        <v>185</v>
      </c>
      <c r="K313" s="8" t="s">
        <v>219</v>
      </c>
      <c r="L313" s="8" t="s">
        <v>240</v>
      </c>
      <c r="M313" s="8" t="str">
        <f aca="false">IF(K313="FUERA","Fuera del marco",IF(K313="N/A","Sin marco",IFERROR(INDEX(Catalogo_TIMSS!$C$5:$C$105,MATCH(K313,Catalogo_TIMSS!$A$5:$A$105,0)),"Pendiente de clasificar")))</f>
        <v>Química</v>
      </c>
      <c r="N313" s="8" t="str">
        <f aca="false">IF(K313="FUERA","Fuera del marco",IF(K313="N/A","Sin marco",IFERROR(INDEX(Catalogo_TIMSS!$F$5:$F$105,MATCH(K313,Catalogo_TIMSS!$A$5:$A$105,0)),"Pendiente de clasificar")))</f>
        <v>Composición de la materia</v>
      </c>
      <c r="O313" s="8" t="str">
        <f aca="false">IF(L313="","",IFERROR(INDEX(Catalogo_TIMSS!$C$5:$C$105,MATCH(L313,Catalogo_TIMSS!$A$5:$A$105,0)),"?"))</f>
        <v>Química</v>
      </c>
      <c r="P313" s="8" t="s">
        <v>460</v>
      </c>
      <c r="Q313" s="27" t="s">
        <v>1705</v>
      </c>
      <c r="R313" s="27" t="s">
        <v>1258</v>
      </c>
      <c r="S313" s="28" t="n">
        <f aca="false">IFERROR(ISNUMBER(SEARCH("Conocer",$R313))/(ISNUMBER(SEARCH("Conocer",$R313))+ISNUMBER(SEARCH("Aplicar",$R313))+ISNUMBER(SEARCH("Razonar",$R313))),0)</f>
        <v>0</v>
      </c>
      <c r="T313" s="28" t="n">
        <f aca="false">IFERROR(ISNUMBER(SEARCH("Aplicar",$R313))/(ISNUMBER(SEARCH("Conocer",$R313))+ISNUMBER(SEARCH("Aplicar",$R313))+ISNUMBER(SEARCH("Razonar",$R313))),0)</f>
        <v>1</v>
      </c>
      <c r="U313" s="28" t="n">
        <f aca="false">IFERROR(ISNUMBER(SEARCH("Razonar",$R313))/(ISNUMBER(SEARCH("Conocer",$R313))+ISNUMBER(SEARCH("Aplicar",$R313))+ISNUMBER(SEARCH("Razonar",$R313))),0)</f>
        <v>0</v>
      </c>
      <c r="V313" s="8" t="s">
        <v>50</v>
      </c>
      <c r="W313" s="8" t="s">
        <v>67</v>
      </c>
    </row>
    <row r="314" customFormat="false" ht="15" hidden="false" customHeight="false" outlineLevel="0" collapsed="false">
      <c r="A314" s="8" t="s">
        <v>1706</v>
      </c>
      <c r="B314" s="8" t="n">
        <v>6</v>
      </c>
      <c r="C314" s="8" t="s">
        <v>411</v>
      </c>
      <c r="D314" s="8" t="s">
        <v>1586</v>
      </c>
      <c r="E314" s="8" t="s">
        <v>1688</v>
      </c>
      <c r="F314" s="8" t="n">
        <v>8</v>
      </c>
      <c r="G314" s="8" t="s">
        <v>1689</v>
      </c>
      <c r="H314" s="8" t="s">
        <v>1700</v>
      </c>
      <c r="I314" s="27" t="s">
        <v>1707</v>
      </c>
      <c r="J314" s="8" t="s">
        <v>185</v>
      </c>
      <c r="K314" s="8" t="s">
        <v>240</v>
      </c>
      <c r="L314" s="8"/>
      <c r="M314" s="8" t="str">
        <f aca="false">IF(K314="FUERA","Fuera del marco",IF(K314="N/A","Sin marco",IFERROR(INDEX(Catalogo_TIMSS!$C$5:$C$105,MATCH(K314,Catalogo_TIMSS!$A$5:$A$105,0)),"Pendiente de clasificar")))</f>
        <v>Química</v>
      </c>
      <c r="N314" s="8" t="str">
        <f aca="false">IF(K314="FUERA","Fuera del marco",IF(K314="N/A","Sin marco",IFERROR(INDEX(Catalogo_TIMSS!$F$5:$F$105,MATCH(K314,Catalogo_TIMSS!$A$5:$A$105,0)),"Pendiente de clasificar")))</f>
        <v>Cambio químico</v>
      </c>
      <c r="O314" s="8" t="str">
        <f aca="false">IF(L314="","",IFERROR(INDEX(Catalogo_TIMSS!$C$5:$C$105,MATCH(L314,Catalogo_TIMSS!$A$5:$A$105,0)),"?"))</f>
        <v/>
      </c>
      <c r="P314" s="8" t="s">
        <v>460</v>
      </c>
      <c r="Q314" s="27" t="s">
        <v>1708</v>
      </c>
      <c r="R314" s="27" t="s">
        <v>1709</v>
      </c>
      <c r="S314" s="28" t="n">
        <f aca="false">IFERROR(ISNUMBER(SEARCH("Conocer",$R314))/(ISNUMBER(SEARCH("Conocer",$R314))+ISNUMBER(SEARCH("Aplicar",$R314))+ISNUMBER(SEARCH("Razonar",$R314))),0)</f>
        <v>0</v>
      </c>
      <c r="T314" s="28" t="n">
        <f aca="false">IFERROR(ISNUMBER(SEARCH("Aplicar",$R314))/(ISNUMBER(SEARCH("Conocer",$R314))+ISNUMBER(SEARCH("Aplicar",$R314))+ISNUMBER(SEARCH("Razonar",$R314))),0)</f>
        <v>1</v>
      </c>
      <c r="U314" s="28" t="n">
        <f aca="false">IFERROR(ISNUMBER(SEARCH("Razonar",$R314))/(ISNUMBER(SEARCH("Conocer",$R314))+ISNUMBER(SEARCH("Aplicar",$R314))+ISNUMBER(SEARCH("Razonar",$R314))),0)</f>
        <v>0</v>
      </c>
      <c r="V314" s="8" t="s">
        <v>50</v>
      </c>
      <c r="W314" s="8" t="s">
        <v>67</v>
      </c>
    </row>
    <row r="315" customFormat="false" ht="15" hidden="false" customHeight="false" outlineLevel="0" collapsed="false">
      <c r="A315" s="8" t="s">
        <v>1710</v>
      </c>
      <c r="B315" s="8" t="n">
        <v>6</v>
      </c>
      <c r="C315" s="8" t="s">
        <v>411</v>
      </c>
      <c r="D315" s="8" t="s">
        <v>1586</v>
      </c>
      <c r="E315" s="8" t="s">
        <v>1688</v>
      </c>
      <c r="F315" s="8" t="n">
        <v>9</v>
      </c>
      <c r="G315" s="8" t="s">
        <v>1689</v>
      </c>
      <c r="H315" s="8" t="s">
        <v>1711</v>
      </c>
      <c r="I315" s="27" t="s">
        <v>1712</v>
      </c>
      <c r="J315" s="8" t="s">
        <v>185</v>
      </c>
      <c r="K315" s="8" t="s">
        <v>242</v>
      </c>
      <c r="L315" s="8" t="s">
        <v>245</v>
      </c>
      <c r="M315" s="8" t="str">
        <f aca="false">IF(K315="FUERA","Fuera del marco",IF(K315="N/A","Sin marco",IFERROR(INDEX(Catalogo_TIMSS!$C$5:$C$105,MATCH(K315,Catalogo_TIMSS!$A$5:$A$105,0)),"Pendiente de clasificar")))</f>
        <v>Física</v>
      </c>
      <c r="N315" s="8" t="str">
        <f aca="false">IF(K315="FUERA","Fuera del marco",IF(K315="N/A","Sin marco",IFERROR(INDEX(Catalogo_TIMSS!$F$5:$F$105,MATCH(K315,Catalogo_TIMSS!$A$5:$A$105,0)),"Pendiente de clasificar")))</f>
        <v>Estados físicos y cambios de la materia</v>
      </c>
      <c r="O315" s="8" t="str">
        <f aca="false">IF(L315="","",IFERROR(INDEX(Catalogo_TIMSS!$C$5:$C$105,MATCH(L315,Catalogo_TIMSS!$A$5:$A$105,0)),"?"))</f>
        <v>Física</v>
      </c>
      <c r="P315" s="8" t="s">
        <v>460</v>
      </c>
      <c r="Q315" s="27" t="s">
        <v>1713</v>
      </c>
      <c r="R315" s="27" t="s">
        <v>1714</v>
      </c>
      <c r="S315" s="28" t="n">
        <f aca="false">IFERROR(ISNUMBER(SEARCH("Conocer",$R315))/(ISNUMBER(SEARCH("Conocer",$R315))+ISNUMBER(SEARCH("Aplicar",$R315))+ISNUMBER(SEARCH("Razonar",$R315))),0)</f>
        <v>0</v>
      </c>
      <c r="T315" s="28" t="n">
        <f aca="false">IFERROR(ISNUMBER(SEARCH("Aplicar",$R315))/(ISNUMBER(SEARCH("Conocer",$R315))+ISNUMBER(SEARCH("Aplicar",$R315))+ISNUMBER(SEARCH("Razonar",$R315))),0)</f>
        <v>0</v>
      </c>
      <c r="U315" s="28" t="n">
        <f aca="false">IFERROR(ISNUMBER(SEARCH("Razonar",$R315))/(ISNUMBER(SEARCH("Conocer",$R315))+ISNUMBER(SEARCH("Aplicar",$R315))+ISNUMBER(SEARCH("Razonar",$R315))),0)</f>
        <v>1</v>
      </c>
      <c r="V315" s="8" t="s">
        <v>50</v>
      </c>
      <c r="W315" s="8" t="s">
        <v>67</v>
      </c>
    </row>
    <row r="316" customFormat="false" ht="15" hidden="false" customHeight="false" outlineLevel="0" collapsed="false">
      <c r="A316" s="8" t="s">
        <v>1715</v>
      </c>
      <c r="B316" s="8" t="n">
        <v>6</v>
      </c>
      <c r="C316" s="8" t="s">
        <v>411</v>
      </c>
      <c r="D316" s="8" t="s">
        <v>1586</v>
      </c>
      <c r="E316" s="8" t="s">
        <v>1688</v>
      </c>
      <c r="F316" s="8" t="n">
        <v>10</v>
      </c>
      <c r="G316" s="8" t="s">
        <v>1689</v>
      </c>
      <c r="H316" s="8" t="s">
        <v>1711</v>
      </c>
      <c r="I316" s="27" t="s">
        <v>1716</v>
      </c>
      <c r="J316" s="8" t="s">
        <v>185</v>
      </c>
      <c r="K316" s="8" t="s">
        <v>242</v>
      </c>
      <c r="L316" s="8"/>
      <c r="M316" s="8" t="str">
        <f aca="false">IF(K316="FUERA","Fuera del marco",IF(K316="N/A","Sin marco",IFERROR(INDEX(Catalogo_TIMSS!$C$5:$C$105,MATCH(K316,Catalogo_TIMSS!$A$5:$A$105,0)),"Pendiente de clasificar")))</f>
        <v>Física</v>
      </c>
      <c r="N316" s="8" t="str">
        <f aca="false">IF(K316="FUERA","Fuera del marco",IF(K316="N/A","Sin marco",IFERROR(INDEX(Catalogo_TIMSS!$F$5:$F$105,MATCH(K316,Catalogo_TIMSS!$A$5:$A$105,0)),"Pendiente de clasificar")))</f>
        <v>Estados físicos y cambios de la materia</v>
      </c>
      <c r="O316" s="8" t="str">
        <f aca="false">IF(L316="","",IFERROR(INDEX(Catalogo_TIMSS!$C$5:$C$105,MATCH(L316,Catalogo_TIMSS!$A$5:$A$105,0)),"?"))</f>
        <v/>
      </c>
      <c r="P316" s="8" t="s">
        <v>460</v>
      </c>
      <c r="Q316" s="27" t="s">
        <v>1717</v>
      </c>
      <c r="R316" s="27" t="s">
        <v>1718</v>
      </c>
      <c r="S316" s="28" t="n">
        <f aca="false">IFERROR(ISNUMBER(SEARCH("Conocer",$R316))/(ISNUMBER(SEARCH("Conocer",$R316))+ISNUMBER(SEARCH("Aplicar",$R316))+ISNUMBER(SEARCH("Razonar",$R316))),0)</f>
        <v>1</v>
      </c>
      <c r="T316" s="28" t="n">
        <f aca="false">IFERROR(ISNUMBER(SEARCH("Aplicar",$R316))/(ISNUMBER(SEARCH("Conocer",$R316))+ISNUMBER(SEARCH("Aplicar",$R316))+ISNUMBER(SEARCH("Razonar",$R316))),0)</f>
        <v>0</v>
      </c>
      <c r="U316" s="28" t="n">
        <f aca="false">IFERROR(ISNUMBER(SEARCH("Razonar",$R316))/(ISNUMBER(SEARCH("Conocer",$R316))+ISNUMBER(SEARCH("Aplicar",$R316))+ISNUMBER(SEARCH("Razonar",$R316))),0)</f>
        <v>0</v>
      </c>
      <c r="V316" s="8" t="s">
        <v>50</v>
      </c>
      <c r="W316" s="8" t="s">
        <v>67</v>
      </c>
    </row>
    <row r="317" customFormat="false" ht="15" hidden="false" customHeight="false" outlineLevel="0" collapsed="false">
      <c r="A317" s="8" t="s">
        <v>1719</v>
      </c>
      <c r="B317" s="8" t="n">
        <v>6</v>
      </c>
      <c r="C317" s="8" t="s">
        <v>411</v>
      </c>
      <c r="D317" s="8" t="s">
        <v>1586</v>
      </c>
      <c r="E317" s="8" t="s">
        <v>1688</v>
      </c>
      <c r="F317" s="8" t="n">
        <v>11</v>
      </c>
      <c r="G317" s="8" t="s">
        <v>1689</v>
      </c>
      <c r="H317" s="8" t="s">
        <v>1720</v>
      </c>
      <c r="I317" s="27" t="s">
        <v>1721</v>
      </c>
      <c r="J317" s="8" t="s">
        <v>185</v>
      </c>
      <c r="K317" s="8" t="s">
        <v>235</v>
      </c>
      <c r="L317" s="8"/>
      <c r="M317" s="8" t="str">
        <f aca="false">IF(K317="FUERA","Fuera del marco",IF(K317="N/A","Sin marco",IFERROR(INDEX(Catalogo_TIMSS!$C$5:$C$105,MATCH(K317,Catalogo_TIMSS!$A$5:$A$105,0)),"Pendiente de clasificar")))</f>
        <v>Química</v>
      </c>
      <c r="N317" s="8" t="str">
        <f aca="false">IF(K317="FUERA","Fuera del marco",IF(K317="N/A","Sin marco",IFERROR(INDEX(Catalogo_TIMSS!$F$5:$F$105,MATCH(K317,Catalogo_TIMSS!$A$5:$A$105,0)),"Pendiente de clasificar")))</f>
        <v>Cambio químico</v>
      </c>
      <c r="O317" s="8" t="str">
        <f aca="false">IF(L317="","",IFERROR(INDEX(Catalogo_TIMSS!$C$5:$C$105,MATCH(L317,Catalogo_TIMSS!$A$5:$A$105,0)),"?"))</f>
        <v/>
      </c>
      <c r="P317" s="8" t="s">
        <v>418</v>
      </c>
      <c r="Q317" s="27" t="s">
        <v>1722</v>
      </c>
      <c r="R317" s="27" t="s">
        <v>1723</v>
      </c>
      <c r="S317" s="28" t="n">
        <f aca="false">IFERROR(ISNUMBER(SEARCH("Conocer",$R317))/(ISNUMBER(SEARCH("Conocer",$R317))+ISNUMBER(SEARCH("Aplicar",$R317))+ISNUMBER(SEARCH("Razonar",$R317))),0)</f>
        <v>0</v>
      </c>
      <c r="T317" s="28" t="n">
        <f aca="false">IFERROR(ISNUMBER(SEARCH("Aplicar",$R317))/(ISNUMBER(SEARCH("Conocer",$R317))+ISNUMBER(SEARCH("Aplicar",$R317))+ISNUMBER(SEARCH("Razonar",$R317))),0)</f>
        <v>0.5</v>
      </c>
      <c r="U317" s="28" t="n">
        <f aca="false">IFERROR(ISNUMBER(SEARCH("Razonar",$R317))/(ISNUMBER(SEARCH("Conocer",$R317))+ISNUMBER(SEARCH("Aplicar",$R317))+ISNUMBER(SEARCH("Razonar",$R317))),0)</f>
        <v>0.5</v>
      </c>
      <c r="V317" s="8" t="s">
        <v>50</v>
      </c>
      <c r="W317" s="8" t="s">
        <v>67</v>
      </c>
    </row>
    <row r="318" customFormat="false" ht="15" hidden="false" customHeight="false" outlineLevel="0" collapsed="false">
      <c r="A318" s="8" t="s">
        <v>1724</v>
      </c>
      <c r="B318" s="8" t="n">
        <v>6</v>
      </c>
      <c r="C318" s="8" t="s">
        <v>411</v>
      </c>
      <c r="D318" s="8" t="s">
        <v>1586</v>
      </c>
      <c r="E318" s="8" t="s">
        <v>1688</v>
      </c>
      <c r="F318" s="8" t="n">
        <v>12</v>
      </c>
      <c r="G318" s="8" t="s">
        <v>1689</v>
      </c>
      <c r="H318" s="8" t="s">
        <v>1720</v>
      </c>
      <c r="I318" s="27" t="s">
        <v>1725</v>
      </c>
      <c r="J318" s="8" t="s">
        <v>185</v>
      </c>
      <c r="K318" s="8" t="s">
        <v>235</v>
      </c>
      <c r="L318" s="8"/>
      <c r="M318" s="8" t="str">
        <f aca="false">IF(K318="FUERA","Fuera del marco",IF(K318="N/A","Sin marco",IFERROR(INDEX(Catalogo_TIMSS!$C$5:$C$105,MATCH(K318,Catalogo_TIMSS!$A$5:$A$105,0)),"Pendiente de clasificar")))</f>
        <v>Química</v>
      </c>
      <c r="N318" s="8" t="str">
        <f aca="false">IF(K318="FUERA","Fuera del marco",IF(K318="N/A","Sin marco",IFERROR(INDEX(Catalogo_TIMSS!$F$5:$F$105,MATCH(K318,Catalogo_TIMSS!$A$5:$A$105,0)),"Pendiente de clasificar")))</f>
        <v>Cambio químico</v>
      </c>
      <c r="O318" s="8" t="str">
        <f aca="false">IF(L318="","",IFERROR(INDEX(Catalogo_TIMSS!$C$5:$C$105,MATCH(L318,Catalogo_TIMSS!$A$5:$A$105,0)),"?"))</f>
        <v/>
      </c>
      <c r="P318" s="8" t="s">
        <v>460</v>
      </c>
      <c r="Q318" s="27" t="s">
        <v>1726</v>
      </c>
      <c r="R318" s="27" t="s">
        <v>429</v>
      </c>
      <c r="S318" s="28" t="n">
        <f aca="false">IFERROR(ISNUMBER(SEARCH("Conocer",$R318))/(ISNUMBER(SEARCH("Conocer",$R318))+ISNUMBER(SEARCH("Aplicar",$R318))+ISNUMBER(SEARCH("Razonar",$R318))),0)</f>
        <v>0</v>
      </c>
      <c r="T318" s="28" t="n">
        <f aca="false">IFERROR(ISNUMBER(SEARCH("Aplicar",$R318))/(ISNUMBER(SEARCH("Conocer",$R318))+ISNUMBER(SEARCH("Aplicar",$R318))+ISNUMBER(SEARCH("Razonar",$R318))),0)</f>
        <v>1</v>
      </c>
      <c r="U318" s="28" t="n">
        <f aca="false">IFERROR(ISNUMBER(SEARCH("Razonar",$R318))/(ISNUMBER(SEARCH("Conocer",$R318))+ISNUMBER(SEARCH("Aplicar",$R318))+ISNUMBER(SEARCH("Razonar",$R318))),0)</f>
        <v>0</v>
      </c>
      <c r="V318" s="8" t="s">
        <v>50</v>
      </c>
      <c r="W318" s="8" t="s">
        <v>67</v>
      </c>
    </row>
    <row r="319" customFormat="false" ht="15" hidden="false" customHeight="false" outlineLevel="0" collapsed="false">
      <c r="A319" s="8" t="s">
        <v>1727</v>
      </c>
      <c r="B319" s="8" t="n">
        <v>6</v>
      </c>
      <c r="C319" s="8" t="s">
        <v>411</v>
      </c>
      <c r="D319" s="8" t="s">
        <v>1586</v>
      </c>
      <c r="E319" s="8" t="s">
        <v>1728</v>
      </c>
      <c r="F319" s="8" t="n">
        <v>3</v>
      </c>
      <c r="G319" s="8" t="s">
        <v>1729</v>
      </c>
      <c r="H319" s="8" t="s">
        <v>1730</v>
      </c>
      <c r="I319" s="27" t="s">
        <v>1731</v>
      </c>
      <c r="J319" s="8" t="s">
        <v>185</v>
      </c>
      <c r="K319" s="8" t="s">
        <v>217</v>
      </c>
      <c r="L319" s="8" t="s">
        <v>191</v>
      </c>
      <c r="M319" s="8" t="str">
        <f aca="false">IF(K319="FUERA","Fuera del marco",IF(K319="N/A","Sin marco",IFERROR(INDEX(Catalogo_TIMSS!$C$5:$C$105,MATCH(K319,Catalogo_TIMSS!$A$5:$A$105,0)),"Pendiente de clasificar")))</f>
        <v>Biología</v>
      </c>
      <c r="N319" s="8" t="str">
        <f aca="false">IF(K319="FUERA","Fuera del marco",IF(K319="N/A","Sin marco",IFERROR(INDEX(Catalogo_TIMSS!$F$5:$F$105,MATCH(K319,Catalogo_TIMSS!$A$5:$A$105,0)),"Pendiente de clasificar")))</f>
        <v>Salud humana</v>
      </c>
      <c r="O319" s="8" t="str">
        <f aca="false">IF(L319="","",IFERROR(INDEX(Catalogo_TIMSS!$C$5:$C$105,MATCH(L319,Catalogo_TIMSS!$A$5:$A$105,0)),"?"))</f>
        <v>Biología</v>
      </c>
      <c r="P319" s="8" t="s">
        <v>513</v>
      </c>
      <c r="Q319" s="27" t="s">
        <v>1732</v>
      </c>
      <c r="R319" s="27" t="s">
        <v>1464</v>
      </c>
      <c r="S319" s="28" t="n">
        <f aca="false">IFERROR(ISNUMBER(SEARCH("Conocer",$R319))/(ISNUMBER(SEARCH("Conocer",$R319))+ISNUMBER(SEARCH("Aplicar",$R319))+ISNUMBER(SEARCH("Razonar",$R319))),0)</f>
        <v>0</v>
      </c>
      <c r="T319" s="28" t="n">
        <f aca="false">IFERROR(ISNUMBER(SEARCH("Aplicar",$R319))/(ISNUMBER(SEARCH("Conocer",$R319))+ISNUMBER(SEARCH("Aplicar",$R319))+ISNUMBER(SEARCH("Razonar",$R319))),0)</f>
        <v>1</v>
      </c>
      <c r="U319" s="28" t="n">
        <f aca="false">IFERROR(ISNUMBER(SEARCH("Razonar",$R319))/(ISNUMBER(SEARCH("Conocer",$R319))+ISNUMBER(SEARCH("Aplicar",$R319))+ISNUMBER(SEARCH("Razonar",$R319))),0)</f>
        <v>0</v>
      </c>
      <c r="V319" s="8" t="s">
        <v>50</v>
      </c>
      <c r="W319" s="8" t="s">
        <v>67</v>
      </c>
    </row>
    <row r="320" customFormat="false" ht="15" hidden="false" customHeight="false" outlineLevel="0" collapsed="false">
      <c r="A320" s="8" t="s">
        <v>1733</v>
      </c>
      <c r="B320" s="8" t="n">
        <v>6</v>
      </c>
      <c r="C320" s="8" t="s">
        <v>411</v>
      </c>
      <c r="D320" s="8" t="s">
        <v>1586</v>
      </c>
      <c r="E320" s="8" t="s">
        <v>1728</v>
      </c>
      <c r="F320" s="8" t="n">
        <v>4</v>
      </c>
      <c r="G320" s="8" t="s">
        <v>1729</v>
      </c>
      <c r="H320" s="8" t="s">
        <v>1730</v>
      </c>
      <c r="I320" s="27" t="s">
        <v>1734</v>
      </c>
      <c r="J320" s="8" t="s">
        <v>185</v>
      </c>
      <c r="K320" s="8" t="s">
        <v>191</v>
      </c>
      <c r="L320" s="8" t="s">
        <v>238</v>
      </c>
      <c r="M320" s="8" t="str">
        <f aca="false">IF(K320="FUERA","Fuera del marco",IF(K320="N/A","Sin marco",IFERROR(INDEX(Catalogo_TIMSS!$C$5:$C$105,MATCH(K320,Catalogo_TIMSS!$A$5:$A$105,0)),"Pendiente de clasificar")))</f>
        <v>Biología</v>
      </c>
      <c r="N320" s="8" t="str">
        <f aca="false">IF(K320="FUERA","Fuera del marco",IF(K320="N/A","Sin marco",IFERROR(INDEX(Catalogo_TIMSS!$F$5:$F$105,MATCH(K320,Catalogo_TIMSS!$A$5:$A$105,0)),"Pendiente de clasificar")))</f>
        <v>Células y sus funciones</v>
      </c>
      <c r="O320" s="8" t="str">
        <f aca="false">IF(L320="","",IFERROR(INDEX(Catalogo_TIMSS!$C$5:$C$105,MATCH(L320,Catalogo_TIMSS!$A$5:$A$105,0)),"?"))</f>
        <v>Química</v>
      </c>
      <c r="P320" s="8" t="s">
        <v>513</v>
      </c>
      <c r="Q320" s="27" t="s">
        <v>1735</v>
      </c>
      <c r="R320" s="27" t="s">
        <v>1736</v>
      </c>
      <c r="S320" s="28" t="n">
        <f aca="false">IFERROR(ISNUMBER(SEARCH("Conocer",$R320))/(ISNUMBER(SEARCH("Conocer",$R320))+ISNUMBER(SEARCH("Aplicar",$R320))+ISNUMBER(SEARCH("Razonar",$R320))),0)</f>
        <v>0</v>
      </c>
      <c r="T320" s="28" t="n">
        <f aca="false">IFERROR(ISNUMBER(SEARCH("Aplicar",$R320))/(ISNUMBER(SEARCH("Conocer",$R320))+ISNUMBER(SEARCH("Aplicar",$R320))+ISNUMBER(SEARCH("Razonar",$R320))),0)</f>
        <v>0</v>
      </c>
      <c r="U320" s="28" t="n">
        <f aca="false">IFERROR(ISNUMBER(SEARCH("Razonar",$R320))/(ISNUMBER(SEARCH("Conocer",$R320))+ISNUMBER(SEARCH("Aplicar",$R320))+ISNUMBER(SEARCH("Razonar",$R320))),0)</f>
        <v>1</v>
      </c>
      <c r="V320" s="8" t="s">
        <v>50</v>
      </c>
      <c r="W320" s="8" t="s">
        <v>67</v>
      </c>
    </row>
    <row r="321" customFormat="false" ht="15" hidden="false" customHeight="false" outlineLevel="0" collapsed="false">
      <c r="A321" s="8" t="s">
        <v>1737</v>
      </c>
      <c r="B321" s="8" t="n">
        <v>6</v>
      </c>
      <c r="C321" s="8" t="s">
        <v>411</v>
      </c>
      <c r="D321" s="8" t="s">
        <v>1586</v>
      </c>
      <c r="E321" s="8" t="s">
        <v>1728</v>
      </c>
      <c r="F321" s="8" t="n">
        <v>5</v>
      </c>
      <c r="G321" s="8" t="s">
        <v>1729</v>
      </c>
      <c r="H321" s="8" t="s">
        <v>1738</v>
      </c>
      <c r="I321" s="27" t="s">
        <v>1739</v>
      </c>
      <c r="J321" s="8" t="s">
        <v>185</v>
      </c>
      <c r="K321" s="8" t="s">
        <v>191</v>
      </c>
      <c r="L321" s="8"/>
      <c r="M321" s="8" t="str">
        <f aca="false">IF(K321="FUERA","Fuera del marco",IF(K321="N/A","Sin marco",IFERROR(INDEX(Catalogo_TIMSS!$C$5:$C$105,MATCH(K321,Catalogo_TIMSS!$A$5:$A$105,0)),"Pendiente de clasificar")))</f>
        <v>Biología</v>
      </c>
      <c r="N321" s="8" t="str">
        <f aca="false">IF(K321="FUERA","Fuera del marco",IF(K321="N/A","Sin marco",IFERROR(INDEX(Catalogo_TIMSS!$F$5:$F$105,MATCH(K321,Catalogo_TIMSS!$A$5:$A$105,0)),"Pendiente de clasificar")))</f>
        <v>Células y sus funciones</v>
      </c>
      <c r="O321" s="8" t="str">
        <f aca="false">IF(L321="","",IFERROR(INDEX(Catalogo_TIMSS!$C$5:$C$105,MATCH(L321,Catalogo_TIMSS!$A$5:$A$105,0)),"?"))</f>
        <v/>
      </c>
      <c r="P321" s="8" t="s">
        <v>460</v>
      </c>
      <c r="Q321" s="27" t="s">
        <v>1740</v>
      </c>
      <c r="R321" s="27" t="s">
        <v>879</v>
      </c>
      <c r="S321" s="28" t="n">
        <f aca="false">IFERROR(ISNUMBER(SEARCH("Conocer",$R321))/(ISNUMBER(SEARCH("Conocer",$R321))+ISNUMBER(SEARCH("Aplicar",$R321))+ISNUMBER(SEARCH("Razonar",$R321))),0)</f>
        <v>0</v>
      </c>
      <c r="T321" s="28" t="n">
        <f aca="false">IFERROR(ISNUMBER(SEARCH("Aplicar",$R321))/(ISNUMBER(SEARCH("Conocer",$R321))+ISNUMBER(SEARCH("Aplicar",$R321))+ISNUMBER(SEARCH("Razonar",$R321))),0)</f>
        <v>1</v>
      </c>
      <c r="U321" s="28" t="n">
        <f aca="false">IFERROR(ISNUMBER(SEARCH("Razonar",$R321))/(ISNUMBER(SEARCH("Conocer",$R321))+ISNUMBER(SEARCH("Aplicar",$R321))+ISNUMBER(SEARCH("Razonar",$R321))),0)</f>
        <v>0</v>
      </c>
      <c r="V321" s="8" t="s">
        <v>50</v>
      </c>
      <c r="W321" s="8" t="s">
        <v>67</v>
      </c>
    </row>
    <row r="322" customFormat="false" ht="15" hidden="false" customHeight="false" outlineLevel="0" collapsed="false">
      <c r="A322" s="8" t="s">
        <v>1741</v>
      </c>
      <c r="B322" s="8" t="n">
        <v>6</v>
      </c>
      <c r="C322" s="8" t="s">
        <v>411</v>
      </c>
      <c r="D322" s="8" t="s">
        <v>1586</v>
      </c>
      <c r="E322" s="8" t="s">
        <v>1728</v>
      </c>
      <c r="F322" s="8" t="n">
        <v>6</v>
      </c>
      <c r="G322" s="8" t="s">
        <v>1729</v>
      </c>
      <c r="H322" s="8" t="s">
        <v>1738</v>
      </c>
      <c r="I322" s="27" t="s">
        <v>1742</v>
      </c>
      <c r="J322" s="8" t="s">
        <v>185</v>
      </c>
      <c r="K322" s="8" t="s">
        <v>211</v>
      </c>
      <c r="L322" s="8"/>
      <c r="M322" s="8" t="str">
        <f aca="false">IF(K322="FUERA","Fuera del marco",IF(K322="N/A","Sin marco",IFERROR(INDEX(Catalogo_TIMSS!$C$5:$C$105,MATCH(K322,Catalogo_TIMSS!$A$5:$A$105,0)),"Pendiente de clasificar")))</f>
        <v>Biología</v>
      </c>
      <c r="N322" s="8" t="str">
        <f aca="false">IF(K322="FUERA","Fuera del marco",IF(K322="N/A","Sin marco",IFERROR(INDEX(Catalogo_TIMSS!$F$5:$F$105,MATCH(K322,Catalogo_TIMSS!$A$5:$A$105,0)),"Pendiente de clasificar")))</f>
        <v>Ecosistemas</v>
      </c>
      <c r="O322" s="8" t="str">
        <f aca="false">IF(L322="","",IFERROR(INDEX(Catalogo_TIMSS!$C$5:$C$105,MATCH(L322,Catalogo_TIMSS!$A$5:$A$105,0)),"?"))</f>
        <v/>
      </c>
      <c r="P322" s="8" t="s">
        <v>460</v>
      </c>
      <c r="Q322" s="27" t="s">
        <v>1743</v>
      </c>
      <c r="R322" s="27" t="s">
        <v>844</v>
      </c>
      <c r="S322" s="28" t="n">
        <f aca="false">IFERROR(ISNUMBER(SEARCH("Conocer",$R322))/(ISNUMBER(SEARCH("Conocer",$R322))+ISNUMBER(SEARCH("Aplicar",$R322))+ISNUMBER(SEARCH("Razonar",$R322))),0)</f>
        <v>0</v>
      </c>
      <c r="T322" s="28" t="n">
        <f aca="false">IFERROR(ISNUMBER(SEARCH("Aplicar",$R322))/(ISNUMBER(SEARCH("Conocer",$R322))+ISNUMBER(SEARCH("Aplicar",$R322))+ISNUMBER(SEARCH("Razonar",$R322))),0)</f>
        <v>0</v>
      </c>
      <c r="U322" s="28" t="n">
        <f aca="false">IFERROR(ISNUMBER(SEARCH("Razonar",$R322))/(ISNUMBER(SEARCH("Conocer",$R322))+ISNUMBER(SEARCH("Aplicar",$R322))+ISNUMBER(SEARCH("Razonar",$R322))),0)</f>
        <v>1</v>
      </c>
      <c r="V322" s="8" t="s">
        <v>50</v>
      </c>
      <c r="W322" s="8" t="s">
        <v>67</v>
      </c>
    </row>
    <row r="323" customFormat="false" ht="15" hidden="false" customHeight="false" outlineLevel="0" collapsed="false">
      <c r="A323" s="8" t="s">
        <v>1744</v>
      </c>
      <c r="B323" s="8" t="n">
        <v>6</v>
      </c>
      <c r="C323" s="8" t="s">
        <v>411</v>
      </c>
      <c r="D323" s="8" t="s">
        <v>1586</v>
      </c>
      <c r="E323" s="8" t="s">
        <v>1728</v>
      </c>
      <c r="F323" s="8" t="n">
        <v>7</v>
      </c>
      <c r="G323" s="8" t="s">
        <v>1729</v>
      </c>
      <c r="H323" s="8" t="s">
        <v>1738</v>
      </c>
      <c r="I323" s="27" t="s">
        <v>1745</v>
      </c>
      <c r="J323" s="8" t="s">
        <v>185</v>
      </c>
      <c r="K323" s="8" t="s">
        <v>191</v>
      </c>
      <c r="L323" s="8"/>
      <c r="M323" s="8" t="str">
        <f aca="false">IF(K323="FUERA","Fuera del marco",IF(K323="N/A","Sin marco",IFERROR(INDEX(Catalogo_TIMSS!$C$5:$C$105,MATCH(K323,Catalogo_TIMSS!$A$5:$A$105,0)),"Pendiente de clasificar")))</f>
        <v>Biología</v>
      </c>
      <c r="N323" s="8" t="str">
        <f aca="false">IF(K323="FUERA","Fuera del marco",IF(K323="N/A","Sin marco",IFERROR(INDEX(Catalogo_TIMSS!$F$5:$F$105,MATCH(K323,Catalogo_TIMSS!$A$5:$A$105,0)),"Pendiente de clasificar")))</f>
        <v>Células y sus funciones</v>
      </c>
      <c r="O323" s="8" t="str">
        <f aca="false">IF(L323="","",IFERROR(INDEX(Catalogo_TIMSS!$C$5:$C$105,MATCH(L323,Catalogo_TIMSS!$A$5:$A$105,0)),"?"))</f>
        <v/>
      </c>
      <c r="P323" s="8" t="s">
        <v>418</v>
      </c>
      <c r="Q323" s="27" t="s">
        <v>1746</v>
      </c>
      <c r="R323" s="27" t="s">
        <v>1258</v>
      </c>
      <c r="S323" s="28" t="n">
        <f aca="false">IFERROR(ISNUMBER(SEARCH("Conocer",$R323))/(ISNUMBER(SEARCH("Conocer",$R323))+ISNUMBER(SEARCH("Aplicar",$R323))+ISNUMBER(SEARCH("Razonar",$R323))),0)</f>
        <v>0</v>
      </c>
      <c r="T323" s="28" t="n">
        <f aca="false">IFERROR(ISNUMBER(SEARCH("Aplicar",$R323))/(ISNUMBER(SEARCH("Conocer",$R323))+ISNUMBER(SEARCH("Aplicar",$R323))+ISNUMBER(SEARCH("Razonar",$R323))),0)</f>
        <v>1</v>
      </c>
      <c r="U323" s="28" t="n">
        <f aca="false">IFERROR(ISNUMBER(SEARCH("Razonar",$R323))/(ISNUMBER(SEARCH("Conocer",$R323))+ISNUMBER(SEARCH("Aplicar",$R323))+ISNUMBER(SEARCH("Razonar",$R323))),0)</f>
        <v>0</v>
      </c>
      <c r="V323" s="8" t="s">
        <v>50</v>
      </c>
      <c r="W323" s="8" t="s">
        <v>67</v>
      </c>
    </row>
    <row r="324" customFormat="false" ht="15" hidden="false" customHeight="false" outlineLevel="0" collapsed="false">
      <c r="A324" s="8" t="s">
        <v>1747</v>
      </c>
      <c r="B324" s="8" t="n">
        <v>6</v>
      </c>
      <c r="C324" s="8" t="s">
        <v>411</v>
      </c>
      <c r="D324" s="8" t="s">
        <v>1586</v>
      </c>
      <c r="E324" s="8" t="s">
        <v>1728</v>
      </c>
      <c r="F324" s="8" t="n">
        <v>8</v>
      </c>
      <c r="G324" s="8" t="s">
        <v>1729</v>
      </c>
      <c r="H324" s="8" t="s">
        <v>1748</v>
      </c>
      <c r="I324" s="27" t="s">
        <v>1749</v>
      </c>
      <c r="J324" s="8" t="s">
        <v>185</v>
      </c>
      <c r="K324" s="8" t="s">
        <v>191</v>
      </c>
      <c r="L324" s="8"/>
      <c r="M324" s="8" t="str">
        <f aca="false">IF(K324="FUERA","Fuera del marco",IF(K324="N/A","Sin marco",IFERROR(INDEX(Catalogo_TIMSS!$C$5:$C$105,MATCH(K324,Catalogo_TIMSS!$A$5:$A$105,0)),"Pendiente de clasificar")))</f>
        <v>Biología</v>
      </c>
      <c r="N324" s="8" t="str">
        <f aca="false">IF(K324="FUERA","Fuera del marco",IF(K324="N/A","Sin marco",IFERROR(INDEX(Catalogo_TIMSS!$F$5:$F$105,MATCH(K324,Catalogo_TIMSS!$A$5:$A$105,0)),"Pendiente de clasificar")))</f>
        <v>Células y sus funciones</v>
      </c>
      <c r="O324" s="8" t="str">
        <f aca="false">IF(L324="","",IFERROR(INDEX(Catalogo_TIMSS!$C$5:$C$105,MATCH(L324,Catalogo_TIMSS!$A$5:$A$105,0)),"?"))</f>
        <v/>
      </c>
      <c r="P324" s="8" t="s">
        <v>418</v>
      </c>
      <c r="Q324" s="27" t="s">
        <v>1750</v>
      </c>
      <c r="R324" s="27" t="s">
        <v>1751</v>
      </c>
      <c r="S324" s="28" t="n">
        <f aca="false">IFERROR(ISNUMBER(SEARCH("Conocer",$R324))/(ISNUMBER(SEARCH("Conocer",$R324))+ISNUMBER(SEARCH("Aplicar",$R324))+ISNUMBER(SEARCH("Razonar",$R324))),0)</f>
        <v>0</v>
      </c>
      <c r="T324" s="28" t="n">
        <f aca="false">IFERROR(ISNUMBER(SEARCH("Aplicar",$R324))/(ISNUMBER(SEARCH("Conocer",$R324))+ISNUMBER(SEARCH("Aplicar",$R324))+ISNUMBER(SEARCH("Razonar",$R324))),0)</f>
        <v>1</v>
      </c>
      <c r="U324" s="28" t="n">
        <f aca="false">IFERROR(ISNUMBER(SEARCH("Razonar",$R324))/(ISNUMBER(SEARCH("Conocer",$R324))+ISNUMBER(SEARCH("Aplicar",$R324))+ISNUMBER(SEARCH("Razonar",$R324))),0)</f>
        <v>0</v>
      </c>
      <c r="V324" s="8" t="s">
        <v>50</v>
      </c>
      <c r="W324" s="8" t="s">
        <v>67</v>
      </c>
    </row>
    <row r="325" customFormat="false" ht="15" hidden="false" customHeight="false" outlineLevel="0" collapsed="false">
      <c r="A325" s="8" t="s">
        <v>1752</v>
      </c>
      <c r="B325" s="8" t="n">
        <v>6</v>
      </c>
      <c r="C325" s="8" t="s">
        <v>411</v>
      </c>
      <c r="D325" s="8" t="s">
        <v>1586</v>
      </c>
      <c r="E325" s="8" t="s">
        <v>1728</v>
      </c>
      <c r="F325" s="8" t="n">
        <v>9</v>
      </c>
      <c r="G325" s="8" t="s">
        <v>1729</v>
      </c>
      <c r="H325" s="8" t="s">
        <v>1748</v>
      </c>
      <c r="I325" s="27" t="s">
        <v>1753</v>
      </c>
      <c r="J325" s="8" t="s">
        <v>185</v>
      </c>
      <c r="K325" s="8" t="s">
        <v>191</v>
      </c>
      <c r="L325" s="8" t="s">
        <v>187</v>
      </c>
      <c r="M325" s="8" t="str">
        <f aca="false">IF(K325="FUERA","Fuera del marco",IF(K325="N/A","Sin marco",IFERROR(INDEX(Catalogo_TIMSS!$C$5:$C$105,MATCH(K325,Catalogo_TIMSS!$A$5:$A$105,0)),"Pendiente de clasificar")))</f>
        <v>Biología</v>
      </c>
      <c r="N325" s="8" t="str">
        <f aca="false">IF(K325="FUERA","Fuera del marco",IF(K325="N/A","Sin marco",IFERROR(INDEX(Catalogo_TIMSS!$F$5:$F$105,MATCH(K325,Catalogo_TIMSS!$A$5:$A$105,0)),"Pendiente de clasificar")))</f>
        <v>Células y sus funciones</v>
      </c>
      <c r="O325" s="8" t="str">
        <f aca="false">IF(L325="","",IFERROR(INDEX(Catalogo_TIMSS!$C$5:$C$105,MATCH(L325,Catalogo_TIMSS!$A$5:$A$105,0)),"?"))</f>
        <v>Biología</v>
      </c>
      <c r="P325" s="8" t="s">
        <v>418</v>
      </c>
      <c r="Q325" s="27" t="s">
        <v>1754</v>
      </c>
      <c r="R325" s="27" t="s">
        <v>1464</v>
      </c>
      <c r="S325" s="28" t="n">
        <f aca="false">IFERROR(ISNUMBER(SEARCH("Conocer",$R325))/(ISNUMBER(SEARCH("Conocer",$R325))+ISNUMBER(SEARCH("Aplicar",$R325))+ISNUMBER(SEARCH("Razonar",$R325))),0)</f>
        <v>0</v>
      </c>
      <c r="T325" s="28" t="n">
        <f aca="false">IFERROR(ISNUMBER(SEARCH("Aplicar",$R325))/(ISNUMBER(SEARCH("Conocer",$R325))+ISNUMBER(SEARCH("Aplicar",$R325))+ISNUMBER(SEARCH("Razonar",$R325))),0)</f>
        <v>1</v>
      </c>
      <c r="U325" s="28" t="n">
        <f aca="false">IFERROR(ISNUMBER(SEARCH("Razonar",$R325))/(ISNUMBER(SEARCH("Conocer",$R325))+ISNUMBER(SEARCH("Aplicar",$R325))+ISNUMBER(SEARCH("Razonar",$R325))),0)</f>
        <v>0</v>
      </c>
      <c r="V325" s="8" t="s">
        <v>50</v>
      </c>
      <c r="W325" s="8" t="s">
        <v>67</v>
      </c>
    </row>
    <row r="326" customFormat="false" ht="15" hidden="false" customHeight="false" outlineLevel="0" collapsed="false">
      <c r="A326" s="8" t="s">
        <v>1755</v>
      </c>
      <c r="B326" s="8" t="n">
        <v>6</v>
      </c>
      <c r="C326" s="8" t="s">
        <v>411</v>
      </c>
      <c r="D326" s="8" t="s">
        <v>1586</v>
      </c>
      <c r="E326" s="8" t="s">
        <v>1728</v>
      </c>
      <c r="F326" s="8" t="n">
        <v>10</v>
      </c>
      <c r="G326" s="8" t="s">
        <v>1729</v>
      </c>
      <c r="H326" s="8" t="s">
        <v>1756</v>
      </c>
      <c r="I326" s="27" t="s">
        <v>1757</v>
      </c>
      <c r="J326" s="8" t="s">
        <v>185</v>
      </c>
      <c r="K326" s="8" t="s">
        <v>191</v>
      </c>
      <c r="L326" s="8"/>
      <c r="M326" s="8" t="str">
        <f aca="false">IF(K326="FUERA","Fuera del marco",IF(K326="N/A","Sin marco",IFERROR(INDEX(Catalogo_TIMSS!$C$5:$C$105,MATCH(K326,Catalogo_TIMSS!$A$5:$A$105,0)),"Pendiente de clasificar")))</f>
        <v>Biología</v>
      </c>
      <c r="N326" s="8" t="str">
        <f aca="false">IF(K326="FUERA","Fuera del marco",IF(K326="N/A","Sin marco",IFERROR(INDEX(Catalogo_TIMSS!$F$5:$F$105,MATCH(K326,Catalogo_TIMSS!$A$5:$A$105,0)),"Pendiente de clasificar")))</f>
        <v>Células y sus funciones</v>
      </c>
      <c r="O326" s="8" t="str">
        <f aca="false">IF(L326="","",IFERROR(INDEX(Catalogo_TIMSS!$C$5:$C$105,MATCH(L326,Catalogo_TIMSS!$A$5:$A$105,0)),"?"))</f>
        <v/>
      </c>
      <c r="P326" s="8" t="s">
        <v>460</v>
      </c>
      <c r="Q326" s="27" t="s">
        <v>1758</v>
      </c>
      <c r="R326" s="27" t="s">
        <v>1759</v>
      </c>
      <c r="S326" s="28" t="n">
        <f aca="false">IFERROR(ISNUMBER(SEARCH("Conocer",$R326))/(ISNUMBER(SEARCH("Conocer",$R326))+ISNUMBER(SEARCH("Aplicar",$R326))+ISNUMBER(SEARCH("Razonar",$R326))),0)</f>
        <v>0</v>
      </c>
      <c r="T326" s="28" t="n">
        <f aca="false">IFERROR(ISNUMBER(SEARCH("Aplicar",$R326))/(ISNUMBER(SEARCH("Conocer",$R326))+ISNUMBER(SEARCH("Aplicar",$R326))+ISNUMBER(SEARCH("Razonar",$R326))),0)</f>
        <v>0.5</v>
      </c>
      <c r="U326" s="28" t="n">
        <f aca="false">IFERROR(ISNUMBER(SEARCH("Razonar",$R326))/(ISNUMBER(SEARCH("Conocer",$R326))+ISNUMBER(SEARCH("Aplicar",$R326))+ISNUMBER(SEARCH("Razonar",$R326))),0)</f>
        <v>0.5</v>
      </c>
      <c r="V326" s="8" t="s">
        <v>50</v>
      </c>
      <c r="W326" s="8" t="s">
        <v>67</v>
      </c>
    </row>
    <row r="327" customFormat="false" ht="15" hidden="false" customHeight="false" outlineLevel="0" collapsed="false">
      <c r="A327" s="8" t="s">
        <v>1760</v>
      </c>
      <c r="B327" s="8" t="n">
        <v>6</v>
      </c>
      <c r="C327" s="8" t="s">
        <v>411</v>
      </c>
      <c r="D327" s="8" t="s">
        <v>1586</v>
      </c>
      <c r="E327" s="8" t="s">
        <v>1728</v>
      </c>
      <c r="F327" s="8" t="n">
        <v>11</v>
      </c>
      <c r="G327" s="8" t="s">
        <v>1729</v>
      </c>
      <c r="H327" s="8" t="s">
        <v>1761</v>
      </c>
      <c r="I327" s="27" t="s">
        <v>1762</v>
      </c>
      <c r="J327" s="8" t="s">
        <v>185</v>
      </c>
      <c r="K327" s="8" t="s">
        <v>191</v>
      </c>
      <c r="L327" s="8"/>
      <c r="M327" s="8" t="str">
        <f aca="false">IF(K327="FUERA","Fuera del marco",IF(K327="N/A","Sin marco",IFERROR(INDEX(Catalogo_TIMSS!$C$5:$C$105,MATCH(K327,Catalogo_TIMSS!$A$5:$A$105,0)),"Pendiente de clasificar")))</f>
        <v>Biología</v>
      </c>
      <c r="N327" s="8" t="str">
        <f aca="false">IF(K327="FUERA","Fuera del marco",IF(K327="N/A","Sin marco",IFERROR(INDEX(Catalogo_TIMSS!$F$5:$F$105,MATCH(K327,Catalogo_TIMSS!$A$5:$A$105,0)),"Pendiente de clasificar")))</f>
        <v>Células y sus funciones</v>
      </c>
      <c r="O327" s="8" t="str">
        <f aca="false">IF(L327="","",IFERROR(INDEX(Catalogo_TIMSS!$C$5:$C$105,MATCH(L327,Catalogo_TIMSS!$A$5:$A$105,0)),"?"))</f>
        <v/>
      </c>
      <c r="P327" s="8" t="s">
        <v>460</v>
      </c>
      <c r="Q327" s="27" t="s">
        <v>1763</v>
      </c>
      <c r="R327" s="27" t="s">
        <v>536</v>
      </c>
      <c r="S327" s="28" t="n">
        <f aca="false">IFERROR(ISNUMBER(SEARCH("Conocer",$R327))/(ISNUMBER(SEARCH("Conocer",$R327))+ISNUMBER(SEARCH("Aplicar",$R327))+ISNUMBER(SEARCH("Razonar",$R327))),0)</f>
        <v>1</v>
      </c>
      <c r="T327" s="28" t="n">
        <f aca="false">IFERROR(ISNUMBER(SEARCH("Aplicar",$R327))/(ISNUMBER(SEARCH("Conocer",$R327))+ISNUMBER(SEARCH("Aplicar",$R327))+ISNUMBER(SEARCH("Razonar",$R327))),0)</f>
        <v>0</v>
      </c>
      <c r="U327" s="28" t="n">
        <f aca="false">IFERROR(ISNUMBER(SEARCH("Razonar",$R327))/(ISNUMBER(SEARCH("Conocer",$R327))+ISNUMBER(SEARCH("Aplicar",$R327))+ISNUMBER(SEARCH("Razonar",$R327))),0)</f>
        <v>0</v>
      </c>
      <c r="V327" s="8" t="s">
        <v>50</v>
      </c>
      <c r="W327" s="8" t="s">
        <v>67</v>
      </c>
    </row>
    <row r="328" customFormat="false" ht="15" hidden="false" customHeight="false" outlineLevel="0" collapsed="false">
      <c r="A328" s="8" t="s">
        <v>1764</v>
      </c>
      <c r="B328" s="8" t="n">
        <v>6</v>
      </c>
      <c r="C328" s="8" t="s">
        <v>411</v>
      </c>
      <c r="D328" s="8" t="s">
        <v>1586</v>
      </c>
      <c r="E328" s="8" t="s">
        <v>1728</v>
      </c>
      <c r="F328" s="8" t="n">
        <v>12</v>
      </c>
      <c r="G328" s="8" t="s">
        <v>1729</v>
      </c>
      <c r="H328" s="8" t="s">
        <v>1761</v>
      </c>
      <c r="I328" s="27" t="s">
        <v>1765</v>
      </c>
      <c r="J328" s="8" t="s">
        <v>185</v>
      </c>
      <c r="K328" s="8" t="s">
        <v>191</v>
      </c>
      <c r="L328" s="8"/>
      <c r="M328" s="8" t="str">
        <f aca="false">IF(K328="FUERA","Fuera del marco",IF(K328="N/A","Sin marco",IFERROR(INDEX(Catalogo_TIMSS!$C$5:$C$105,MATCH(K328,Catalogo_TIMSS!$A$5:$A$105,0)),"Pendiente de clasificar")))</f>
        <v>Biología</v>
      </c>
      <c r="N328" s="8" t="str">
        <f aca="false">IF(K328="FUERA","Fuera del marco",IF(K328="N/A","Sin marco",IFERROR(INDEX(Catalogo_TIMSS!$F$5:$F$105,MATCH(K328,Catalogo_TIMSS!$A$5:$A$105,0)),"Pendiente de clasificar")))</f>
        <v>Células y sus funciones</v>
      </c>
      <c r="O328" s="8" t="str">
        <f aca="false">IF(L328="","",IFERROR(INDEX(Catalogo_TIMSS!$C$5:$C$105,MATCH(L328,Catalogo_TIMSS!$A$5:$A$105,0)),"?"))</f>
        <v/>
      </c>
      <c r="P328" s="8" t="s">
        <v>460</v>
      </c>
      <c r="Q328" s="27" t="s">
        <v>1766</v>
      </c>
      <c r="R328" s="27" t="s">
        <v>642</v>
      </c>
      <c r="S328" s="28" t="n">
        <f aca="false">IFERROR(ISNUMBER(SEARCH("Conocer",$R328))/(ISNUMBER(SEARCH("Conocer",$R328))+ISNUMBER(SEARCH("Aplicar",$R328))+ISNUMBER(SEARCH("Razonar",$R328))),0)</f>
        <v>0</v>
      </c>
      <c r="T328" s="28" t="n">
        <f aca="false">IFERROR(ISNUMBER(SEARCH("Aplicar",$R328))/(ISNUMBER(SEARCH("Conocer",$R328))+ISNUMBER(SEARCH("Aplicar",$R328))+ISNUMBER(SEARCH("Razonar",$R328))),0)</f>
        <v>1</v>
      </c>
      <c r="U328" s="28" t="n">
        <f aca="false">IFERROR(ISNUMBER(SEARCH("Razonar",$R328))/(ISNUMBER(SEARCH("Conocer",$R328))+ISNUMBER(SEARCH("Aplicar",$R328))+ISNUMBER(SEARCH("Razonar",$R328))),0)</f>
        <v>0</v>
      </c>
      <c r="V328" s="8" t="s">
        <v>50</v>
      </c>
      <c r="W328" s="8" t="s">
        <v>67</v>
      </c>
    </row>
    <row r="329" customFormat="false" ht="15" hidden="false" customHeight="false" outlineLevel="0" collapsed="false">
      <c r="A329" s="8" t="s">
        <v>1767</v>
      </c>
      <c r="B329" s="8" t="n">
        <v>6</v>
      </c>
      <c r="C329" s="8" t="s">
        <v>411</v>
      </c>
      <c r="D329" s="8" t="s">
        <v>1586</v>
      </c>
      <c r="E329" s="8" t="s">
        <v>1728</v>
      </c>
      <c r="F329" s="8" t="n">
        <v>13</v>
      </c>
      <c r="G329" s="8" t="s">
        <v>1729</v>
      </c>
      <c r="H329" s="8" t="s">
        <v>1768</v>
      </c>
      <c r="I329" s="27" t="s">
        <v>1769</v>
      </c>
      <c r="J329" s="8" t="s">
        <v>185</v>
      </c>
      <c r="K329" s="8" t="s">
        <v>191</v>
      </c>
      <c r="L329" s="8"/>
      <c r="M329" s="8" t="str">
        <f aca="false">IF(K329="FUERA","Fuera del marco",IF(K329="N/A","Sin marco",IFERROR(INDEX(Catalogo_TIMSS!$C$5:$C$105,MATCH(K329,Catalogo_TIMSS!$A$5:$A$105,0)),"Pendiente de clasificar")))</f>
        <v>Biología</v>
      </c>
      <c r="N329" s="8" t="str">
        <f aca="false">IF(K329="FUERA","Fuera del marco",IF(K329="N/A","Sin marco",IFERROR(INDEX(Catalogo_TIMSS!$F$5:$F$105,MATCH(K329,Catalogo_TIMSS!$A$5:$A$105,0)),"Pendiente de clasificar")))</f>
        <v>Células y sus funciones</v>
      </c>
      <c r="O329" s="8" t="str">
        <f aca="false">IF(L329="","",IFERROR(INDEX(Catalogo_TIMSS!$C$5:$C$105,MATCH(L329,Catalogo_TIMSS!$A$5:$A$105,0)),"?"))</f>
        <v/>
      </c>
      <c r="P329" s="8" t="s">
        <v>418</v>
      </c>
      <c r="Q329" s="27" t="s">
        <v>1770</v>
      </c>
      <c r="R329" s="27" t="s">
        <v>1771</v>
      </c>
      <c r="S329" s="28" t="n">
        <f aca="false">IFERROR(ISNUMBER(SEARCH("Conocer",$R329))/(ISNUMBER(SEARCH("Conocer",$R329))+ISNUMBER(SEARCH("Aplicar",$R329))+ISNUMBER(SEARCH("Razonar",$R329))),0)</f>
        <v>0</v>
      </c>
      <c r="T329" s="28" t="n">
        <f aca="false">IFERROR(ISNUMBER(SEARCH("Aplicar",$R329))/(ISNUMBER(SEARCH("Conocer",$R329))+ISNUMBER(SEARCH("Aplicar",$R329))+ISNUMBER(SEARCH("Razonar",$R329))),0)</f>
        <v>1</v>
      </c>
      <c r="U329" s="28" t="n">
        <f aca="false">IFERROR(ISNUMBER(SEARCH("Razonar",$R329))/(ISNUMBER(SEARCH("Conocer",$R329))+ISNUMBER(SEARCH("Aplicar",$R329))+ISNUMBER(SEARCH("Razonar",$R329))),0)</f>
        <v>0</v>
      </c>
      <c r="V329" s="8" t="s">
        <v>50</v>
      </c>
      <c r="W329" s="8" t="s">
        <v>67</v>
      </c>
    </row>
    <row r="330" customFormat="false" ht="15" hidden="false" customHeight="false" outlineLevel="0" collapsed="false">
      <c r="A330" s="8" t="s">
        <v>1772</v>
      </c>
      <c r="B330" s="8" t="n">
        <v>6</v>
      </c>
      <c r="C330" s="8" t="s">
        <v>411</v>
      </c>
      <c r="D330" s="8" t="s">
        <v>1586</v>
      </c>
      <c r="E330" s="8" t="s">
        <v>1728</v>
      </c>
      <c r="F330" s="8" t="n">
        <v>14</v>
      </c>
      <c r="G330" s="8" t="s">
        <v>1729</v>
      </c>
      <c r="H330" s="8" t="s">
        <v>1773</v>
      </c>
      <c r="I330" s="27" t="s">
        <v>1774</v>
      </c>
      <c r="J330" s="8" t="s">
        <v>185</v>
      </c>
      <c r="K330" s="8" t="s">
        <v>194</v>
      </c>
      <c r="L330" s="8"/>
      <c r="M330" s="8" t="str">
        <f aca="false">IF(K330="FUERA","Fuera del marco",IF(K330="N/A","Sin marco",IFERROR(INDEX(Catalogo_TIMSS!$C$5:$C$105,MATCH(K330,Catalogo_TIMSS!$A$5:$A$105,0)),"Pendiente de clasificar")))</f>
        <v>Biología</v>
      </c>
      <c r="N330" s="8" t="str">
        <f aca="false">IF(K330="FUERA","Fuera del marco",IF(K330="N/A","Sin marco",IFERROR(INDEX(Catalogo_TIMSS!$F$5:$F$105,MATCH(K330,Catalogo_TIMSS!$A$5:$A$105,0)),"Pendiente de clasificar")))</f>
        <v>Células y sus funciones</v>
      </c>
      <c r="O330" s="8" t="str">
        <f aca="false">IF(L330="","",IFERROR(INDEX(Catalogo_TIMSS!$C$5:$C$105,MATCH(L330,Catalogo_TIMSS!$A$5:$A$105,0)),"?"))</f>
        <v/>
      </c>
      <c r="P330" s="8" t="s">
        <v>418</v>
      </c>
      <c r="Q330" s="27" t="s">
        <v>1775</v>
      </c>
      <c r="R330" s="27" t="s">
        <v>1776</v>
      </c>
      <c r="S330" s="28" t="n">
        <f aca="false">IFERROR(ISNUMBER(SEARCH("Conocer",$R330))/(ISNUMBER(SEARCH("Conocer",$R330))+ISNUMBER(SEARCH("Aplicar",$R330))+ISNUMBER(SEARCH("Razonar",$R330))),0)</f>
        <v>1</v>
      </c>
      <c r="T330" s="28" t="n">
        <f aca="false">IFERROR(ISNUMBER(SEARCH("Aplicar",$R330))/(ISNUMBER(SEARCH("Conocer",$R330))+ISNUMBER(SEARCH("Aplicar",$R330))+ISNUMBER(SEARCH("Razonar",$R330))),0)</f>
        <v>0</v>
      </c>
      <c r="U330" s="28" t="n">
        <f aca="false">IFERROR(ISNUMBER(SEARCH("Razonar",$R330))/(ISNUMBER(SEARCH("Conocer",$R330))+ISNUMBER(SEARCH("Aplicar",$R330))+ISNUMBER(SEARCH("Razonar",$R330))),0)</f>
        <v>0</v>
      </c>
      <c r="V330" s="8" t="s">
        <v>50</v>
      </c>
      <c r="W330" s="8" t="s">
        <v>67</v>
      </c>
    </row>
    <row r="331" customFormat="false" ht="15" hidden="false" customHeight="false" outlineLevel="0" collapsed="false">
      <c r="A331" s="8" t="s">
        <v>1777</v>
      </c>
      <c r="B331" s="8" t="n">
        <v>6</v>
      </c>
      <c r="C331" s="8" t="s">
        <v>411</v>
      </c>
      <c r="D331" s="8" t="s">
        <v>1586</v>
      </c>
      <c r="E331" s="8" t="s">
        <v>1728</v>
      </c>
      <c r="F331" s="8" t="n">
        <v>15</v>
      </c>
      <c r="G331" s="8" t="s">
        <v>1729</v>
      </c>
      <c r="H331" s="8" t="s">
        <v>1773</v>
      </c>
      <c r="I331" s="27" t="s">
        <v>1778</v>
      </c>
      <c r="J331" s="8" t="s">
        <v>185</v>
      </c>
      <c r="K331" s="8" t="s">
        <v>191</v>
      </c>
      <c r="L331" s="8" t="s">
        <v>194</v>
      </c>
      <c r="M331" s="8" t="str">
        <f aca="false">IF(K331="FUERA","Fuera del marco",IF(K331="N/A","Sin marco",IFERROR(INDEX(Catalogo_TIMSS!$C$5:$C$105,MATCH(K331,Catalogo_TIMSS!$A$5:$A$105,0)),"Pendiente de clasificar")))</f>
        <v>Biología</v>
      </c>
      <c r="N331" s="8" t="str">
        <f aca="false">IF(K331="FUERA","Fuera del marco",IF(K331="N/A","Sin marco",IFERROR(INDEX(Catalogo_TIMSS!$F$5:$F$105,MATCH(K331,Catalogo_TIMSS!$A$5:$A$105,0)),"Pendiente de clasificar")))</f>
        <v>Células y sus funciones</v>
      </c>
      <c r="O331" s="8" t="str">
        <f aca="false">IF(L331="","",IFERROR(INDEX(Catalogo_TIMSS!$C$5:$C$105,MATCH(L331,Catalogo_TIMSS!$A$5:$A$105,0)),"?"))</f>
        <v>Biología</v>
      </c>
      <c r="P331" s="8" t="s">
        <v>418</v>
      </c>
      <c r="Q331" s="27" t="s">
        <v>1779</v>
      </c>
      <c r="R331" s="27" t="s">
        <v>1258</v>
      </c>
      <c r="S331" s="28" t="n">
        <f aca="false">IFERROR(ISNUMBER(SEARCH("Conocer",$R331))/(ISNUMBER(SEARCH("Conocer",$R331))+ISNUMBER(SEARCH("Aplicar",$R331))+ISNUMBER(SEARCH("Razonar",$R331))),0)</f>
        <v>0</v>
      </c>
      <c r="T331" s="28" t="n">
        <f aca="false">IFERROR(ISNUMBER(SEARCH("Aplicar",$R331))/(ISNUMBER(SEARCH("Conocer",$R331))+ISNUMBER(SEARCH("Aplicar",$R331))+ISNUMBER(SEARCH("Razonar",$R331))),0)</f>
        <v>1</v>
      </c>
      <c r="U331" s="28" t="n">
        <f aca="false">IFERROR(ISNUMBER(SEARCH("Razonar",$R331))/(ISNUMBER(SEARCH("Conocer",$R331))+ISNUMBER(SEARCH("Aplicar",$R331))+ISNUMBER(SEARCH("Razonar",$R331))),0)</f>
        <v>0</v>
      </c>
      <c r="V331" s="8" t="s">
        <v>50</v>
      </c>
      <c r="W331" s="8" t="s">
        <v>67</v>
      </c>
    </row>
    <row r="332" customFormat="false" ht="15" hidden="false" customHeight="false" outlineLevel="0" collapsed="false">
      <c r="A332" s="8" t="s">
        <v>1780</v>
      </c>
      <c r="B332" s="8" t="n">
        <v>6</v>
      </c>
      <c r="C332" s="8" t="s">
        <v>411</v>
      </c>
      <c r="D332" s="8" t="s">
        <v>1586</v>
      </c>
      <c r="E332" s="8" t="s">
        <v>1728</v>
      </c>
      <c r="F332" s="8" t="n">
        <v>16</v>
      </c>
      <c r="G332" s="8" t="s">
        <v>1729</v>
      </c>
      <c r="H332" s="8" t="s">
        <v>1781</v>
      </c>
      <c r="I332" s="27" t="s">
        <v>1782</v>
      </c>
      <c r="J332" s="8" t="s">
        <v>185</v>
      </c>
      <c r="K332" s="8" t="s">
        <v>191</v>
      </c>
      <c r="L332" s="8" t="s">
        <v>194</v>
      </c>
      <c r="M332" s="8" t="str">
        <f aca="false">IF(K332="FUERA","Fuera del marco",IF(K332="N/A","Sin marco",IFERROR(INDEX(Catalogo_TIMSS!$C$5:$C$105,MATCH(K332,Catalogo_TIMSS!$A$5:$A$105,0)),"Pendiente de clasificar")))</f>
        <v>Biología</v>
      </c>
      <c r="N332" s="8" t="str">
        <f aca="false">IF(K332="FUERA","Fuera del marco",IF(K332="N/A","Sin marco",IFERROR(INDEX(Catalogo_TIMSS!$F$5:$F$105,MATCH(K332,Catalogo_TIMSS!$A$5:$A$105,0)),"Pendiente de clasificar")))</f>
        <v>Células y sus funciones</v>
      </c>
      <c r="O332" s="8" t="str">
        <f aca="false">IF(L332="","",IFERROR(INDEX(Catalogo_TIMSS!$C$5:$C$105,MATCH(L332,Catalogo_TIMSS!$A$5:$A$105,0)),"?"))</f>
        <v>Biología</v>
      </c>
      <c r="P332" s="8" t="s">
        <v>418</v>
      </c>
      <c r="Q332" s="27" t="s">
        <v>1783</v>
      </c>
      <c r="R332" s="27" t="s">
        <v>1784</v>
      </c>
      <c r="S332" s="28" t="n">
        <f aca="false">IFERROR(ISNUMBER(SEARCH("Conocer",$R332))/(ISNUMBER(SEARCH("Conocer",$R332))+ISNUMBER(SEARCH("Aplicar",$R332))+ISNUMBER(SEARCH("Razonar",$R332))),0)</f>
        <v>0</v>
      </c>
      <c r="T332" s="28" t="n">
        <f aca="false">IFERROR(ISNUMBER(SEARCH("Aplicar",$R332))/(ISNUMBER(SEARCH("Conocer",$R332))+ISNUMBER(SEARCH("Aplicar",$R332))+ISNUMBER(SEARCH("Razonar",$R332))),0)</f>
        <v>1</v>
      </c>
      <c r="U332" s="28" t="n">
        <f aca="false">IFERROR(ISNUMBER(SEARCH("Razonar",$R332))/(ISNUMBER(SEARCH("Conocer",$R332))+ISNUMBER(SEARCH("Aplicar",$R332))+ISNUMBER(SEARCH("Razonar",$R332))),0)</f>
        <v>0</v>
      </c>
      <c r="V332" s="8" t="s">
        <v>50</v>
      </c>
      <c r="W332" s="8" t="s">
        <v>67</v>
      </c>
    </row>
    <row r="333" customFormat="false" ht="15" hidden="false" customHeight="false" outlineLevel="0" collapsed="false">
      <c r="A333" s="8" t="s">
        <v>1785</v>
      </c>
      <c r="B333" s="8" t="n">
        <v>6</v>
      </c>
      <c r="C333" s="8" t="s">
        <v>411</v>
      </c>
      <c r="D333" s="8" t="s">
        <v>1586</v>
      </c>
      <c r="E333" s="8" t="s">
        <v>1728</v>
      </c>
      <c r="F333" s="8" t="n">
        <v>17</v>
      </c>
      <c r="G333" s="8" t="s">
        <v>1729</v>
      </c>
      <c r="H333" s="8" t="s">
        <v>1781</v>
      </c>
      <c r="I333" s="27" t="s">
        <v>1786</v>
      </c>
      <c r="J333" s="8" t="s">
        <v>185</v>
      </c>
      <c r="K333" s="8" t="s">
        <v>194</v>
      </c>
      <c r="L333" s="8"/>
      <c r="M333" s="8" t="str">
        <f aca="false">IF(K333="FUERA","Fuera del marco",IF(K333="N/A","Sin marco",IFERROR(INDEX(Catalogo_TIMSS!$C$5:$C$105,MATCH(K333,Catalogo_TIMSS!$A$5:$A$105,0)),"Pendiente de clasificar")))</f>
        <v>Biología</v>
      </c>
      <c r="N333" s="8" t="str">
        <f aca="false">IF(K333="FUERA","Fuera del marco",IF(K333="N/A","Sin marco",IFERROR(INDEX(Catalogo_TIMSS!$F$5:$F$105,MATCH(K333,Catalogo_TIMSS!$A$5:$A$105,0)),"Pendiente de clasificar")))</f>
        <v>Células y sus funciones</v>
      </c>
      <c r="O333" s="8" t="str">
        <f aca="false">IF(L333="","",IFERROR(INDEX(Catalogo_TIMSS!$C$5:$C$105,MATCH(L333,Catalogo_TIMSS!$A$5:$A$105,0)),"?"))</f>
        <v/>
      </c>
      <c r="P333" s="8" t="s">
        <v>418</v>
      </c>
      <c r="Q333" s="27" t="s">
        <v>1787</v>
      </c>
      <c r="R333" s="27" t="s">
        <v>1788</v>
      </c>
      <c r="S333" s="28" t="n">
        <f aca="false">IFERROR(ISNUMBER(SEARCH("Conocer",$R333))/(ISNUMBER(SEARCH("Conocer",$R333))+ISNUMBER(SEARCH("Aplicar",$R333))+ISNUMBER(SEARCH("Razonar",$R333))),0)</f>
        <v>0</v>
      </c>
      <c r="T333" s="28" t="n">
        <f aca="false">IFERROR(ISNUMBER(SEARCH("Aplicar",$R333))/(ISNUMBER(SEARCH("Conocer",$R333))+ISNUMBER(SEARCH("Aplicar",$R333))+ISNUMBER(SEARCH("Razonar",$R333))),0)</f>
        <v>0</v>
      </c>
      <c r="U333" s="28" t="n">
        <f aca="false">IFERROR(ISNUMBER(SEARCH("Razonar",$R333))/(ISNUMBER(SEARCH("Conocer",$R333))+ISNUMBER(SEARCH("Aplicar",$R333))+ISNUMBER(SEARCH("Razonar",$R333))),0)</f>
        <v>1</v>
      </c>
      <c r="V333" s="8" t="s">
        <v>50</v>
      </c>
      <c r="W333" s="8" t="s">
        <v>67</v>
      </c>
    </row>
    <row r="334" customFormat="false" ht="15" hidden="false" customHeight="false" outlineLevel="0" collapsed="false">
      <c r="A334" s="8" t="s">
        <v>1789</v>
      </c>
      <c r="B334" s="8" t="n">
        <v>6</v>
      </c>
      <c r="C334" s="8" t="s">
        <v>411</v>
      </c>
      <c r="D334" s="8" t="s">
        <v>1586</v>
      </c>
      <c r="E334" s="8" t="s">
        <v>1728</v>
      </c>
      <c r="F334" s="8" t="n">
        <v>18</v>
      </c>
      <c r="G334" s="8" t="s">
        <v>1729</v>
      </c>
      <c r="H334" s="8" t="s">
        <v>1781</v>
      </c>
      <c r="I334" s="27" t="s">
        <v>1790</v>
      </c>
      <c r="J334" s="8" t="s">
        <v>185</v>
      </c>
      <c r="K334" s="8" t="s">
        <v>194</v>
      </c>
      <c r="L334" s="8" t="s">
        <v>231</v>
      </c>
      <c r="M334" s="8" t="str">
        <f aca="false">IF(K334="FUERA","Fuera del marco",IF(K334="N/A","Sin marco",IFERROR(INDEX(Catalogo_TIMSS!$C$5:$C$105,MATCH(K334,Catalogo_TIMSS!$A$5:$A$105,0)),"Pendiente de clasificar")))</f>
        <v>Biología</v>
      </c>
      <c r="N334" s="8" t="str">
        <f aca="false">IF(K334="FUERA","Fuera del marco",IF(K334="N/A","Sin marco",IFERROR(INDEX(Catalogo_TIMSS!$F$5:$F$105,MATCH(K334,Catalogo_TIMSS!$A$5:$A$105,0)),"Pendiente de clasificar")))</f>
        <v>Células y sus funciones</v>
      </c>
      <c r="O334" s="8" t="str">
        <f aca="false">IF(L334="","",IFERROR(INDEX(Catalogo_TIMSS!$C$5:$C$105,MATCH(L334,Catalogo_TIMSS!$A$5:$A$105,0)),"?"))</f>
        <v>Química</v>
      </c>
      <c r="P334" s="8" t="s">
        <v>460</v>
      </c>
      <c r="Q334" s="27" t="s">
        <v>1791</v>
      </c>
      <c r="R334" s="27" t="s">
        <v>1792</v>
      </c>
      <c r="S334" s="28" t="n">
        <f aca="false">IFERROR(ISNUMBER(SEARCH("Conocer",$R334))/(ISNUMBER(SEARCH("Conocer",$R334))+ISNUMBER(SEARCH("Aplicar",$R334))+ISNUMBER(SEARCH("Razonar",$R334))),0)</f>
        <v>0</v>
      </c>
      <c r="T334" s="28" t="n">
        <f aca="false">IFERROR(ISNUMBER(SEARCH("Aplicar",$R334))/(ISNUMBER(SEARCH("Conocer",$R334))+ISNUMBER(SEARCH("Aplicar",$R334))+ISNUMBER(SEARCH("Razonar",$R334))),0)</f>
        <v>1</v>
      </c>
      <c r="U334" s="28" t="n">
        <f aca="false">IFERROR(ISNUMBER(SEARCH("Razonar",$R334))/(ISNUMBER(SEARCH("Conocer",$R334))+ISNUMBER(SEARCH("Aplicar",$R334))+ISNUMBER(SEARCH("Razonar",$R334))),0)</f>
        <v>0</v>
      </c>
      <c r="V334" s="8" t="s">
        <v>50</v>
      </c>
      <c r="W334" s="8" t="s">
        <v>67</v>
      </c>
    </row>
    <row r="335" customFormat="false" ht="15" hidden="false" customHeight="false" outlineLevel="0" collapsed="false">
      <c r="A335" s="8" t="s">
        <v>1793</v>
      </c>
      <c r="B335" s="8" t="n">
        <v>6</v>
      </c>
      <c r="C335" s="8" t="s">
        <v>411</v>
      </c>
      <c r="D335" s="8" t="s">
        <v>1586</v>
      </c>
      <c r="E335" s="8" t="s">
        <v>1728</v>
      </c>
      <c r="F335" s="8" t="n">
        <v>19</v>
      </c>
      <c r="G335" s="8" t="s">
        <v>1729</v>
      </c>
      <c r="H335" s="8" t="s">
        <v>1781</v>
      </c>
      <c r="I335" s="27" t="s">
        <v>1794</v>
      </c>
      <c r="J335" s="8" t="s">
        <v>185</v>
      </c>
      <c r="K335" s="8" t="s">
        <v>194</v>
      </c>
      <c r="L335" s="8"/>
      <c r="M335" s="8" t="str">
        <f aca="false">IF(K335="FUERA","Fuera del marco",IF(K335="N/A","Sin marco",IFERROR(INDEX(Catalogo_TIMSS!$C$5:$C$105,MATCH(K335,Catalogo_TIMSS!$A$5:$A$105,0)),"Pendiente de clasificar")))</f>
        <v>Biología</v>
      </c>
      <c r="N335" s="8" t="str">
        <f aca="false">IF(K335="FUERA","Fuera del marco",IF(K335="N/A","Sin marco",IFERROR(INDEX(Catalogo_TIMSS!$F$5:$F$105,MATCH(K335,Catalogo_TIMSS!$A$5:$A$105,0)),"Pendiente de clasificar")))</f>
        <v>Células y sus funciones</v>
      </c>
      <c r="O335" s="8" t="str">
        <f aca="false">IF(L335="","",IFERROR(INDEX(Catalogo_TIMSS!$C$5:$C$105,MATCH(L335,Catalogo_TIMSS!$A$5:$A$105,0)),"?"))</f>
        <v/>
      </c>
      <c r="P335" s="8" t="s">
        <v>418</v>
      </c>
      <c r="Q335" s="27" t="s">
        <v>1795</v>
      </c>
      <c r="R335" s="27" t="s">
        <v>1776</v>
      </c>
      <c r="S335" s="28" t="n">
        <f aca="false">IFERROR(ISNUMBER(SEARCH("Conocer",$R335))/(ISNUMBER(SEARCH("Conocer",$R335))+ISNUMBER(SEARCH("Aplicar",$R335))+ISNUMBER(SEARCH("Razonar",$R335))),0)</f>
        <v>1</v>
      </c>
      <c r="T335" s="28" t="n">
        <f aca="false">IFERROR(ISNUMBER(SEARCH("Aplicar",$R335))/(ISNUMBER(SEARCH("Conocer",$R335))+ISNUMBER(SEARCH("Aplicar",$R335))+ISNUMBER(SEARCH("Razonar",$R335))),0)</f>
        <v>0</v>
      </c>
      <c r="U335" s="28" t="n">
        <f aca="false">IFERROR(ISNUMBER(SEARCH("Razonar",$R335))/(ISNUMBER(SEARCH("Conocer",$R335))+ISNUMBER(SEARCH("Aplicar",$R335))+ISNUMBER(SEARCH("Razonar",$R335))),0)</f>
        <v>0</v>
      </c>
      <c r="V335" s="8" t="s">
        <v>50</v>
      </c>
      <c r="W335" s="8" t="s">
        <v>67</v>
      </c>
    </row>
    <row r="336" customFormat="false" ht="15" hidden="false" customHeight="false" outlineLevel="0" collapsed="false">
      <c r="A336" s="8" t="s">
        <v>1796</v>
      </c>
      <c r="B336" s="8" t="n">
        <v>6</v>
      </c>
      <c r="C336" s="8" t="s">
        <v>411</v>
      </c>
      <c r="D336" s="8" t="s">
        <v>1586</v>
      </c>
      <c r="E336" s="8" t="s">
        <v>1728</v>
      </c>
      <c r="F336" s="8" t="n">
        <v>20</v>
      </c>
      <c r="G336" s="8" t="s">
        <v>1729</v>
      </c>
      <c r="H336" s="8" t="s">
        <v>1797</v>
      </c>
      <c r="I336" s="27" t="s">
        <v>1798</v>
      </c>
      <c r="J336" s="8" t="s">
        <v>185</v>
      </c>
      <c r="K336" s="8" t="s">
        <v>191</v>
      </c>
      <c r="L336" s="8"/>
      <c r="M336" s="8" t="str">
        <f aca="false">IF(K336="FUERA","Fuera del marco",IF(K336="N/A","Sin marco",IFERROR(INDEX(Catalogo_TIMSS!$C$5:$C$105,MATCH(K336,Catalogo_TIMSS!$A$5:$A$105,0)),"Pendiente de clasificar")))</f>
        <v>Biología</v>
      </c>
      <c r="N336" s="8" t="str">
        <f aca="false">IF(K336="FUERA","Fuera del marco",IF(K336="N/A","Sin marco",IFERROR(INDEX(Catalogo_TIMSS!$F$5:$F$105,MATCH(K336,Catalogo_TIMSS!$A$5:$A$105,0)),"Pendiente de clasificar")))</f>
        <v>Células y sus funciones</v>
      </c>
      <c r="O336" s="8" t="str">
        <f aca="false">IF(L336="","",IFERROR(INDEX(Catalogo_TIMSS!$C$5:$C$105,MATCH(L336,Catalogo_TIMSS!$A$5:$A$105,0)),"?"))</f>
        <v/>
      </c>
      <c r="P336" s="8" t="s">
        <v>460</v>
      </c>
      <c r="Q336" s="27" t="s">
        <v>1799</v>
      </c>
      <c r="R336" s="27" t="s">
        <v>1800</v>
      </c>
      <c r="S336" s="28" t="n">
        <f aca="false">IFERROR(ISNUMBER(SEARCH("Conocer",$R336))/(ISNUMBER(SEARCH("Conocer",$R336))+ISNUMBER(SEARCH("Aplicar",$R336))+ISNUMBER(SEARCH("Razonar",$R336))),0)</f>
        <v>0</v>
      </c>
      <c r="T336" s="28" t="n">
        <f aca="false">IFERROR(ISNUMBER(SEARCH("Aplicar",$R336))/(ISNUMBER(SEARCH("Conocer",$R336))+ISNUMBER(SEARCH("Aplicar",$R336))+ISNUMBER(SEARCH("Razonar",$R336))),0)</f>
        <v>1</v>
      </c>
      <c r="U336" s="28" t="n">
        <f aca="false">IFERROR(ISNUMBER(SEARCH("Razonar",$R336))/(ISNUMBER(SEARCH("Conocer",$R336))+ISNUMBER(SEARCH("Aplicar",$R336))+ISNUMBER(SEARCH("Razonar",$R336))),0)</f>
        <v>0</v>
      </c>
      <c r="V336" s="8" t="s">
        <v>50</v>
      </c>
      <c r="W336" s="8" t="s">
        <v>67</v>
      </c>
    </row>
    <row r="337" customFormat="false" ht="15" hidden="false" customHeight="false" outlineLevel="0" collapsed="false">
      <c r="A337" s="8" t="s">
        <v>1801</v>
      </c>
      <c r="B337" s="8" t="n">
        <v>6</v>
      </c>
      <c r="C337" s="8" t="s">
        <v>411</v>
      </c>
      <c r="D337" s="8" t="s">
        <v>1586</v>
      </c>
      <c r="E337" s="8" t="s">
        <v>1728</v>
      </c>
      <c r="F337" s="8" t="n">
        <v>21</v>
      </c>
      <c r="G337" s="8" t="s">
        <v>1729</v>
      </c>
      <c r="H337" s="8" t="s">
        <v>1802</v>
      </c>
      <c r="I337" s="27" t="s">
        <v>1803</v>
      </c>
      <c r="J337" s="8" t="s">
        <v>185</v>
      </c>
      <c r="K337" s="8" t="s">
        <v>191</v>
      </c>
      <c r="L337" s="8"/>
      <c r="M337" s="8" t="str">
        <f aca="false">IF(K337="FUERA","Fuera del marco",IF(K337="N/A","Sin marco",IFERROR(INDEX(Catalogo_TIMSS!$C$5:$C$105,MATCH(K337,Catalogo_TIMSS!$A$5:$A$105,0)),"Pendiente de clasificar")))</f>
        <v>Biología</v>
      </c>
      <c r="N337" s="8" t="str">
        <f aca="false">IF(K337="FUERA","Fuera del marco",IF(K337="N/A","Sin marco",IFERROR(INDEX(Catalogo_TIMSS!$F$5:$F$105,MATCH(K337,Catalogo_TIMSS!$A$5:$A$105,0)),"Pendiente de clasificar")))</f>
        <v>Células y sus funciones</v>
      </c>
      <c r="O337" s="8" t="str">
        <f aca="false">IF(L337="","",IFERROR(INDEX(Catalogo_TIMSS!$C$5:$C$105,MATCH(L337,Catalogo_TIMSS!$A$5:$A$105,0)),"?"))</f>
        <v/>
      </c>
      <c r="P337" s="8" t="s">
        <v>513</v>
      </c>
      <c r="Q337" s="27" t="s">
        <v>1804</v>
      </c>
      <c r="R337" s="27" t="s">
        <v>536</v>
      </c>
      <c r="S337" s="28" t="n">
        <f aca="false">IFERROR(ISNUMBER(SEARCH("Conocer",$R337))/(ISNUMBER(SEARCH("Conocer",$R337))+ISNUMBER(SEARCH("Aplicar",$R337))+ISNUMBER(SEARCH("Razonar",$R337))),0)</f>
        <v>1</v>
      </c>
      <c r="T337" s="28" t="n">
        <f aca="false">IFERROR(ISNUMBER(SEARCH("Aplicar",$R337))/(ISNUMBER(SEARCH("Conocer",$R337))+ISNUMBER(SEARCH("Aplicar",$R337))+ISNUMBER(SEARCH("Razonar",$R337))),0)</f>
        <v>0</v>
      </c>
      <c r="U337" s="28" t="n">
        <f aca="false">IFERROR(ISNUMBER(SEARCH("Razonar",$R337))/(ISNUMBER(SEARCH("Conocer",$R337))+ISNUMBER(SEARCH("Aplicar",$R337))+ISNUMBER(SEARCH("Razonar",$R337))),0)</f>
        <v>0</v>
      </c>
      <c r="V337" s="8" t="s">
        <v>50</v>
      </c>
      <c r="W337" s="8" t="s">
        <v>67</v>
      </c>
    </row>
    <row r="338" customFormat="false" ht="15" hidden="false" customHeight="false" outlineLevel="0" collapsed="false">
      <c r="A338" s="8" t="s">
        <v>1805</v>
      </c>
      <c r="B338" s="8" t="n">
        <v>6</v>
      </c>
      <c r="C338" s="8" t="s">
        <v>411</v>
      </c>
      <c r="D338" s="8" t="s">
        <v>1586</v>
      </c>
      <c r="E338" s="8" t="s">
        <v>1728</v>
      </c>
      <c r="F338" s="8" t="n">
        <v>22</v>
      </c>
      <c r="G338" s="8" t="s">
        <v>1729</v>
      </c>
      <c r="H338" s="8" t="s">
        <v>1802</v>
      </c>
      <c r="I338" s="27" t="s">
        <v>1806</v>
      </c>
      <c r="J338" s="8" t="s">
        <v>185</v>
      </c>
      <c r="K338" s="8" t="s">
        <v>191</v>
      </c>
      <c r="L338" s="8"/>
      <c r="M338" s="8" t="str">
        <f aca="false">IF(K338="FUERA","Fuera del marco",IF(K338="N/A","Sin marco",IFERROR(INDEX(Catalogo_TIMSS!$C$5:$C$105,MATCH(K338,Catalogo_TIMSS!$A$5:$A$105,0)),"Pendiente de clasificar")))</f>
        <v>Biología</v>
      </c>
      <c r="N338" s="8" t="str">
        <f aca="false">IF(K338="FUERA","Fuera del marco",IF(K338="N/A","Sin marco",IFERROR(INDEX(Catalogo_TIMSS!$F$5:$F$105,MATCH(K338,Catalogo_TIMSS!$A$5:$A$105,0)),"Pendiente de clasificar")))</f>
        <v>Células y sus funciones</v>
      </c>
      <c r="O338" s="8" t="str">
        <f aca="false">IF(L338="","",IFERROR(INDEX(Catalogo_TIMSS!$C$5:$C$105,MATCH(L338,Catalogo_TIMSS!$A$5:$A$105,0)),"?"))</f>
        <v/>
      </c>
      <c r="P338" s="8" t="s">
        <v>460</v>
      </c>
      <c r="Q338" s="27" t="s">
        <v>1807</v>
      </c>
      <c r="R338" s="27" t="s">
        <v>1464</v>
      </c>
      <c r="S338" s="28" t="n">
        <f aca="false">IFERROR(ISNUMBER(SEARCH("Conocer",$R338))/(ISNUMBER(SEARCH("Conocer",$R338))+ISNUMBER(SEARCH("Aplicar",$R338))+ISNUMBER(SEARCH("Razonar",$R338))),0)</f>
        <v>0</v>
      </c>
      <c r="T338" s="28" t="n">
        <f aca="false">IFERROR(ISNUMBER(SEARCH("Aplicar",$R338))/(ISNUMBER(SEARCH("Conocer",$R338))+ISNUMBER(SEARCH("Aplicar",$R338))+ISNUMBER(SEARCH("Razonar",$R338))),0)</f>
        <v>1</v>
      </c>
      <c r="U338" s="28" t="n">
        <f aca="false">IFERROR(ISNUMBER(SEARCH("Razonar",$R338))/(ISNUMBER(SEARCH("Conocer",$R338))+ISNUMBER(SEARCH("Aplicar",$R338))+ISNUMBER(SEARCH("Razonar",$R338))),0)</f>
        <v>0</v>
      </c>
      <c r="V338" s="8" t="s">
        <v>50</v>
      </c>
      <c r="W338" s="8" t="s">
        <v>67</v>
      </c>
    </row>
    <row r="339" customFormat="false" ht="15" hidden="false" customHeight="false" outlineLevel="0" collapsed="false">
      <c r="A339" s="8" t="s">
        <v>1808</v>
      </c>
      <c r="B339" s="8" t="n">
        <v>6</v>
      </c>
      <c r="C339" s="8" t="s">
        <v>411</v>
      </c>
      <c r="D339" s="8" t="s">
        <v>1586</v>
      </c>
      <c r="E339" s="8" t="s">
        <v>1728</v>
      </c>
      <c r="F339" s="8" t="n">
        <v>23</v>
      </c>
      <c r="G339" s="8" t="s">
        <v>1729</v>
      </c>
      <c r="H339" s="8" t="s">
        <v>1802</v>
      </c>
      <c r="I339" s="27" t="s">
        <v>1809</v>
      </c>
      <c r="J339" s="8" t="s">
        <v>185</v>
      </c>
      <c r="K339" s="8" t="s">
        <v>184</v>
      </c>
      <c r="L339" s="8"/>
      <c r="M339" s="8" t="str">
        <f aca="false">IF(K339="FUERA","Fuera del marco",IF(K339="N/A","Sin marco",IFERROR(INDEX(Catalogo_TIMSS!$C$5:$C$105,MATCH(K339,Catalogo_TIMSS!$A$5:$A$105,0)),"Pendiente de clasificar")))</f>
        <v>Biología</v>
      </c>
      <c r="N339" s="8" t="str">
        <f aca="false">IF(K339="FUERA","Fuera del marco",IF(K339="N/A","Sin marco",IFERROR(INDEX(Catalogo_TIMSS!$F$5:$F$105,MATCH(K339,Catalogo_TIMSS!$A$5:$A$105,0)),"Pendiente de clasificar")))</f>
        <v>Características y procesos vitales de los organismos</v>
      </c>
      <c r="O339" s="8" t="str">
        <f aca="false">IF(L339="","",IFERROR(INDEX(Catalogo_TIMSS!$C$5:$C$105,MATCH(L339,Catalogo_TIMSS!$A$5:$A$105,0)),"?"))</f>
        <v/>
      </c>
      <c r="P339" s="8" t="s">
        <v>513</v>
      </c>
      <c r="Q339" s="27" t="s">
        <v>1810</v>
      </c>
      <c r="R339" s="27" t="s">
        <v>1811</v>
      </c>
      <c r="S339" s="28" t="n">
        <f aca="false">IFERROR(ISNUMBER(SEARCH("Conocer",$R339))/(ISNUMBER(SEARCH("Conocer",$R339))+ISNUMBER(SEARCH("Aplicar",$R339))+ISNUMBER(SEARCH("Razonar",$R339))),0)</f>
        <v>0</v>
      </c>
      <c r="T339" s="28" t="n">
        <f aca="false">IFERROR(ISNUMBER(SEARCH("Aplicar",$R339))/(ISNUMBER(SEARCH("Conocer",$R339))+ISNUMBER(SEARCH("Aplicar",$R339))+ISNUMBER(SEARCH("Razonar",$R339))),0)</f>
        <v>1</v>
      </c>
      <c r="U339" s="28" t="n">
        <f aca="false">IFERROR(ISNUMBER(SEARCH("Razonar",$R339))/(ISNUMBER(SEARCH("Conocer",$R339))+ISNUMBER(SEARCH("Aplicar",$R339))+ISNUMBER(SEARCH("Razonar",$R339))),0)</f>
        <v>0</v>
      </c>
      <c r="V339" s="8" t="s">
        <v>50</v>
      </c>
      <c r="W339" s="8" t="s">
        <v>67</v>
      </c>
    </row>
    <row r="340" customFormat="false" ht="15" hidden="false" customHeight="false" outlineLevel="0" collapsed="false">
      <c r="A340" s="8" t="s">
        <v>1812</v>
      </c>
      <c r="B340" s="8" t="n">
        <v>6</v>
      </c>
      <c r="C340" s="8" t="s">
        <v>411</v>
      </c>
      <c r="D340" s="8" t="s">
        <v>1586</v>
      </c>
      <c r="E340" s="8" t="s">
        <v>1728</v>
      </c>
      <c r="F340" s="8" t="n">
        <v>24</v>
      </c>
      <c r="G340" s="8" t="s">
        <v>1729</v>
      </c>
      <c r="H340" s="8" t="s">
        <v>1802</v>
      </c>
      <c r="I340" s="27" t="s">
        <v>1813</v>
      </c>
      <c r="J340" s="8" t="s">
        <v>185</v>
      </c>
      <c r="K340" s="8" t="s">
        <v>191</v>
      </c>
      <c r="L340" s="8"/>
      <c r="M340" s="8" t="str">
        <f aca="false">IF(K340="FUERA","Fuera del marco",IF(K340="N/A","Sin marco",IFERROR(INDEX(Catalogo_TIMSS!$C$5:$C$105,MATCH(K340,Catalogo_TIMSS!$A$5:$A$105,0)),"Pendiente de clasificar")))</f>
        <v>Biología</v>
      </c>
      <c r="N340" s="8" t="str">
        <f aca="false">IF(K340="FUERA","Fuera del marco",IF(K340="N/A","Sin marco",IFERROR(INDEX(Catalogo_TIMSS!$F$5:$F$105,MATCH(K340,Catalogo_TIMSS!$A$5:$A$105,0)),"Pendiente de clasificar")))</f>
        <v>Células y sus funciones</v>
      </c>
      <c r="O340" s="8" t="str">
        <f aca="false">IF(L340="","",IFERROR(INDEX(Catalogo_TIMSS!$C$5:$C$105,MATCH(L340,Catalogo_TIMSS!$A$5:$A$105,0)),"?"))</f>
        <v/>
      </c>
      <c r="P340" s="8" t="s">
        <v>513</v>
      </c>
      <c r="Q340" s="27" t="s">
        <v>1814</v>
      </c>
      <c r="R340" s="27" t="s">
        <v>1815</v>
      </c>
      <c r="S340" s="28" t="n">
        <f aca="false">IFERROR(ISNUMBER(SEARCH("Conocer",$R340))/(ISNUMBER(SEARCH("Conocer",$R340))+ISNUMBER(SEARCH("Aplicar",$R340))+ISNUMBER(SEARCH("Razonar",$R340))),0)</f>
        <v>0</v>
      </c>
      <c r="T340" s="28" t="n">
        <f aca="false">IFERROR(ISNUMBER(SEARCH("Aplicar",$R340))/(ISNUMBER(SEARCH("Conocer",$R340))+ISNUMBER(SEARCH("Aplicar",$R340))+ISNUMBER(SEARCH("Razonar",$R340))),0)</f>
        <v>0</v>
      </c>
      <c r="U340" s="28" t="n">
        <f aca="false">IFERROR(ISNUMBER(SEARCH("Razonar",$R340))/(ISNUMBER(SEARCH("Conocer",$R340))+ISNUMBER(SEARCH("Aplicar",$R340))+ISNUMBER(SEARCH("Razonar",$R340))),0)</f>
        <v>1</v>
      </c>
      <c r="V340" s="8" t="s">
        <v>50</v>
      </c>
      <c r="W340" s="8" t="s">
        <v>67</v>
      </c>
    </row>
    <row r="341" customFormat="false" ht="15" hidden="false" customHeight="false" outlineLevel="0" collapsed="false">
      <c r="A341" s="8" t="s">
        <v>1816</v>
      </c>
      <c r="B341" s="8" t="n">
        <v>6</v>
      </c>
      <c r="C341" s="8" t="s">
        <v>411</v>
      </c>
      <c r="D341" s="8" t="s">
        <v>1586</v>
      </c>
      <c r="E341" s="8" t="s">
        <v>1817</v>
      </c>
      <c r="F341" s="8" t="n">
        <v>3</v>
      </c>
      <c r="G341" s="8" t="s">
        <v>1818</v>
      </c>
      <c r="H341" s="8" t="s">
        <v>1819</v>
      </c>
      <c r="I341" s="27" t="s">
        <v>1820</v>
      </c>
      <c r="J341" s="8" t="s">
        <v>185</v>
      </c>
      <c r="K341" s="8" t="s">
        <v>198</v>
      </c>
      <c r="L341" s="8"/>
      <c r="M341" s="8" t="str">
        <f aca="false">IF(K341="FUERA","Fuera del marco",IF(K341="N/A","Sin marco",IFERROR(INDEX(Catalogo_TIMSS!$C$5:$C$105,MATCH(K341,Catalogo_TIMSS!$A$5:$A$105,0)),"Pendiente de clasificar")))</f>
        <v>Biología</v>
      </c>
      <c r="N341" s="8" t="str">
        <f aca="false">IF(K341="FUERA","Fuera del marco",IF(K341="N/A","Sin marco",IFERROR(INDEX(Catalogo_TIMSS!$F$5:$F$105,MATCH(K341,Catalogo_TIMSS!$A$5:$A$105,0)),"Pendiente de clasificar")))</f>
        <v>Ciclos de vida, reproducción y herencia</v>
      </c>
      <c r="O341" s="8" t="str">
        <f aca="false">IF(L341="","",IFERROR(INDEX(Catalogo_TIMSS!$C$5:$C$105,MATCH(L341,Catalogo_TIMSS!$A$5:$A$105,0)),"?"))</f>
        <v/>
      </c>
      <c r="P341" s="8" t="s">
        <v>418</v>
      </c>
      <c r="Q341" s="27" t="s">
        <v>1821</v>
      </c>
      <c r="R341" s="27" t="s">
        <v>1258</v>
      </c>
      <c r="S341" s="28" t="n">
        <f aca="false">IFERROR(ISNUMBER(SEARCH("Conocer",$R341))/(ISNUMBER(SEARCH("Conocer",$R341))+ISNUMBER(SEARCH("Aplicar",$R341))+ISNUMBER(SEARCH("Razonar",$R341))),0)</f>
        <v>0</v>
      </c>
      <c r="T341" s="28" t="n">
        <f aca="false">IFERROR(ISNUMBER(SEARCH("Aplicar",$R341))/(ISNUMBER(SEARCH("Conocer",$R341))+ISNUMBER(SEARCH("Aplicar",$R341))+ISNUMBER(SEARCH("Razonar",$R341))),0)</f>
        <v>1</v>
      </c>
      <c r="U341" s="28" t="n">
        <f aca="false">IFERROR(ISNUMBER(SEARCH("Razonar",$R341))/(ISNUMBER(SEARCH("Conocer",$R341))+ISNUMBER(SEARCH("Aplicar",$R341))+ISNUMBER(SEARCH("Razonar",$R341))),0)</f>
        <v>0</v>
      </c>
      <c r="V341" s="8" t="s">
        <v>50</v>
      </c>
      <c r="W341" s="8" t="s">
        <v>67</v>
      </c>
    </row>
    <row r="342" customFormat="false" ht="15" hidden="false" customHeight="false" outlineLevel="0" collapsed="false">
      <c r="A342" s="8" t="s">
        <v>1822</v>
      </c>
      <c r="B342" s="8" t="n">
        <v>6</v>
      </c>
      <c r="C342" s="8" t="s">
        <v>411</v>
      </c>
      <c r="D342" s="8" t="s">
        <v>1586</v>
      </c>
      <c r="E342" s="8" t="s">
        <v>1817</v>
      </c>
      <c r="F342" s="8" t="n">
        <v>4</v>
      </c>
      <c r="G342" s="8" t="s">
        <v>1818</v>
      </c>
      <c r="H342" s="8" t="s">
        <v>1823</v>
      </c>
      <c r="I342" s="27" t="s">
        <v>1824</v>
      </c>
      <c r="J342" s="8" t="s">
        <v>185</v>
      </c>
      <c r="K342" s="8" t="s">
        <v>198</v>
      </c>
      <c r="L342" s="8" t="s">
        <v>196</v>
      </c>
      <c r="M342" s="8" t="str">
        <f aca="false">IF(K342="FUERA","Fuera del marco",IF(K342="N/A","Sin marco",IFERROR(INDEX(Catalogo_TIMSS!$C$5:$C$105,MATCH(K342,Catalogo_TIMSS!$A$5:$A$105,0)),"Pendiente de clasificar")))</f>
        <v>Biología</v>
      </c>
      <c r="N342" s="8" t="str">
        <f aca="false">IF(K342="FUERA","Fuera del marco",IF(K342="N/A","Sin marco",IFERROR(INDEX(Catalogo_TIMSS!$F$5:$F$105,MATCH(K342,Catalogo_TIMSS!$A$5:$A$105,0)),"Pendiente de clasificar")))</f>
        <v>Ciclos de vida, reproducción y herencia</v>
      </c>
      <c r="O342" s="8" t="str">
        <f aca="false">IF(L342="","",IFERROR(INDEX(Catalogo_TIMSS!$C$5:$C$105,MATCH(L342,Catalogo_TIMSS!$A$5:$A$105,0)),"?"))</f>
        <v>Biología</v>
      </c>
      <c r="P342" s="8" t="s">
        <v>460</v>
      </c>
      <c r="Q342" s="27" t="s">
        <v>1825</v>
      </c>
      <c r="R342" s="27" t="s">
        <v>1826</v>
      </c>
      <c r="S342" s="28" t="n">
        <f aca="false">IFERROR(ISNUMBER(SEARCH("Conocer",$R342))/(ISNUMBER(SEARCH("Conocer",$R342))+ISNUMBER(SEARCH("Aplicar",$R342))+ISNUMBER(SEARCH("Razonar",$R342))),0)</f>
        <v>0</v>
      </c>
      <c r="T342" s="28" t="n">
        <f aca="false">IFERROR(ISNUMBER(SEARCH("Aplicar",$R342))/(ISNUMBER(SEARCH("Conocer",$R342))+ISNUMBER(SEARCH("Aplicar",$R342))+ISNUMBER(SEARCH("Razonar",$R342))),0)</f>
        <v>1</v>
      </c>
      <c r="U342" s="28" t="n">
        <f aca="false">IFERROR(ISNUMBER(SEARCH("Razonar",$R342))/(ISNUMBER(SEARCH("Conocer",$R342))+ISNUMBER(SEARCH("Aplicar",$R342))+ISNUMBER(SEARCH("Razonar",$R342))),0)</f>
        <v>0</v>
      </c>
      <c r="V342" s="8" t="s">
        <v>50</v>
      </c>
      <c r="W342" s="8" t="s">
        <v>67</v>
      </c>
    </row>
    <row r="343" customFormat="false" ht="15" hidden="false" customHeight="false" outlineLevel="0" collapsed="false">
      <c r="A343" s="8" t="s">
        <v>1827</v>
      </c>
      <c r="B343" s="8" t="n">
        <v>6</v>
      </c>
      <c r="C343" s="8" t="s">
        <v>411</v>
      </c>
      <c r="D343" s="8" t="s">
        <v>1586</v>
      </c>
      <c r="E343" s="8" t="s">
        <v>1817</v>
      </c>
      <c r="F343" s="8" t="n">
        <v>5</v>
      </c>
      <c r="G343" s="8" t="s">
        <v>1818</v>
      </c>
      <c r="H343" s="8" t="s">
        <v>1823</v>
      </c>
      <c r="I343" s="27" t="s">
        <v>1828</v>
      </c>
      <c r="J343" s="8" t="s">
        <v>185</v>
      </c>
      <c r="K343" s="8" t="s">
        <v>198</v>
      </c>
      <c r="L343" s="8"/>
      <c r="M343" s="8" t="str">
        <f aca="false">IF(K343="FUERA","Fuera del marco",IF(K343="N/A","Sin marco",IFERROR(INDEX(Catalogo_TIMSS!$C$5:$C$105,MATCH(K343,Catalogo_TIMSS!$A$5:$A$105,0)),"Pendiente de clasificar")))</f>
        <v>Biología</v>
      </c>
      <c r="N343" s="8" t="str">
        <f aca="false">IF(K343="FUERA","Fuera del marco",IF(K343="N/A","Sin marco",IFERROR(INDEX(Catalogo_TIMSS!$F$5:$F$105,MATCH(K343,Catalogo_TIMSS!$A$5:$A$105,0)),"Pendiente de clasificar")))</f>
        <v>Ciclos de vida, reproducción y herencia</v>
      </c>
      <c r="O343" s="8" t="str">
        <f aca="false">IF(L343="","",IFERROR(INDEX(Catalogo_TIMSS!$C$5:$C$105,MATCH(L343,Catalogo_TIMSS!$A$5:$A$105,0)),"?"))</f>
        <v/>
      </c>
      <c r="P343" s="8" t="s">
        <v>418</v>
      </c>
      <c r="Q343" s="27" t="s">
        <v>1829</v>
      </c>
      <c r="R343" s="27" t="s">
        <v>587</v>
      </c>
      <c r="S343" s="28" t="n">
        <f aca="false">IFERROR(ISNUMBER(SEARCH("Conocer",$R343))/(ISNUMBER(SEARCH("Conocer",$R343))+ISNUMBER(SEARCH("Aplicar",$R343))+ISNUMBER(SEARCH("Razonar",$R343))),0)</f>
        <v>0</v>
      </c>
      <c r="T343" s="28" t="n">
        <f aca="false">IFERROR(ISNUMBER(SEARCH("Aplicar",$R343))/(ISNUMBER(SEARCH("Conocer",$R343))+ISNUMBER(SEARCH("Aplicar",$R343))+ISNUMBER(SEARCH("Razonar",$R343))),0)</f>
        <v>1</v>
      </c>
      <c r="U343" s="28" t="n">
        <f aca="false">IFERROR(ISNUMBER(SEARCH("Razonar",$R343))/(ISNUMBER(SEARCH("Conocer",$R343))+ISNUMBER(SEARCH("Aplicar",$R343))+ISNUMBER(SEARCH("Razonar",$R343))),0)</f>
        <v>0</v>
      </c>
      <c r="V343" s="8" t="s">
        <v>50</v>
      </c>
      <c r="W343" s="8" t="s">
        <v>67</v>
      </c>
    </row>
    <row r="344" customFormat="false" ht="15" hidden="false" customHeight="false" outlineLevel="0" collapsed="false">
      <c r="A344" s="8" t="s">
        <v>1830</v>
      </c>
      <c r="B344" s="8" t="n">
        <v>6</v>
      </c>
      <c r="C344" s="8" t="s">
        <v>411</v>
      </c>
      <c r="D344" s="8" t="s">
        <v>1586</v>
      </c>
      <c r="E344" s="8" t="s">
        <v>1817</v>
      </c>
      <c r="F344" s="8" t="n">
        <v>6</v>
      </c>
      <c r="G344" s="8" t="s">
        <v>1818</v>
      </c>
      <c r="H344" s="8" t="s">
        <v>1823</v>
      </c>
      <c r="I344" s="27" t="s">
        <v>1831</v>
      </c>
      <c r="J344" s="8" t="s">
        <v>185</v>
      </c>
      <c r="K344" s="8" t="s">
        <v>191</v>
      </c>
      <c r="L344" s="8" t="s">
        <v>196</v>
      </c>
      <c r="M344" s="8" t="str">
        <f aca="false">IF(K344="FUERA","Fuera del marco",IF(K344="N/A","Sin marco",IFERROR(INDEX(Catalogo_TIMSS!$C$5:$C$105,MATCH(K344,Catalogo_TIMSS!$A$5:$A$105,0)),"Pendiente de clasificar")))</f>
        <v>Biología</v>
      </c>
      <c r="N344" s="8" t="str">
        <f aca="false">IF(K344="FUERA","Fuera del marco",IF(K344="N/A","Sin marco",IFERROR(INDEX(Catalogo_TIMSS!$F$5:$F$105,MATCH(K344,Catalogo_TIMSS!$A$5:$A$105,0)),"Pendiente de clasificar")))</f>
        <v>Células y sus funciones</v>
      </c>
      <c r="O344" s="8" t="str">
        <f aca="false">IF(L344="","",IFERROR(INDEX(Catalogo_TIMSS!$C$5:$C$105,MATCH(L344,Catalogo_TIMSS!$A$5:$A$105,0)),"?"))</f>
        <v>Biología</v>
      </c>
      <c r="P344" s="8" t="s">
        <v>513</v>
      </c>
      <c r="Q344" s="27" t="s">
        <v>1832</v>
      </c>
      <c r="R344" s="27" t="s">
        <v>1833</v>
      </c>
      <c r="S344" s="28" t="n">
        <f aca="false">IFERROR(ISNUMBER(SEARCH("Conocer",$R344))/(ISNUMBER(SEARCH("Conocer",$R344))+ISNUMBER(SEARCH("Aplicar",$R344))+ISNUMBER(SEARCH("Razonar",$R344))),0)</f>
        <v>1</v>
      </c>
      <c r="T344" s="28" t="n">
        <f aca="false">IFERROR(ISNUMBER(SEARCH("Aplicar",$R344))/(ISNUMBER(SEARCH("Conocer",$R344))+ISNUMBER(SEARCH("Aplicar",$R344))+ISNUMBER(SEARCH("Razonar",$R344))),0)</f>
        <v>0</v>
      </c>
      <c r="U344" s="28" t="n">
        <f aca="false">IFERROR(ISNUMBER(SEARCH("Razonar",$R344))/(ISNUMBER(SEARCH("Conocer",$R344))+ISNUMBER(SEARCH("Aplicar",$R344))+ISNUMBER(SEARCH("Razonar",$R344))),0)</f>
        <v>0</v>
      </c>
      <c r="V344" s="8" t="s">
        <v>50</v>
      </c>
      <c r="W344" s="8" t="s">
        <v>67</v>
      </c>
    </row>
    <row r="345" customFormat="false" ht="15" hidden="false" customHeight="false" outlineLevel="0" collapsed="false">
      <c r="A345" s="8" t="s">
        <v>1834</v>
      </c>
      <c r="B345" s="8" t="n">
        <v>6</v>
      </c>
      <c r="C345" s="8" t="s">
        <v>411</v>
      </c>
      <c r="D345" s="8" t="s">
        <v>1586</v>
      </c>
      <c r="E345" s="8" t="s">
        <v>1817</v>
      </c>
      <c r="F345" s="8" t="n">
        <v>7</v>
      </c>
      <c r="G345" s="8" t="s">
        <v>1818</v>
      </c>
      <c r="H345" s="8" t="s">
        <v>1835</v>
      </c>
      <c r="I345" s="27" t="s">
        <v>1836</v>
      </c>
      <c r="J345" s="8" t="s">
        <v>185</v>
      </c>
      <c r="K345" s="8" t="s">
        <v>198</v>
      </c>
      <c r="L345" s="8"/>
      <c r="M345" s="8" t="str">
        <f aca="false">IF(K345="FUERA","Fuera del marco",IF(K345="N/A","Sin marco",IFERROR(INDEX(Catalogo_TIMSS!$C$5:$C$105,MATCH(K345,Catalogo_TIMSS!$A$5:$A$105,0)),"Pendiente de clasificar")))</f>
        <v>Biología</v>
      </c>
      <c r="N345" s="8" t="str">
        <f aca="false">IF(K345="FUERA","Fuera del marco",IF(K345="N/A","Sin marco",IFERROR(INDEX(Catalogo_TIMSS!$F$5:$F$105,MATCH(K345,Catalogo_TIMSS!$A$5:$A$105,0)),"Pendiente de clasificar")))</f>
        <v>Ciclos de vida, reproducción y herencia</v>
      </c>
      <c r="O345" s="8" t="str">
        <f aca="false">IF(L345="","",IFERROR(INDEX(Catalogo_TIMSS!$C$5:$C$105,MATCH(L345,Catalogo_TIMSS!$A$5:$A$105,0)),"?"))</f>
        <v/>
      </c>
      <c r="P345" s="8" t="s">
        <v>460</v>
      </c>
      <c r="Q345" s="27" t="s">
        <v>1837</v>
      </c>
      <c r="R345" s="27" t="s">
        <v>1464</v>
      </c>
      <c r="S345" s="28" t="n">
        <f aca="false">IFERROR(ISNUMBER(SEARCH("Conocer",$R345))/(ISNUMBER(SEARCH("Conocer",$R345))+ISNUMBER(SEARCH("Aplicar",$R345))+ISNUMBER(SEARCH("Razonar",$R345))),0)</f>
        <v>0</v>
      </c>
      <c r="T345" s="28" t="n">
        <f aca="false">IFERROR(ISNUMBER(SEARCH("Aplicar",$R345))/(ISNUMBER(SEARCH("Conocer",$R345))+ISNUMBER(SEARCH("Aplicar",$R345))+ISNUMBER(SEARCH("Razonar",$R345))),0)</f>
        <v>1</v>
      </c>
      <c r="U345" s="28" t="n">
        <f aca="false">IFERROR(ISNUMBER(SEARCH("Razonar",$R345))/(ISNUMBER(SEARCH("Conocer",$R345))+ISNUMBER(SEARCH("Aplicar",$R345))+ISNUMBER(SEARCH("Razonar",$R345))),0)</f>
        <v>0</v>
      </c>
      <c r="V345" s="8" t="s">
        <v>50</v>
      </c>
      <c r="W345" s="8" t="s">
        <v>67</v>
      </c>
    </row>
    <row r="346" customFormat="false" ht="15" hidden="false" customHeight="false" outlineLevel="0" collapsed="false">
      <c r="A346" s="8" t="s">
        <v>1838</v>
      </c>
      <c r="B346" s="8" t="n">
        <v>6</v>
      </c>
      <c r="C346" s="8" t="s">
        <v>411</v>
      </c>
      <c r="D346" s="8" t="s">
        <v>1586</v>
      </c>
      <c r="E346" s="8" t="s">
        <v>1817</v>
      </c>
      <c r="F346" s="8" t="n">
        <v>8</v>
      </c>
      <c r="G346" s="8" t="s">
        <v>1818</v>
      </c>
      <c r="H346" s="8" t="s">
        <v>1835</v>
      </c>
      <c r="I346" s="27" t="s">
        <v>1839</v>
      </c>
      <c r="J346" s="8" t="s">
        <v>185</v>
      </c>
      <c r="K346" s="8" t="s">
        <v>196</v>
      </c>
      <c r="L346" s="8" t="s">
        <v>198</v>
      </c>
      <c r="M346" s="8" t="str">
        <f aca="false">IF(K346="FUERA","Fuera del marco",IF(K346="N/A","Sin marco",IFERROR(INDEX(Catalogo_TIMSS!$C$5:$C$105,MATCH(K346,Catalogo_TIMSS!$A$5:$A$105,0)),"Pendiente de clasificar")))</f>
        <v>Biología</v>
      </c>
      <c r="N346" s="8" t="str">
        <f aca="false">IF(K346="FUERA","Fuera del marco",IF(K346="N/A","Sin marco",IFERROR(INDEX(Catalogo_TIMSS!$F$5:$F$105,MATCH(K346,Catalogo_TIMSS!$A$5:$A$105,0)),"Pendiente de clasificar")))</f>
        <v>Ciclos de vida, reproducción y herencia</v>
      </c>
      <c r="O346" s="8" t="str">
        <f aca="false">IF(L346="","",IFERROR(INDEX(Catalogo_TIMSS!$C$5:$C$105,MATCH(L346,Catalogo_TIMSS!$A$5:$A$105,0)),"?"))</f>
        <v>Biología</v>
      </c>
      <c r="P346" s="8" t="s">
        <v>418</v>
      </c>
      <c r="Q346" s="27" t="s">
        <v>1840</v>
      </c>
      <c r="R346" s="27" t="s">
        <v>1265</v>
      </c>
      <c r="S346" s="28" t="n">
        <f aca="false">IFERROR(ISNUMBER(SEARCH("Conocer",$R346))/(ISNUMBER(SEARCH("Conocer",$R346))+ISNUMBER(SEARCH("Aplicar",$R346))+ISNUMBER(SEARCH("Razonar",$R346))),0)</f>
        <v>0</v>
      </c>
      <c r="T346" s="28" t="n">
        <f aca="false">IFERROR(ISNUMBER(SEARCH("Aplicar",$R346))/(ISNUMBER(SEARCH("Conocer",$R346))+ISNUMBER(SEARCH("Aplicar",$R346))+ISNUMBER(SEARCH("Razonar",$R346))),0)</f>
        <v>1</v>
      </c>
      <c r="U346" s="28" t="n">
        <f aca="false">IFERROR(ISNUMBER(SEARCH("Razonar",$R346))/(ISNUMBER(SEARCH("Conocer",$R346))+ISNUMBER(SEARCH("Aplicar",$R346))+ISNUMBER(SEARCH("Razonar",$R346))),0)</f>
        <v>0</v>
      </c>
      <c r="V346" s="8" t="s">
        <v>50</v>
      </c>
      <c r="W346" s="8" t="s">
        <v>67</v>
      </c>
    </row>
    <row r="347" customFormat="false" ht="15" hidden="false" customHeight="false" outlineLevel="0" collapsed="false">
      <c r="A347" s="8" t="s">
        <v>1841</v>
      </c>
      <c r="B347" s="8" t="n">
        <v>6</v>
      </c>
      <c r="C347" s="8" t="s">
        <v>411</v>
      </c>
      <c r="D347" s="8" t="s">
        <v>1586</v>
      </c>
      <c r="E347" s="8" t="s">
        <v>1817</v>
      </c>
      <c r="F347" s="8" t="n">
        <v>9</v>
      </c>
      <c r="G347" s="8" t="s">
        <v>1818</v>
      </c>
      <c r="H347" s="8" t="s">
        <v>1842</v>
      </c>
      <c r="I347" s="27" t="s">
        <v>1843</v>
      </c>
      <c r="J347" s="8" t="s">
        <v>185</v>
      </c>
      <c r="K347" s="8" t="s">
        <v>196</v>
      </c>
      <c r="L347" s="8"/>
      <c r="M347" s="8" t="str">
        <f aca="false">IF(K347="FUERA","Fuera del marco",IF(K347="N/A","Sin marco",IFERROR(INDEX(Catalogo_TIMSS!$C$5:$C$105,MATCH(K347,Catalogo_TIMSS!$A$5:$A$105,0)),"Pendiente de clasificar")))</f>
        <v>Biología</v>
      </c>
      <c r="N347" s="8" t="str">
        <f aca="false">IF(K347="FUERA","Fuera del marco",IF(K347="N/A","Sin marco",IFERROR(INDEX(Catalogo_TIMSS!$F$5:$F$105,MATCH(K347,Catalogo_TIMSS!$A$5:$A$105,0)),"Pendiente de clasificar")))</f>
        <v>Ciclos de vida, reproducción y herencia</v>
      </c>
      <c r="O347" s="8" t="str">
        <f aca="false">IF(L347="","",IFERROR(INDEX(Catalogo_TIMSS!$C$5:$C$105,MATCH(L347,Catalogo_TIMSS!$A$5:$A$105,0)),"?"))</f>
        <v/>
      </c>
      <c r="P347" s="8" t="s">
        <v>418</v>
      </c>
      <c r="Q347" s="27" t="s">
        <v>1844</v>
      </c>
      <c r="R347" s="27" t="s">
        <v>1751</v>
      </c>
      <c r="S347" s="28" t="n">
        <f aca="false">IFERROR(ISNUMBER(SEARCH("Conocer",$R347))/(ISNUMBER(SEARCH("Conocer",$R347))+ISNUMBER(SEARCH("Aplicar",$R347))+ISNUMBER(SEARCH("Razonar",$R347))),0)</f>
        <v>0</v>
      </c>
      <c r="T347" s="28" t="n">
        <f aca="false">IFERROR(ISNUMBER(SEARCH("Aplicar",$R347))/(ISNUMBER(SEARCH("Conocer",$R347))+ISNUMBER(SEARCH("Aplicar",$R347))+ISNUMBER(SEARCH("Razonar",$R347))),0)</f>
        <v>1</v>
      </c>
      <c r="U347" s="28" t="n">
        <f aca="false">IFERROR(ISNUMBER(SEARCH("Razonar",$R347))/(ISNUMBER(SEARCH("Conocer",$R347))+ISNUMBER(SEARCH("Aplicar",$R347))+ISNUMBER(SEARCH("Razonar",$R347))),0)</f>
        <v>0</v>
      </c>
      <c r="V347" s="8" t="s">
        <v>50</v>
      </c>
      <c r="W347" s="8" t="s">
        <v>67</v>
      </c>
    </row>
    <row r="348" customFormat="false" ht="15" hidden="false" customHeight="false" outlineLevel="0" collapsed="false">
      <c r="A348" s="8" t="s">
        <v>1845</v>
      </c>
      <c r="B348" s="8" t="n">
        <v>6</v>
      </c>
      <c r="C348" s="8" t="s">
        <v>411</v>
      </c>
      <c r="D348" s="8" t="s">
        <v>1586</v>
      </c>
      <c r="E348" s="8" t="s">
        <v>1817</v>
      </c>
      <c r="F348" s="8" t="n">
        <v>10</v>
      </c>
      <c r="G348" s="8" t="s">
        <v>1818</v>
      </c>
      <c r="H348" s="8" t="s">
        <v>1842</v>
      </c>
      <c r="I348" s="27" t="s">
        <v>1846</v>
      </c>
      <c r="J348" s="8" t="s">
        <v>185</v>
      </c>
      <c r="K348" s="8" t="s">
        <v>198</v>
      </c>
      <c r="L348" s="8" t="s">
        <v>196</v>
      </c>
      <c r="M348" s="8" t="str">
        <f aca="false">IF(K348="FUERA","Fuera del marco",IF(K348="N/A","Sin marco",IFERROR(INDEX(Catalogo_TIMSS!$C$5:$C$105,MATCH(K348,Catalogo_TIMSS!$A$5:$A$105,0)),"Pendiente de clasificar")))</f>
        <v>Biología</v>
      </c>
      <c r="N348" s="8" t="str">
        <f aca="false">IF(K348="FUERA","Fuera del marco",IF(K348="N/A","Sin marco",IFERROR(INDEX(Catalogo_TIMSS!$F$5:$F$105,MATCH(K348,Catalogo_TIMSS!$A$5:$A$105,0)),"Pendiente de clasificar")))</f>
        <v>Ciclos de vida, reproducción y herencia</v>
      </c>
      <c r="O348" s="8" t="str">
        <f aca="false">IF(L348="","",IFERROR(INDEX(Catalogo_TIMSS!$C$5:$C$105,MATCH(L348,Catalogo_TIMSS!$A$5:$A$105,0)),"?"))</f>
        <v>Biología</v>
      </c>
      <c r="P348" s="8" t="s">
        <v>460</v>
      </c>
      <c r="Q348" s="27" t="s">
        <v>1847</v>
      </c>
      <c r="R348" s="27" t="s">
        <v>1464</v>
      </c>
      <c r="S348" s="28" t="n">
        <f aca="false">IFERROR(ISNUMBER(SEARCH("Conocer",$R348))/(ISNUMBER(SEARCH("Conocer",$R348))+ISNUMBER(SEARCH("Aplicar",$R348))+ISNUMBER(SEARCH("Razonar",$R348))),0)</f>
        <v>0</v>
      </c>
      <c r="T348" s="28" t="n">
        <f aca="false">IFERROR(ISNUMBER(SEARCH("Aplicar",$R348))/(ISNUMBER(SEARCH("Conocer",$R348))+ISNUMBER(SEARCH("Aplicar",$R348))+ISNUMBER(SEARCH("Razonar",$R348))),0)</f>
        <v>1</v>
      </c>
      <c r="U348" s="28" t="n">
        <f aca="false">IFERROR(ISNUMBER(SEARCH("Razonar",$R348))/(ISNUMBER(SEARCH("Conocer",$R348))+ISNUMBER(SEARCH("Aplicar",$R348))+ISNUMBER(SEARCH("Razonar",$R348))),0)</f>
        <v>0</v>
      </c>
      <c r="V348" s="8" t="s">
        <v>50</v>
      </c>
      <c r="W348" s="8" t="s">
        <v>67</v>
      </c>
    </row>
    <row r="349" customFormat="false" ht="15" hidden="false" customHeight="false" outlineLevel="0" collapsed="false">
      <c r="A349" s="8" t="s">
        <v>1848</v>
      </c>
      <c r="B349" s="8" t="n">
        <v>6</v>
      </c>
      <c r="C349" s="8" t="s">
        <v>411</v>
      </c>
      <c r="D349" s="8" t="s">
        <v>1586</v>
      </c>
      <c r="E349" s="8" t="s">
        <v>1817</v>
      </c>
      <c r="F349" s="8" t="n">
        <v>11</v>
      </c>
      <c r="G349" s="8" t="s">
        <v>1818</v>
      </c>
      <c r="H349" s="8" t="s">
        <v>1842</v>
      </c>
      <c r="I349" s="27" t="s">
        <v>1849</v>
      </c>
      <c r="J349" s="8" t="s">
        <v>185</v>
      </c>
      <c r="K349" s="8" t="s">
        <v>198</v>
      </c>
      <c r="L349" s="8"/>
      <c r="M349" s="8" t="str">
        <f aca="false">IF(K349="FUERA","Fuera del marco",IF(K349="N/A","Sin marco",IFERROR(INDEX(Catalogo_TIMSS!$C$5:$C$105,MATCH(K349,Catalogo_TIMSS!$A$5:$A$105,0)),"Pendiente de clasificar")))</f>
        <v>Biología</v>
      </c>
      <c r="N349" s="8" t="str">
        <f aca="false">IF(K349="FUERA","Fuera del marco",IF(K349="N/A","Sin marco",IFERROR(INDEX(Catalogo_TIMSS!$F$5:$F$105,MATCH(K349,Catalogo_TIMSS!$A$5:$A$105,0)),"Pendiente de clasificar")))</f>
        <v>Ciclos de vida, reproducción y herencia</v>
      </c>
      <c r="O349" s="8" t="str">
        <f aca="false">IF(L349="","",IFERROR(INDEX(Catalogo_TIMSS!$C$5:$C$105,MATCH(L349,Catalogo_TIMSS!$A$5:$A$105,0)),"?"))</f>
        <v/>
      </c>
      <c r="P349" s="8" t="s">
        <v>460</v>
      </c>
      <c r="Q349" s="27" t="s">
        <v>1850</v>
      </c>
      <c r="R349" s="27" t="s">
        <v>1851</v>
      </c>
      <c r="S349" s="28" t="n">
        <f aca="false">IFERROR(ISNUMBER(SEARCH("Conocer",$R349))/(ISNUMBER(SEARCH("Conocer",$R349))+ISNUMBER(SEARCH("Aplicar",$R349))+ISNUMBER(SEARCH("Razonar",$R349))),0)</f>
        <v>0</v>
      </c>
      <c r="T349" s="28" t="n">
        <f aca="false">IFERROR(ISNUMBER(SEARCH("Aplicar",$R349))/(ISNUMBER(SEARCH("Conocer",$R349))+ISNUMBER(SEARCH("Aplicar",$R349))+ISNUMBER(SEARCH("Razonar",$R349))),0)</f>
        <v>0.5</v>
      </c>
      <c r="U349" s="28" t="n">
        <f aca="false">IFERROR(ISNUMBER(SEARCH("Razonar",$R349))/(ISNUMBER(SEARCH("Conocer",$R349))+ISNUMBER(SEARCH("Aplicar",$R349))+ISNUMBER(SEARCH("Razonar",$R349))),0)</f>
        <v>0.5</v>
      </c>
      <c r="V349" s="8" t="s">
        <v>50</v>
      </c>
      <c r="W349" s="8" t="s">
        <v>67</v>
      </c>
    </row>
    <row r="350" customFormat="false" ht="15" hidden="false" customHeight="false" outlineLevel="0" collapsed="false">
      <c r="A350" s="8" t="s">
        <v>1852</v>
      </c>
      <c r="B350" s="8" t="n">
        <v>6</v>
      </c>
      <c r="C350" s="8" t="s">
        <v>411</v>
      </c>
      <c r="D350" s="8" t="s">
        <v>1586</v>
      </c>
      <c r="E350" s="8" t="s">
        <v>1817</v>
      </c>
      <c r="F350" s="8" t="n">
        <v>12</v>
      </c>
      <c r="G350" s="8" t="s">
        <v>1818</v>
      </c>
      <c r="H350" s="8" t="s">
        <v>1853</v>
      </c>
      <c r="I350" s="27" t="s">
        <v>1854</v>
      </c>
      <c r="J350" s="8" t="s">
        <v>185</v>
      </c>
      <c r="K350" s="8" t="s">
        <v>198</v>
      </c>
      <c r="L350" s="8"/>
      <c r="M350" s="8" t="str">
        <f aca="false">IF(K350="FUERA","Fuera del marco",IF(K350="N/A","Sin marco",IFERROR(INDEX(Catalogo_TIMSS!$C$5:$C$105,MATCH(K350,Catalogo_TIMSS!$A$5:$A$105,0)),"Pendiente de clasificar")))</f>
        <v>Biología</v>
      </c>
      <c r="N350" s="8" t="str">
        <f aca="false">IF(K350="FUERA","Fuera del marco",IF(K350="N/A","Sin marco",IFERROR(INDEX(Catalogo_TIMSS!$F$5:$F$105,MATCH(K350,Catalogo_TIMSS!$A$5:$A$105,0)),"Pendiente de clasificar")))</f>
        <v>Ciclos de vida, reproducción y herencia</v>
      </c>
      <c r="O350" s="8" t="str">
        <f aca="false">IF(L350="","",IFERROR(INDEX(Catalogo_TIMSS!$C$5:$C$105,MATCH(L350,Catalogo_TIMSS!$A$5:$A$105,0)),"?"))</f>
        <v/>
      </c>
      <c r="P350" s="8" t="s">
        <v>418</v>
      </c>
      <c r="Q350" s="27" t="s">
        <v>1855</v>
      </c>
      <c r="R350" s="27" t="s">
        <v>1856</v>
      </c>
      <c r="S350" s="28" t="n">
        <f aca="false">IFERROR(ISNUMBER(SEARCH("Conocer",$R350))/(ISNUMBER(SEARCH("Conocer",$R350))+ISNUMBER(SEARCH("Aplicar",$R350))+ISNUMBER(SEARCH("Razonar",$R350))),0)</f>
        <v>1</v>
      </c>
      <c r="T350" s="28" t="n">
        <f aca="false">IFERROR(ISNUMBER(SEARCH("Aplicar",$R350))/(ISNUMBER(SEARCH("Conocer",$R350))+ISNUMBER(SEARCH("Aplicar",$R350))+ISNUMBER(SEARCH("Razonar",$R350))),0)</f>
        <v>0</v>
      </c>
      <c r="U350" s="28" t="n">
        <f aca="false">IFERROR(ISNUMBER(SEARCH("Razonar",$R350))/(ISNUMBER(SEARCH("Conocer",$R350))+ISNUMBER(SEARCH("Aplicar",$R350))+ISNUMBER(SEARCH("Razonar",$R350))),0)</f>
        <v>0</v>
      </c>
      <c r="V350" s="8" t="s">
        <v>50</v>
      </c>
      <c r="W350" s="8" t="s">
        <v>67</v>
      </c>
    </row>
    <row r="351" customFormat="false" ht="15" hidden="false" customHeight="false" outlineLevel="0" collapsed="false">
      <c r="A351" s="8" t="s">
        <v>1857</v>
      </c>
      <c r="B351" s="8" t="n">
        <v>6</v>
      </c>
      <c r="C351" s="8" t="s">
        <v>411</v>
      </c>
      <c r="D351" s="8" t="s">
        <v>1586</v>
      </c>
      <c r="E351" s="8" t="s">
        <v>1817</v>
      </c>
      <c r="F351" s="8" t="n">
        <v>13</v>
      </c>
      <c r="G351" s="8" t="s">
        <v>1818</v>
      </c>
      <c r="H351" s="8" t="s">
        <v>1853</v>
      </c>
      <c r="I351" s="27" t="s">
        <v>1858</v>
      </c>
      <c r="J351" s="8" t="s">
        <v>185</v>
      </c>
      <c r="K351" s="8" t="s">
        <v>196</v>
      </c>
      <c r="L351" s="8"/>
      <c r="M351" s="8" t="str">
        <f aca="false">IF(K351="FUERA","Fuera del marco",IF(K351="N/A","Sin marco",IFERROR(INDEX(Catalogo_TIMSS!$C$5:$C$105,MATCH(K351,Catalogo_TIMSS!$A$5:$A$105,0)),"Pendiente de clasificar")))</f>
        <v>Biología</v>
      </c>
      <c r="N351" s="8" t="str">
        <f aca="false">IF(K351="FUERA","Fuera del marco",IF(K351="N/A","Sin marco",IFERROR(INDEX(Catalogo_TIMSS!$F$5:$F$105,MATCH(K351,Catalogo_TIMSS!$A$5:$A$105,0)),"Pendiente de clasificar")))</f>
        <v>Ciclos de vida, reproducción y herencia</v>
      </c>
      <c r="O351" s="8" t="str">
        <f aca="false">IF(L351="","",IFERROR(INDEX(Catalogo_TIMSS!$C$5:$C$105,MATCH(L351,Catalogo_TIMSS!$A$5:$A$105,0)),"?"))</f>
        <v/>
      </c>
      <c r="P351" s="8" t="s">
        <v>460</v>
      </c>
      <c r="Q351" s="27" t="s">
        <v>1859</v>
      </c>
      <c r="R351" s="27" t="s">
        <v>587</v>
      </c>
      <c r="S351" s="28" t="n">
        <f aca="false">IFERROR(ISNUMBER(SEARCH("Conocer",$R351))/(ISNUMBER(SEARCH("Conocer",$R351))+ISNUMBER(SEARCH("Aplicar",$R351))+ISNUMBER(SEARCH("Razonar",$R351))),0)</f>
        <v>0</v>
      </c>
      <c r="T351" s="28" t="n">
        <f aca="false">IFERROR(ISNUMBER(SEARCH("Aplicar",$R351))/(ISNUMBER(SEARCH("Conocer",$R351))+ISNUMBER(SEARCH("Aplicar",$R351))+ISNUMBER(SEARCH("Razonar",$R351))),0)</f>
        <v>1</v>
      </c>
      <c r="U351" s="28" t="n">
        <f aca="false">IFERROR(ISNUMBER(SEARCH("Razonar",$R351))/(ISNUMBER(SEARCH("Conocer",$R351))+ISNUMBER(SEARCH("Aplicar",$R351))+ISNUMBER(SEARCH("Razonar",$R351))),0)</f>
        <v>0</v>
      </c>
      <c r="V351" s="8" t="s">
        <v>50</v>
      </c>
      <c r="W351" s="8" t="s">
        <v>67</v>
      </c>
    </row>
    <row r="352" customFormat="false" ht="15" hidden="false" customHeight="false" outlineLevel="0" collapsed="false">
      <c r="A352" s="8" t="s">
        <v>1860</v>
      </c>
      <c r="B352" s="8" t="n">
        <v>6</v>
      </c>
      <c r="C352" s="8" t="s">
        <v>411</v>
      </c>
      <c r="D352" s="8" t="s">
        <v>1586</v>
      </c>
      <c r="E352" s="8" t="s">
        <v>1817</v>
      </c>
      <c r="F352" s="8" t="n">
        <v>14</v>
      </c>
      <c r="G352" s="8" t="s">
        <v>1818</v>
      </c>
      <c r="H352" s="8" t="s">
        <v>1853</v>
      </c>
      <c r="I352" s="27" t="s">
        <v>1861</v>
      </c>
      <c r="J352" s="8" t="s">
        <v>185</v>
      </c>
      <c r="K352" s="8" t="s">
        <v>196</v>
      </c>
      <c r="L352" s="8"/>
      <c r="M352" s="8" t="str">
        <f aca="false">IF(K352="FUERA","Fuera del marco",IF(K352="N/A","Sin marco",IFERROR(INDEX(Catalogo_TIMSS!$C$5:$C$105,MATCH(K352,Catalogo_TIMSS!$A$5:$A$105,0)),"Pendiente de clasificar")))</f>
        <v>Biología</v>
      </c>
      <c r="N352" s="8" t="str">
        <f aca="false">IF(K352="FUERA","Fuera del marco",IF(K352="N/A","Sin marco",IFERROR(INDEX(Catalogo_TIMSS!$F$5:$F$105,MATCH(K352,Catalogo_TIMSS!$A$5:$A$105,0)),"Pendiente de clasificar")))</f>
        <v>Ciclos de vida, reproducción y herencia</v>
      </c>
      <c r="O352" s="8" t="str">
        <f aca="false">IF(L352="","",IFERROR(INDEX(Catalogo_TIMSS!$C$5:$C$105,MATCH(L352,Catalogo_TIMSS!$A$5:$A$105,0)),"?"))</f>
        <v/>
      </c>
      <c r="P352" s="8" t="s">
        <v>460</v>
      </c>
      <c r="Q352" s="27" t="s">
        <v>1862</v>
      </c>
      <c r="R352" s="27" t="s">
        <v>1258</v>
      </c>
      <c r="S352" s="28" t="n">
        <f aca="false">IFERROR(ISNUMBER(SEARCH("Conocer",$R352))/(ISNUMBER(SEARCH("Conocer",$R352))+ISNUMBER(SEARCH("Aplicar",$R352))+ISNUMBER(SEARCH("Razonar",$R352))),0)</f>
        <v>0</v>
      </c>
      <c r="T352" s="28" t="n">
        <f aca="false">IFERROR(ISNUMBER(SEARCH("Aplicar",$R352))/(ISNUMBER(SEARCH("Conocer",$R352))+ISNUMBER(SEARCH("Aplicar",$R352))+ISNUMBER(SEARCH("Razonar",$R352))),0)</f>
        <v>1</v>
      </c>
      <c r="U352" s="28" t="n">
        <f aca="false">IFERROR(ISNUMBER(SEARCH("Razonar",$R352))/(ISNUMBER(SEARCH("Conocer",$R352))+ISNUMBER(SEARCH("Aplicar",$R352))+ISNUMBER(SEARCH("Razonar",$R352))),0)</f>
        <v>0</v>
      </c>
      <c r="V352" s="8" t="s">
        <v>50</v>
      </c>
      <c r="W352" s="8" t="s">
        <v>67</v>
      </c>
    </row>
    <row r="353" customFormat="false" ht="15" hidden="false" customHeight="false" outlineLevel="0" collapsed="false">
      <c r="A353" s="8" t="s">
        <v>1863</v>
      </c>
      <c r="B353" s="8" t="n">
        <v>7</v>
      </c>
      <c r="C353" s="8" t="s">
        <v>411</v>
      </c>
      <c r="D353" s="8" t="s">
        <v>1864</v>
      </c>
      <c r="E353" s="8" t="s">
        <v>1865</v>
      </c>
      <c r="F353" s="8" t="n">
        <v>3</v>
      </c>
      <c r="G353" s="8" t="s">
        <v>1866</v>
      </c>
      <c r="H353" s="8" t="s">
        <v>1867</v>
      </c>
      <c r="I353" s="27" t="s">
        <v>1868</v>
      </c>
      <c r="J353" s="8" t="s">
        <v>185</v>
      </c>
      <c r="K353" s="8" t="s">
        <v>222</v>
      </c>
      <c r="L353" s="8"/>
      <c r="M353" s="8" t="str">
        <f aca="false">IF(K353="FUERA","Fuera del marco",IF(K353="N/A","Sin marco",IFERROR(INDEX(Catalogo_TIMSS!$C$5:$C$105,MATCH(K353,Catalogo_TIMSS!$A$5:$A$105,0)),"Pendiente de clasificar")))</f>
        <v>Química</v>
      </c>
      <c r="N353" s="8" t="str">
        <f aca="false">IF(K353="FUERA","Fuera del marco",IF(K353="N/A","Sin marco",IFERROR(INDEX(Catalogo_TIMSS!$F$5:$F$105,MATCH(K353,Catalogo_TIMSS!$A$5:$A$105,0)),"Pendiente de clasificar")))</f>
        <v>Composición de la materia</v>
      </c>
      <c r="O353" s="8" t="str">
        <f aca="false">IF(L353="","",IFERROR(INDEX(Catalogo_TIMSS!$C$5:$C$105,MATCH(L353,Catalogo_TIMSS!$A$5:$A$105,0)),"?"))</f>
        <v/>
      </c>
      <c r="P353" s="8" t="s">
        <v>460</v>
      </c>
      <c r="Q353" s="27" t="s">
        <v>1869</v>
      </c>
      <c r="R353" s="27" t="s">
        <v>1870</v>
      </c>
      <c r="S353" s="28" t="n">
        <f aca="false">IFERROR(ISNUMBER(SEARCH("Conocer",$R353))/(ISNUMBER(SEARCH("Conocer",$R353))+ISNUMBER(SEARCH("Aplicar",$R353))+ISNUMBER(SEARCH("Razonar",$R353))),0)</f>
        <v>0.5</v>
      </c>
      <c r="T353" s="28" t="n">
        <f aca="false">IFERROR(ISNUMBER(SEARCH("Aplicar",$R353))/(ISNUMBER(SEARCH("Conocer",$R353))+ISNUMBER(SEARCH("Aplicar",$R353))+ISNUMBER(SEARCH("Razonar",$R353))),0)</f>
        <v>0.5</v>
      </c>
      <c r="U353" s="28" t="n">
        <f aca="false">IFERROR(ISNUMBER(SEARCH("Razonar",$R353))/(ISNUMBER(SEARCH("Conocer",$R353))+ISNUMBER(SEARCH("Aplicar",$R353))+ISNUMBER(SEARCH("Razonar",$R353))),0)</f>
        <v>0</v>
      </c>
      <c r="V353" s="8" t="s">
        <v>51</v>
      </c>
      <c r="W353" s="8" t="s">
        <v>67</v>
      </c>
    </row>
    <row r="354" customFormat="false" ht="15" hidden="false" customHeight="false" outlineLevel="0" collapsed="false">
      <c r="A354" s="8" t="s">
        <v>1871</v>
      </c>
      <c r="B354" s="8" t="n">
        <v>7</v>
      </c>
      <c r="C354" s="8" t="s">
        <v>411</v>
      </c>
      <c r="D354" s="8" t="s">
        <v>1864</v>
      </c>
      <c r="E354" s="8" t="s">
        <v>1865</v>
      </c>
      <c r="F354" s="8" t="n">
        <v>4</v>
      </c>
      <c r="G354" s="8" t="s">
        <v>1866</v>
      </c>
      <c r="H354" s="8" t="s">
        <v>1867</v>
      </c>
      <c r="I354" s="27" t="s">
        <v>1872</v>
      </c>
      <c r="J354" s="8" t="s">
        <v>185</v>
      </c>
      <c r="K354" s="8" t="s">
        <v>238</v>
      </c>
      <c r="L354" s="8" t="s">
        <v>235</v>
      </c>
      <c r="M354" s="8" t="str">
        <f aca="false">IF(K354="FUERA","Fuera del marco",IF(K354="N/A","Sin marco",IFERROR(INDEX(Catalogo_TIMSS!$C$5:$C$105,MATCH(K354,Catalogo_TIMSS!$A$5:$A$105,0)),"Pendiente de clasificar")))</f>
        <v>Química</v>
      </c>
      <c r="N354" s="8" t="str">
        <f aca="false">IF(K354="FUERA","Fuera del marco",IF(K354="N/A","Sin marco",IFERROR(INDEX(Catalogo_TIMSS!$F$5:$F$105,MATCH(K354,Catalogo_TIMSS!$A$5:$A$105,0)),"Pendiente de clasificar")))</f>
        <v>Cambio químico</v>
      </c>
      <c r="O354" s="8" t="str">
        <f aca="false">IF(L354="","",IFERROR(INDEX(Catalogo_TIMSS!$C$5:$C$105,MATCH(L354,Catalogo_TIMSS!$A$5:$A$105,0)),"?"))</f>
        <v>Química</v>
      </c>
      <c r="P354" s="8" t="s">
        <v>460</v>
      </c>
      <c r="Q354" s="27" t="s">
        <v>1873</v>
      </c>
      <c r="R354" s="27" t="s">
        <v>1874</v>
      </c>
      <c r="S354" s="28" t="n">
        <f aca="false">IFERROR(ISNUMBER(SEARCH("Conocer",$R354))/(ISNUMBER(SEARCH("Conocer",$R354))+ISNUMBER(SEARCH("Aplicar",$R354))+ISNUMBER(SEARCH("Razonar",$R354))),0)</f>
        <v>0</v>
      </c>
      <c r="T354" s="28" t="n">
        <f aca="false">IFERROR(ISNUMBER(SEARCH("Aplicar",$R354))/(ISNUMBER(SEARCH("Conocer",$R354))+ISNUMBER(SEARCH("Aplicar",$R354))+ISNUMBER(SEARCH("Razonar",$R354))),0)</f>
        <v>1</v>
      </c>
      <c r="U354" s="28" t="n">
        <f aca="false">IFERROR(ISNUMBER(SEARCH("Razonar",$R354))/(ISNUMBER(SEARCH("Conocer",$R354))+ISNUMBER(SEARCH("Aplicar",$R354))+ISNUMBER(SEARCH("Razonar",$R354))),0)</f>
        <v>0</v>
      </c>
      <c r="V354" s="8" t="s">
        <v>51</v>
      </c>
      <c r="W354" s="8" t="s">
        <v>67</v>
      </c>
    </row>
    <row r="355" customFormat="false" ht="15" hidden="false" customHeight="false" outlineLevel="0" collapsed="false">
      <c r="A355" s="8" t="s">
        <v>1875</v>
      </c>
      <c r="B355" s="8" t="n">
        <v>7</v>
      </c>
      <c r="C355" s="8" t="s">
        <v>411</v>
      </c>
      <c r="D355" s="8" t="s">
        <v>1864</v>
      </c>
      <c r="E355" s="8" t="s">
        <v>1865</v>
      </c>
      <c r="F355" s="8" t="n">
        <v>5</v>
      </c>
      <c r="G355" s="8" t="s">
        <v>1866</v>
      </c>
      <c r="H355" s="8" t="s">
        <v>1867</v>
      </c>
      <c r="I355" s="27" t="s">
        <v>1876</v>
      </c>
      <c r="J355" s="8" t="s">
        <v>185</v>
      </c>
      <c r="K355" s="8" t="s">
        <v>417</v>
      </c>
      <c r="L355" s="8"/>
      <c r="M355" s="8" t="str">
        <f aca="false">IF(K355="FUERA","Fuera del marco",IF(K355="N/A","Sin marco",IFERROR(INDEX(Catalogo_TIMSS!$C$5:$C$105,MATCH(K355,Catalogo_TIMSS!$A$5:$A$105,0)),"Pendiente de clasificar")))</f>
        <v>Fuera del marco</v>
      </c>
      <c r="N355" s="8" t="str">
        <f aca="false">IF(K355="FUERA","Fuera del marco",IF(K355="N/A","Sin marco",IFERROR(INDEX(Catalogo_TIMSS!$F$5:$F$105,MATCH(K355,Catalogo_TIMSS!$A$5:$A$105,0)),"Pendiente de clasificar")))</f>
        <v>Fuera del marco</v>
      </c>
      <c r="O355" s="8" t="str">
        <f aca="false">IF(L355="","",IFERROR(INDEX(Catalogo_TIMSS!$C$5:$C$105,MATCH(L355,Catalogo_TIMSS!$A$5:$A$105,0)),"?"))</f>
        <v/>
      </c>
      <c r="P355" s="8" t="s">
        <v>460</v>
      </c>
      <c r="Q355" s="27" t="s">
        <v>1877</v>
      </c>
      <c r="R355" s="27" t="s">
        <v>1878</v>
      </c>
      <c r="S355" s="28" t="n">
        <f aca="false">IFERROR(ISNUMBER(SEARCH("Conocer",$R355))/(ISNUMBER(SEARCH("Conocer",$R355))+ISNUMBER(SEARCH("Aplicar",$R355))+ISNUMBER(SEARCH("Razonar",$R355))),0)</f>
        <v>0</v>
      </c>
      <c r="T355" s="28" t="n">
        <f aca="false">IFERROR(ISNUMBER(SEARCH("Aplicar",$R355))/(ISNUMBER(SEARCH("Conocer",$R355))+ISNUMBER(SEARCH("Aplicar",$R355))+ISNUMBER(SEARCH("Razonar",$R355))),0)</f>
        <v>1</v>
      </c>
      <c r="U355" s="28" t="n">
        <f aca="false">IFERROR(ISNUMBER(SEARCH("Razonar",$R355))/(ISNUMBER(SEARCH("Conocer",$R355))+ISNUMBER(SEARCH("Aplicar",$R355))+ISNUMBER(SEARCH("Razonar",$R355))),0)</f>
        <v>0</v>
      </c>
      <c r="V355" s="8" t="s">
        <v>51</v>
      </c>
      <c r="W355" s="8" t="s">
        <v>67</v>
      </c>
    </row>
    <row r="356" customFormat="false" ht="15" hidden="false" customHeight="false" outlineLevel="0" collapsed="false">
      <c r="A356" s="8" t="s">
        <v>1879</v>
      </c>
      <c r="B356" s="8" t="n">
        <v>7</v>
      </c>
      <c r="C356" s="8" t="s">
        <v>411</v>
      </c>
      <c r="D356" s="8" t="s">
        <v>1864</v>
      </c>
      <c r="E356" s="8" t="s">
        <v>1865</v>
      </c>
      <c r="F356" s="8" t="n">
        <v>6</v>
      </c>
      <c r="G356" s="8" t="s">
        <v>1866</v>
      </c>
      <c r="H356" s="8" t="s">
        <v>1867</v>
      </c>
      <c r="I356" s="27" t="s">
        <v>1880</v>
      </c>
      <c r="J356" s="8" t="s">
        <v>185</v>
      </c>
      <c r="K356" s="8" t="s">
        <v>222</v>
      </c>
      <c r="L356" s="8"/>
      <c r="M356" s="8" t="str">
        <f aca="false">IF(K356="FUERA","Fuera del marco",IF(K356="N/A","Sin marco",IFERROR(INDEX(Catalogo_TIMSS!$C$5:$C$105,MATCH(K356,Catalogo_TIMSS!$A$5:$A$105,0)),"Pendiente de clasificar")))</f>
        <v>Química</v>
      </c>
      <c r="N356" s="8" t="str">
        <f aca="false">IF(K356="FUERA","Fuera del marco",IF(K356="N/A","Sin marco",IFERROR(INDEX(Catalogo_TIMSS!$F$5:$F$105,MATCH(K356,Catalogo_TIMSS!$A$5:$A$105,0)),"Pendiente de clasificar")))</f>
        <v>Composición de la materia</v>
      </c>
      <c r="O356" s="8" t="str">
        <f aca="false">IF(L356="","",IFERROR(INDEX(Catalogo_TIMSS!$C$5:$C$105,MATCH(L356,Catalogo_TIMSS!$A$5:$A$105,0)),"?"))</f>
        <v/>
      </c>
      <c r="P356" s="8" t="s">
        <v>460</v>
      </c>
      <c r="Q356" s="27" t="s">
        <v>1881</v>
      </c>
      <c r="R356" s="27" t="s">
        <v>1882</v>
      </c>
      <c r="S356" s="28" t="n">
        <f aca="false">IFERROR(ISNUMBER(SEARCH("Conocer",$R356))/(ISNUMBER(SEARCH("Conocer",$R356))+ISNUMBER(SEARCH("Aplicar",$R356))+ISNUMBER(SEARCH("Razonar",$R356))),0)</f>
        <v>0.5</v>
      </c>
      <c r="T356" s="28" t="n">
        <f aca="false">IFERROR(ISNUMBER(SEARCH("Aplicar",$R356))/(ISNUMBER(SEARCH("Conocer",$R356))+ISNUMBER(SEARCH("Aplicar",$R356))+ISNUMBER(SEARCH("Razonar",$R356))),0)</f>
        <v>0</v>
      </c>
      <c r="U356" s="28" t="n">
        <f aca="false">IFERROR(ISNUMBER(SEARCH("Razonar",$R356))/(ISNUMBER(SEARCH("Conocer",$R356))+ISNUMBER(SEARCH("Aplicar",$R356))+ISNUMBER(SEARCH("Razonar",$R356))),0)</f>
        <v>0.5</v>
      </c>
      <c r="V356" s="8" t="s">
        <v>51</v>
      </c>
      <c r="W356" s="8" t="s">
        <v>67</v>
      </c>
    </row>
    <row r="357" customFormat="false" ht="15" hidden="false" customHeight="false" outlineLevel="0" collapsed="false">
      <c r="A357" s="8" t="s">
        <v>1883</v>
      </c>
      <c r="B357" s="8" t="n">
        <v>7</v>
      </c>
      <c r="C357" s="8" t="s">
        <v>411</v>
      </c>
      <c r="D357" s="8" t="s">
        <v>1864</v>
      </c>
      <c r="E357" s="8" t="s">
        <v>1865</v>
      </c>
      <c r="F357" s="8" t="n">
        <v>7</v>
      </c>
      <c r="G357" s="8" t="s">
        <v>1866</v>
      </c>
      <c r="H357" s="8" t="s">
        <v>1867</v>
      </c>
      <c r="I357" s="27" t="s">
        <v>1884</v>
      </c>
      <c r="J357" s="8" t="s">
        <v>185</v>
      </c>
      <c r="K357" s="8" t="s">
        <v>238</v>
      </c>
      <c r="L357" s="8" t="s">
        <v>235</v>
      </c>
      <c r="M357" s="8" t="str">
        <f aca="false">IF(K357="FUERA","Fuera del marco",IF(K357="N/A","Sin marco",IFERROR(INDEX(Catalogo_TIMSS!$C$5:$C$105,MATCH(K357,Catalogo_TIMSS!$A$5:$A$105,0)),"Pendiente de clasificar")))</f>
        <v>Química</v>
      </c>
      <c r="N357" s="8" t="str">
        <f aca="false">IF(K357="FUERA","Fuera del marco",IF(K357="N/A","Sin marco",IFERROR(INDEX(Catalogo_TIMSS!$F$5:$F$105,MATCH(K357,Catalogo_TIMSS!$A$5:$A$105,0)),"Pendiente de clasificar")))</f>
        <v>Cambio químico</v>
      </c>
      <c r="O357" s="8" t="str">
        <f aca="false">IF(L357="","",IFERROR(INDEX(Catalogo_TIMSS!$C$5:$C$105,MATCH(L357,Catalogo_TIMSS!$A$5:$A$105,0)),"?"))</f>
        <v>Química</v>
      </c>
      <c r="P357" s="8" t="s">
        <v>460</v>
      </c>
      <c r="Q357" s="27" t="s">
        <v>1873</v>
      </c>
      <c r="R357" s="27" t="s">
        <v>1874</v>
      </c>
      <c r="S357" s="28" t="n">
        <f aca="false">IFERROR(ISNUMBER(SEARCH("Conocer",$R357))/(ISNUMBER(SEARCH("Conocer",$R357))+ISNUMBER(SEARCH("Aplicar",$R357))+ISNUMBER(SEARCH("Razonar",$R357))),0)</f>
        <v>0</v>
      </c>
      <c r="T357" s="28" t="n">
        <f aca="false">IFERROR(ISNUMBER(SEARCH("Aplicar",$R357))/(ISNUMBER(SEARCH("Conocer",$R357))+ISNUMBER(SEARCH("Aplicar",$R357))+ISNUMBER(SEARCH("Razonar",$R357))),0)</f>
        <v>1</v>
      </c>
      <c r="U357" s="28" t="n">
        <f aca="false">IFERROR(ISNUMBER(SEARCH("Razonar",$R357))/(ISNUMBER(SEARCH("Conocer",$R357))+ISNUMBER(SEARCH("Aplicar",$R357))+ISNUMBER(SEARCH("Razonar",$R357))),0)</f>
        <v>0</v>
      </c>
      <c r="V357" s="8" t="s">
        <v>51</v>
      </c>
      <c r="W357" s="8" t="s">
        <v>67</v>
      </c>
    </row>
    <row r="358" customFormat="false" ht="15" hidden="false" customHeight="false" outlineLevel="0" collapsed="false">
      <c r="A358" s="8" t="s">
        <v>1885</v>
      </c>
      <c r="B358" s="8" t="n">
        <v>7</v>
      </c>
      <c r="C358" s="8" t="s">
        <v>411</v>
      </c>
      <c r="D358" s="8" t="s">
        <v>1864</v>
      </c>
      <c r="E358" s="8" t="s">
        <v>1865</v>
      </c>
      <c r="F358" s="8" t="n">
        <v>8</v>
      </c>
      <c r="G358" s="8" t="s">
        <v>1866</v>
      </c>
      <c r="H358" s="8" t="s">
        <v>1867</v>
      </c>
      <c r="I358" s="27" t="s">
        <v>1886</v>
      </c>
      <c r="J358" s="8" t="s">
        <v>185</v>
      </c>
      <c r="K358" s="8" t="s">
        <v>417</v>
      </c>
      <c r="L358" s="8"/>
      <c r="M358" s="8" t="str">
        <f aca="false">IF(K358="FUERA","Fuera del marco",IF(K358="N/A","Sin marco",IFERROR(INDEX(Catalogo_TIMSS!$C$5:$C$105,MATCH(K358,Catalogo_TIMSS!$A$5:$A$105,0)),"Pendiente de clasificar")))</f>
        <v>Fuera del marco</v>
      </c>
      <c r="N358" s="8" t="str">
        <f aca="false">IF(K358="FUERA","Fuera del marco",IF(K358="N/A","Sin marco",IFERROR(INDEX(Catalogo_TIMSS!$F$5:$F$105,MATCH(K358,Catalogo_TIMSS!$A$5:$A$105,0)),"Pendiente de clasificar")))</f>
        <v>Fuera del marco</v>
      </c>
      <c r="O358" s="8" t="str">
        <f aca="false">IF(L358="","",IFERROR(INDEX(Catalogo_TIMSS!$C$5:$C$105,MATCH(L358,Catalogo_TIMSS!$A$5:$A$105,0)),"?"))</f>
        <v/>
      </c>
      <c r="P358" s="8" t="s">
        <v>460</v>
      </c>
      <c r="Q358" s="27" t="s">
        <v>1877</v>
      </c>
      <c r="R358" s="27" t="s">
        <v>1878</v>
      </c>
      <c r="S358" s="28" t="n">
        <f aca="false">IFERROR(ISNUMBER(SEARCH("Conocer",$R358))/(ISNUMBER(SEARCH("Conocer",$R358))+ISNUMBER(SEARCH("Aplicar",$R358))+ISNUMBER(SEARCH("Razonar",$R358))),0)</f>
        <v>0</v>
      </c>
      <c r="T358" s="28" t="n">
        <f aca="false">IFERROR(ISNUMBER(SEARCH("Aplicar",$R358))/(ISNUMBER(SEARCH("Conocer",$R358))+ISNUMBER(SEARCH("Aplicar",$R358))+ISNUMBER(SEARCH("Razonar",$R358))),0)</f>
        <v>1</v>
      </c>
      <c r="U358" s="28" t="n">
        <f aca="false">IFERROR(ISNUMBER(SEARCH("Razonar",$R358))/(ISNUMBER(SEARCH("Conocer",$R358))+ISNUMBER(SEARCH("Aplicar",$R358))+ISNUMBER(SEARCH("Razonar",$R358))),0)</f>
        <v>0</v>
      </c>
      <c r="V358" s="8" t="s">
        <v>51</v>
      </c>
      <c r="W358" s="8" t="s">
        <v>67</v>
      </c>
    </row>
    <row r="359" customFormat="false" ht="15" hidden="false" customHeight="false" outlineLevel="0" collapsed="false">
      <c r="A359" s="8" t="s">
        <v>1887</v>
      </c>
      <c r="B359" s="8" t="n">
        <v>7</v>
      </c>
      <c r="C359" s="8" t="s">
        <v>411</v>
      </c>
      <c r="D359" s="8" t="s">
        <v>1864</v>
      </c>
      <c r="E359" s="8" t="s">
        <v>1865</v>
      </c>
      <c r="F359" s="8" t="n">
        <v>9</v>
      </c>
      <c r="G359" s="8" t="s">
        <v>1866</v>
      </c>
      <c r="H359" s="8" t="s">
        <v>1888</v>
      </c>
      <c r="I359" s="27" t="s">
        <v>1889</v>
      </c>
      <c r="J359" s="8" t="s">
        <v>185</v>
      </c>
      <c r="K359" s="8" t="s">
        <v>233</v>
      </c>
      <c r="L359" s="8" t="s">
        <v>222</v>
      </c>
      <c r="M359" s="8" t="str">
        <f aca="false">IF(K359="FUERA","Fuera del marco",IF(K359="N/A","Sin marco",IFERROR(INDEX(Catalogo_TIMSS!$C$5:$C$105,MATCH(K359,Catalogo_TIMSS!$A$5:$A$105,0)),"Pendiente de clasificar")))</f>
        <v>Química</v>
      </c>
      <c r="N359" s="8" t="str">
        <f aca="false">IF(K359="FUERA","Fuera del marco",IF(K359="N/A","Sin marco",IFERROR(INDEX(Catalogo_TIMSS!$F$5:$F$105,MATCH(K359,Catalogo_TIMSS!$A$5:$A$105,0)),"Pendiente de clasificar")))</f>
        <v>Propiedades de la materia</v>
      </c>
      <c r="O359" s="8" t="str">
        <f aca="false">IF(L359="","",IFERROR(INDEX(Catalogo_TIMSS!$C$5:$C$105,MATCH(L359,Catalogo_TIMSS!$A$5:$A$105,0)),"?"))</f>
        <v>Química</v>
      </c>
      <c r="P359" s="8" t="s">
        <v>418</v>
      </c>
      <c r="Q359" s="27" t="s">
        <v>1890</v>
      </c>
      <c r="R359" s="27" t="s">
        <v>1891</v>
      </c>
      <c r="S359" s="28" t="n">
        <f aca="false">IFERROR(ISNUMBER(SEARCH("Conocer",$R359))/(ISNUMBER(SEARCH("Conocer",$R359))+ISNUMBER(SEARCH("Aplicar",$R359))+ISNUMBER(SEARCH("Razonar",$R359))),0)</f>
        <v>0</v>
      </c>
      <c r="T359" s="28" t="n">
        <f aca="false">IFERROR(ISNUMBER(SEARCH("Aplicar",$R359))/(ISNUMBER(SEARCH("Conocer",$R359))+ISNUMBER(SEARCH("Aplicar",$R359))+ISNUMBER(SEARCH("Razonar",$R359))),0)</f>
        <v>1</v>
      </c>
      <c r="U359" s="28" t="n">
        <f aca="false">IFERROR(ISNUMBER(SEARCH("Razonar",$R359))/(ISNUMBER(SEARCH("Conocer",$R359))+ISNUMBER(SEARCH("Aplicar",$R359))+ISNUMBER(SEARCH("Razonar",$R359))),0)</f>
        <v>0</v>
      </c>
      <c r="V359" s="8" t="s">
        <v>51</v>
      </c>
      <c r="W359" s="8" t="s">
        <v>67</v>
      </c>
    </row>
    <row r="360" customFormat="false" ht="15" hidden="false" customHeight="false" outlineLevel="0" collapsed="false">
      <c r="A360" s="8" t="s">
        <v>1892</v>
      </c>
      <c r="B360" s="8" t="n">
        <v>7</v>
      </c>
      <c r="C360" s="8" t="s">
        <v>411</v>
      </c>
      <c r="D360" s="8" t="s">
        <v>1864</v>
      </c>
      <c r="E360" s="8" t="s">
        <v>1865</v>
      </c>
      <c r="F360" s="8" t="n">
        <v>10</v>
      </c>
      <c r="G360" s="8" t="s">
        <v>1866</v>
      </c>
      <c r="H360" s="8" t="s">
        <v>1888</v>
      </c>
      <c r="I360" s="27" t="s">
        <v>1893</v>
      </c>
      <c r="J360" s="8" t="s">
        <v>185</v>
      </c>
      <c r="K360" s="8" t="s">
        <v>238</v>
      </c>
      <c r="L360" s="8" t="s">
        <v>235</v>
      </c>
      <c r="M360" s="8" t="str">
        <f aca="false">IF(K360="FUERA","Fuera del marco",IF(K360="N/A","Sin marco",IFERROR(INDEX(Catalogo_TIMSS!$C$5:$C$105,MATCH(K360,Catalogo_TIMSS!$A$5:$A$105,0)),"Pendiente de clasificar")))</f>
        <v>Química</v>
      </c>
      <c r="N360" s="8" t="str">
        <f aca="false">IF(K360="FUERA","Fuera del marco",IF(K360="N/A","Sin marco",IFERROR(INDEX(Catalogo_TIMSS!$F$5:$F$105,MATCH(K360,Catalogo_TIMSS!$A$5:$A$105,0)),"Pendiente de clasificar")))</f>
        <v>Cambio químico</v>
      </c>
      <c r="O360" s="8" t="str">
        <f aca="false">IF(L360="","",IFERROR(INDEX(Catalogo_TIMSS!$C$5:$C$105,MATCH(L360,Catalogo_TIMSS!$A$5:$A$105,0)),"?"))</f>
        <v>Química</v>
      </c>
      <c r="P360" s="8" t="s">
        <v>460</v>
      </c>
      <c r="Q360" s="27" t="s">
        <v>1873</v>
      </c>
      <c r="R360" s="27" t="s">
        <v>1874</v>
      </c>
      <c r="S360" s="28" t="n">
        <f aca="false">IFERROR(ISNUMBER(SEARCH("Conocer",$R360))/(ISNUMBER(SEARCH("Conocer",$R360))+ISNUMBER(SEARCH("Aplicar",$R360))+ISNUMBER(SEARCH("Razonar",$R360))),0)</f>
        <v>0</v>
      </c>
      <c r="T360" s="28" t="n">
        <f aca="false">IFERROR(ISNUMBER(SEARCH("Aplicar",$R360))/(ISNUMBER(SEARCH("Conocer",$R360))+ISNUMBER(SEARCH("Aplicar",$R360))+ISNUMBER(SEARCH("Razonar",$R360))),0)</f>
        <v>1</v>
      </c>
      <c r="U360" s="28" t="n">
        <f aca="false">IFERROR(ISNUMBER(SEARCH("Razonar",$R360))/(ISNUMBER(SEARCH("Conocer",$R360))+ISNUMBER(SEARCH("Aplicar",$R360))+ISNUMBER(SEARCH("Razonar",$R360))),0)</f>
        <v>0</v>
      </c>
      <c r="V360" s="8" t="s">
        <v>51</v>
      </c>
      <c r="W360" s="8" t="s">
        <v>67</v>
      </c>
    </row>
    <row r="361" customFormat="false" ht="15" hidden="false" customHeight="false" outlineLevel="0" collapsed="false">
      <c r="A361" s="8" t="s">
        <v>1894</v>
      </c>
      <c r="B361" s="8" t="n">
        <v>7</v>
      </c>
      <c r="C361" s="8" t="s">
        <v>411</v>
      </c>
      <c r="D361" s="8" t="s">
        <v>1864</v>
      </c>
      <c r="E361" s="8" t="s">
        <v>1865</v>
      </c>
      <c r="F361" s="8" t="n">
        <v>11</v>
      </c>
      <c r="G361" s="8" t="s">
        <v>1866</v>
      </c>
      <c r="H361" s="8" t="s">
        <v>1888</v>
      </c>
      <c r="I361" s="27" t="s">
        <v>1895</v>
      </c>
      <c r="J361" s="8" t="s">
        <v>185</v>
      </c>
      <c r="K361" s="8" t="s">
        <v>417</v>
      </c>
      <c r="L361" s="8"/>
      <c r="M361" s="8" t="str">
        <f aca="false">IF(K361="FUERA","Fuera del marco",IF(K361="N/A","Sin marco",IFERROR(INDEX(Catalogo_TIMSS!$C$5:$C$105,MATCH(K361,Catalogo_TIMSS!$A$5:$A$105,0)),"Pendiente de clasificar")))</f>
        <v>Fuera del marco</v>
      </c>
      <c r="N361" s="8" t="str">
        <f aca="false">IF(K361="FUERA","Fuera del marco",IF(K361="N/A","Sin marco",IFERROR(INDEX(Catalogo_TIMSS!$F$5:$F$105,MATCH(K361,Catalogo_TIMSS!$A$5:$A$105,0)),"Pendiente de clasificar")))</f>
        <v>Fuera del marco</v>
      </c>
      <c r="O361" s="8" t="str">
        <f aca="false">IF(L361="","",IFERROR(INDEX(Catalogo_TIMSS!$C$5:$C$105,MATCH(L361,Catalogo_TIMSS!$A$5:$A$105,0)),"?"))</f>
        <v/>
      </c>
      <c r="P361" s="8" t="s">
        <v>460</v>
      </c>
      <c r="Q361" s="27" t="s">
        <v>1877</v>
      </c>
      <c r="R361" s="27" t="s">
        <v>1878</v>
      </c>
      <c r="S361" s="28" t="n">
        <f aca="false">IFERROR(ISNUMBER(SEARCH("Conocer",$R361))/(ISNUMBER(SEARCH("Conocer",$R361))+ISNUMBER(SEARCH("Aplicar",$R361))+ISNUMBER(SEARCH("Razonar",$R361))),0)</f>
        <v>0</v>
      </c>
      <c r="T361" s="28" t="n">
        <f aca="false">IFERROR(ISNUMBER(SEARCH("Aplicar",$R361))/(ISNUMBER(SEARCH("Conocer",$R361))+ISNUMBER(SEARCH("Aplicar",$R361))+ISNUMBER(SEARCH("Razonar",$R361))),0)</f>
        <v>1</v>
      </c>
      <c r="U361" s="28" t="n">
        <f aca="false">IFERROR(ISNUMBER(SEARCH("Razonar",$R361))/(ISNUMBER(SEARCH("Conocer",$R361))+ISNUMBER(SEARCH("Aplicar",$R361))+ISNUMBER(SEARCH("Razonar",$R361))),0)</f>
        <v>0</v>
      </c>
      <c r="V361" s="8" t="s">
        <v>51</v>
      </c>
      <c r="W361" s="8" t="s">
        <v>67</v>
      </c>
    </row>
    <row r="362" customFormat="false" ht="15" hidden="false" customHeight="false" outlineLevel="0" collapsed="false">
      <c r="A362" s="8" t="s">
        <v>1896</v>
      </c>
      <c r="B362" s="8" t="n">
        <v>7</v>
      </c>
      <c r="C362" s="8" t="s">
        <v>411</v>
      </c>
      <c r="D362" s="8" t="s">
        <v>1864</v>
      </c>
      <c r="E362" s="8" t="s">
        <v>1865</v>
      </c>
      <c r="F362" s="8" t="n">
        <v>12</v>
      </c>
      <c r="G362" s="8" t="s">
        <v>1866</v>
      </c>
      <c r="H362" s="8" t="s">
        <v>1888</v>
      </c>
      <c r="I362" s="27" t="s">
        <v>1897</v>
      </c>
      <c r="J362" s="8" t="s">
        <v>185</v>
      </c>
      <c r="K362" s="8" t="s">
        <v>222</v>
      </c>
      <c r="L362" s="8" t="s">
        <v>226</v>
      </c>
      <c r="M362" s="8" t="str">
        <f aca="false">IF(K362="FUERA","Fuera del marco",IF(K362="N/A","Sin marco",IFERROR(INDEX(Catalogo_TIMSS!$C$5:$C$105,MATCH(K362,Catalogo_TIMSS!$A$5:$A$105,0)),"Pendiente de clasificar")))</f>
        <v>Química</v>
      </c>
      <c r="N362" s="8" t="str">
        <f aca="false">IF(K362="FUERA","Fuera del marco",IF(K362="N/A","Sin marco",IFERROR(INDEX(Catalogo_TIMSS!$F$5:$F$105,MATCH(K362,Catalogo_TIMSS!$A$5:$A$105,0)),"Pendiente de clasificar")))</f>
        <v>Composición de la materia</v>
      </c>
      <c r="O362" s="8" t="str">
        <f aca="false">IF(L362="","",IFERROR(INDEX(Catalogo_TIMSS!$C$5:$C$105,MATCH(L362,Catalogo_TIMSS!$A$5:$A$105,0)),"?"))</f>
        <v>Química</v>
      </c>
      <c r="P362" s="8" t="s">
        <v>460</v>
      </c>
      <c r="Q362" s="27" t="s">
        <v>1898</v>
      </c>
      <c r="R362" s="27" t="s">
        <v>1870</v>
      </c>
      <c r="S362" s="28" t="n">
        <f aca="false">IFERROR(ISNUMBER(SEARCH("Conocer",$R362))/(ISNUMBER(SEARCH("Conocer",$R362))+ISNUMBER(SEARCH("Aplicar",$R362))+ISNUMBER(SEARCH("Razonar",$R362))),0)</f>
        <v>0.5</v>
      </c>
      <c r="T362" s="28" t="n">
        <f aca="false">IFERROR(ISNUMBER(SEARCH("Aplicar",$R362))/(ISNUMBER(SEARCH("Conocer",$R362))+ISNUMBER(SEARCH("Aplicar",$R362))+ISNUMBER(SEARCH("Razonar",$R362))),0)</f>
        <v>0.5</v>
      </c>
      <c r="U362" s="28" t="n">
        <f aca="false">IFERROR(ISNUMBER(SEARCH("Razonar",$R362))/(ISNUMBER(SEARCH("Conocer",$R362))+ISNUMBER(SEARCH("Aplicar",$R362))+ISNUMBER(SEARCH("Razonar",$R362))),0)</f>
        <v>0</v>
      </c>
      <c r="V362" s="8" t="s">
        <v>51</v>
      </c>
      <c r="W362" s="8" t="s">
        <v>67</v>
      </c>
    </row>
    <row r="363" customFormat="false" ht="15" hidden="false" customHeight="false" outlineLevel="0" collapsed="false">
      <c r="A363" s="8" t="s">
        <v>1899</v>
      </c>
      <c r="B363" s="8" t="n">
        <v>7</v>
      </c>
      <c r="C363" s="8" t="s">
        <v>411</v>
      </c>
      <c r="D363" s="8" t="s">
        <v>1864</v>
      </c>
      <c r="E363" s="8" t="s">
        <v>1865</v>
      </c>
      <c r="F363" s="8" t="n">
        <v>13</v>
      </c>
      <c r="G363" s="8" t="s">
        <v>1866</v>
      </c>
      <c r="H363" s="8" t="s">
        <v>1888</v>
      </c>
      <c r="I363" s="27" t="s">
        <v>1900</v>
      </c>
      <c r="J363" s="8" t="s">
        <v>185</v>
      </c>
      <c r="K363" s="8" t="s">
        <v>238</v>
      </c>
      <c r="L363" s="8" t="s">
        <v>235</v>
      </c>
      <c r="M363" s="8" t="str">
        <f aca="false">IF(K363="FUERA","Fuera del marco",IF(K363="N/A","Sin marco",IFERROR(INDEX(Catalogo_TIMSS!$C$5:$C$105,MATCH(K363,Catalogo_TIMSS!$A$5:$A$105,0)),"Pendiente de clasificar")))</f>
        <v>Química</v>
      </c>
      <c r="N363" s="8" t="str">
        <f aca="false">IF(K363="FUERA","Fuera del marco",IF(K363="N/A","Sin marco",IFERROR(INDEX(Catalogo_TIMSS!$F$5:$F$105,MATCH(K363,Catalogo_TIMSS!$A$5:$A$105,0)),"Pendiente de clasificar")))</f>
        <v>Cambio químico</v>
      </c>
      <c r="O363" s="8" t="str">
        <f aca="false">IF(L363="","",IFERROR(INDEX(Catalogo_TIMSS!$C$5:$C$105,MATCH(L363,Catalogo_TIMSS!$A$5:$A$105,0)),"?"))</f>
        <v>Química</v>
      </c>
      <c r="P363" s="8" t="s">
        <v>460</v>
      </c>
      <c r="Q363" s="27" t="s">
        <v>1873</v>
      </c>
      <c r="R363" s="27" t="s">
        <v>1874</v>
      </c>
      <c r="S363" s="28" t="n">
        <f aca="false">IFERROR(ISNUMBER(SEARCH("Conocer",$R363))/(ISNUMBER(SEARCH("Conocer",$R363))+ISNUMBER(SEARCH("Aplicar",$R363))+ISNUMBER(SEARCH("Razonar",$R363))),0)</f>
        <v>0</v>
      </c>
      <c r="T363" s="28" t="n">
        <f aca="false">IFERROR(ISNUMBER(SEARCH("Aplicar",$R363))/(ISNUMBER(SEARCH("Conocer",$R363))+ISNUMBER(SEARCH("Aplicar",$R363))+ISNUMBER(SEARCH("Razonar",$R363))),0)</f>
        <v>1</v>
      </c>
      <c r="U363" s="28" t="n">
        <f aca="false">IFERROR(ISNUMBER(SEARCH("Razonar",$R363))/(ISNUMBER(SEARCH("Conocer",$R363))+ISNUMBER(SEARCH("Aplicar",$R363))+ISNUMBER(SEARCH("Razonar",$R363))),0)</f>
        <v>0</v>
      </c>
      <c r="V363" s="8" t="s">
        <v>51</v>
      </c>
      <c r="W363" s="8" t="s">
        <v>67</v>
      </c>
    </row>
    <row r="364" customFormat="false" ht="15" hidden="false" customHeight="false" outlineLevel="0" collapsed="false">
      <c r="A364" s="8" t="s">
        <v>1901</v>
      </c>
      <c r="B364" s="8" t="n">
        <v>7</v>
      </c>
      <c r="C364" s="8" t="s">
        <v>411</v>
      </c>
      <c r="D364" s="8" t="s">
        <v>1864</v>
      </c>
      <c r="E364" s="8" t="s">
        <v>1865</v>
      </c>
      <c r="F364" s="8" t="n">
        <v>14</v>
      </c>
      <c r="G364" s="8" t="s">
        <v>1866</v>
      </c>
      <c r="H364" s="8" t="s">
        <v>1888</v>
      </c>
      <c r="I364" s="27" t="s">
        <v>1902</v>
      </c>
      <c r="J364" s="8" t="s">
        <v>185</v>
      </c>
      <c r="K364" s="8" t="s">
        <v>417</v>
      </c>
      <c r="L364" s="8"/>
      <c r="M364" s="8" t="str">
        <f aca="false">IF(K364="FUERA","Fuera del marco",IF(K364="N/A","Sin marco",IFERROR(INDEX(Catalogo_TIMSS!$C$5:$C$105,MATCH(K364,Catalogo_TIMSS!$A$5:$A$105,0)),"Pendiente de clasificar")))</f>
        <v>Fuera del marco</v>
      </c>
      <c r="N364" s="8" t="str">
        <f aca="false">IF(K364="FUERA","Fuera del marco",IF(K364="N/A","Sin marco",IFERROR(INDEX(Catalogo_TIMSS!$F$5:$F$105,MATCH(K364,Catalogo_TIMSS!$A$5:$A$105,0)),"Pendiente de clasificar")))</f>
        <v>Fuera del marco</v>
      </c>
      <c r="O364" s="8" t="str">
        <f aca="false">IF(L364="","",IFERROR(INDEX(Catalogo_TIMSS!$C$5:$C$105,MATCH(L364,Catalogo_TIMSS!$A$5:$A$105,0)),"?"))</f>
        <v/>
      </c>
      <c r="P364" s="8" t="s">
        <v>460</v>
      </c>
      <c r="Q364" s="27" t="s">
        <v>1877</v>
      </c>
      <c r="R364" s="27" t="s">
        <v>1878</v>
      </c>
      <c r="S364" s="28" t="n">
        <f aca="false">IFERROR(ISNUMBER(SEARCH("Conocer",$R364))/(ISNUMBER(SEARCH("Conocer",$R364))+ISNUMBER(SEARCH("Aplicar",$R364))+ISNUMBER(SEARCH("Razonar",$R364))),0)</f>
        <v>0</v>
      </c>
      <c r="T364" s="28" t="n">
        <f aca="false">IFERROR(ISNUMBER(SEARCH("Aplicar",$R364))/(ISNUMBER(SEARCH("Conocer",$R364))+ISNUMBER(SEARCH("Aplicar",$R364))+ISNUMBER(SEARCH("Razonar",$R364))),0)</f>
        <v>1</v>
      </c>
      <c r="U364" s="28" t="n">
        <f aca="false">IFERROR(ISNUMBER(SEARCH("Razonar",$R364))/(ISNUMBER(SEARCH("Conocer",$R364))+ISNUMBER(SEARCH("Aplicar",$R364))+ISNUMBER(SEARCH("Razonar",$R364))),0)</f>
        <v>0</v>
      </c>
      <c r="V364" s="8" t="s">
        <v>51</v>
      </c>
      <c r="W364" s="8" t="s">
        <v>67</v>
      </c>
    </row>
    <row r="365" customFormat="false" ht="15" hidden="false" customHeight="false" outlineLevel="0" collapsed="false">
      <c r="A365" s="8" t="s">
        <v>1903</v>
      </c>
      <c r="B365" s="8" t="n">
        <v>7</v>
      </c>
      <c r="C365" s="8" t="s">
        <v>411</v>
      </c>
      <c r="D365" s="8" t="s">
        <v>1864</v>
      </c>
      <c r="E365" s="8" t="s">
        <v>1904</v>
      </c>
      <c r="F365" s="8" t="n">
        <v>3</v>
      </c>
      <c r="G365" s="8" t="s">
        <v>1905</v>
      </c>
      <c r="H365" s="8" t="s">
        <v>1906</v>
      </c>
      <c r="I365" s="27" t="s">
        <v>1907</v>
      </c>
      <c r="J365" s="8" t="s">
        <v>185</v>
      </c>
      <c r="K365" s="8" t="s">
        <v>198</v>
      </c>
      <c r="L365" s="8"/>
      <c r="M365" s="8" t="str">
        <f aca="false">IF(K365="FUERA","Fuera del marco",IF(K365="N/A","Sin marco",IFERROR(INDEX(Catalogo_TIMSS!$C$5:$C$105,MATCH(K365,Catalogo_TIMSS!$A$5:$A$105,0)),"Pendiente de clasificar")))</f>
        <v>Biología</v>
      </c>
      <c r="N365" s="8" t="str">
        <f aca="false">IF(K365="FUERA","Fuera del marco",IF(K365="N/A","Sin marco",IFERROR(INDEX(Catalogo_TIMSS!$F$5:$F$105,MATCH(K365,Catalogo_TIMSS!$A$5:$A$105,0)),"Pendiente de clasificar")))</f>
        <v>Ciclos de vida, reproducción y herencia</v>
      </c>
      <c r="O365" s="8" t="str">
        <f aca="false">IF(L365="","",IFERROR(INDEX(Catalogo_TIMSS!$C$5:$C$105,MATCH(L365,Catalogo_TIMSS!$A$5:$A$105,0)),"?"))</f>
        <v/>
      </c>
      <c r="P365" s="8" t="s">
        <v>418</v>
      </c>
      <c r="Q365" s="27" t="s">
        <v>1908</v>
      </c>
      <c r="R365" s="27" t="s">
        <v>1211</v>
      </c>
      <c r="S365" s="28" t="n">
        <f aca="false">IFERROR(ISNUMBER(SEARCH("Conocer",$R365))/(ISNUMBER(SEARCH("Conocer",$R365))+ISNUMBER(SEARCH("Aplicar",$R365))+ISNUMBER(SEARCH("Razonar",$R365))),0)</f>
        <v>1</v>
      </c>
      <c r="T365" s="28" t="n">
        <f aca="false">IFERROR(ISNUMBER(SEARCH("Aplicar",$R365))/(ISNUMBER(SEARCH("Conocer",$R365))+ISNUMBER(SEARCH("Aplicar",$R365))+ISNUMBER(SEARCH("Razonar",$R365))),0)</f>
        <v>0</v>
      </c>
      <c r="U365" s="28" t="n">
        <f aca="false">IFERROR(ISNUMBER(SEARCH("Razonar",$R365))/(ISNUMBER(SEARCH("Conocer",$R365))+ISNUMBER(SEARCH("Aplicar",$R365))+ISNUMBER(SEARCH("Razonar",$R365))),0)</f>
        <v>0</v>
      </c>
      <c r="V365" s="8" t="s">
        <v>51</v>
      </c>
      <c r="W365" s="8" t="s">
        <v>67</v>
      </c>
    </row>
    <row r="366" customFormat="false" ht="15" hidden="false" customHeight="false" outlineLevel="0" collapsed="false">
      <c r="A366" s="8" t="s">
        <v>1909</v>
      </c>
      <c r="B366" s="8" t="n">
        <v>7</v>
      </c>
      <c r="C366" s="8" t="s">
        <v>411</v>
      </c>
      <c r="D366" s="8" t="s">
        <v>1864</v>
      </c>
      <c r="E366" s="8" t="s">
        <v>1904</v>
      </c>
      <c r="F366" s="8" t="n">
        <v>4</v>
      </c>
      <c r="G366" s="8" t="s">
        <v>1905</v>
      </c>
      <c r="H366" s="8" t="s">
        <v>1906</v>
      </c>
      <c r="I366" s="27" t="s">
        <v>1910</v>
      </c>
      <c r="J366" s="8" t="s">
        <v>185</v>
      </c>
      <c r="K366" s="8" t="s">
        <v>198</v>
      </c>
      <c r="L366" s="8"/>
      <c r="M366" s="8" t="str">
        <f aca="false">IF(K366="FUERA","Fuera del marco",IF(K366="N/A","Sin marco",IFERROR(INDEX(Catalogo_TIMSS!$C$5:$C$105,MATCH(K366,Catalogo_TIMSS!$A$5:$A$105,0)),"Pendiente de clasificar")))</f>
        <v>Biología</v>
      </c>
      <c r="N366" s="8" t="str">
        <f aca="false">IF(K366="FUERA","Fuera del marco",IF(K366="N/A","Sin marco",IFERROR(INDEX(Catalogo_TIMSS!$F$5:$F$105,MATCH(K366,Catalogo_TIMSS!$A$5:$A$105,0)),"Pendiente de clasificar")))</f>
        <v>Ciclos de vida, reproducción y herencia</v>
      </c>
      <c r="O366" s="8" t="str">
        <f aca="false">IF(L366="","",IFERROR(INDEX(Catalogo_TIMSS!$C$5:$C$105,MATCH(L366,Catalogo_TIMSS!$A$5:$A$105,0)),"?"))</f>
        <v/>
      </c>
      <c r="P366" s="8" t="s">
        <v>460</v>
      </c>
      <c r="Q366" s="27" t="s">
        <v>1911</v>
      </c>
      <c r="R366" s="27" t="s">
        <v>1912</v>
      </c>
      <c r="S366" s="28" t="n">
        <f aca="false">IFERROR(ISNUMBER(SEARCH("Conocer",$R366))/(ISNUMBER(SEARCH("Conocer",$R366))+ISNUMBER(SEARCH("Aplicar",$R366))+ISNUMBER(SEARCH("Razonar",$R366))),0)</f>
        <v>0</v>
      </c>
      <c r="T366" s="28" t="n">
        <f aca="false">IFERROR(ISNUMBER(SEARCH("Aplicar",$R366))/(ISNUMBER(SEARCH("Conocer",$R366))+ISNUMBER(SEARCH("Aplicar",$R366))+ISNUMBER(SEARCH("Razonar",$R366))),0)</f>
        <v>1</v>
      </c>
      <c r="U366" s="28" t="n">
        <f aca="false">IFERROR(ISNUMBER(SEARCH("Razonar",$R366))/(ISNUMBER(SEARCH("Conocer",$R366))+ISNUMBER(SEARCH("Aplicar",$R366))+ISNUMBER(SEARCH("Razonar",$R366))),0)</f>
        <v>0</v>
      </c>
      <c r="V366" s="8" t="s">
        <v>51</v>
      </c>
      <c r="W366" s="8" t="s">
        <v>67</v>
      </c>
    </row>
    <row r="367" customFormat="false" ht="15" hidden="false" customHeight="false" outlineLevel="0" collapsed="false">
      <c r="A367" s="8" t="s">
        <v>1913</v>
      </c>
      <c r="B367" s="8" t="n">
        <v>7</v>
      </c>
      <c r="C367" s="8" t="s">
        <v>411</v>
      </c>
      <c r="D367" s="8" t="s">
        <v>1864</v>
      </c>
      <c r="E367" s="8" t="s">
        <v>1904</v>
      </c>
      <c r="F367" s="8" t="n">
        <v>5</v>
      </c>
      <c r="G367" s="8" t="s">
        <v>1905</v>
      </c>
      <c r="H367" s="8" t="s">
        <v>1906</v>
      </c>
      <c r="I367" s="27" t="s">
        <v>1914</v>
      </c>
      <c r="J367" s="8" t="s">
        <v>185</v>
      </c>
      <c r="K367" s="8" t="s">
        <v>198</v>
      </c>
      <c r="L367" s="8"/>
      <c r="M367" s="8" t="str">
        <f aca="false">IF(K367="FUERA","Fuera del marco",IF(K367="N/A","Sin marco",IFERROR(INDEX(Catalogo_TIMSS!$C$5:$C$105,MATCH(K367,Catalogo_TIMSS!$A$5:$A$105,0)),"Pendiente de clasificar")))</f>
        <v>Biología</v>
      </c>
      <c r="N367" s="8" t="str">
        <f aca="false">IF(K367="FUERA","Fuera del marco",IF(K367="N/A","Sin marco",IFERROR(INDEX(Catalogo_TIMSS!$F$5:$F$105,MATCH(K367,Catalogo_TIMSS!$A$5:$A$105,0)),"Pendiente de clasificar")))</f>
        <v>Ciclos de vida, reproducción y herencia</v>
      </c>
      <c r="O367" s="8" t="str">
        <f aca="false">IF(L367="","",IFERROR(INDEX(Catalogo_TIMSS!$C$5:$C$105,MATCH(L367,Catalogo_TIMSS!$A$5:$A$105,0)),"?"))</f>
        <v/>
      </c>
      <c r="P367" s="8" t="s">
        <v>460</v>
      </c>
      <c r="Q367" s="27" t="s">
        <v>1915</v>
      </c>
      <c r="R367" s="27" t="s">
        <v>1916</v>
      </c>
      <c r="S367" s="28" t="n">
        <f aca="false">IFERROR(ISNUMBER(SEARCH("Conocer",$R367))/(ISNUMBER(SEARCH("Conocer",$R367))+ISNUMBER(SEARCH("Aplicar",$R367))+ISNUMBER(SEARCH("Razonar",$R367))),0)</f>
        <v>0</v>
      </c>
      <c r="T367" s="28" t="n">
        <f aca="false">IFERROR(ISNUMBER(SEARCH("Aplicar",$R367))/(ISNUMBER(SEARCH("Conocer",$R367))+ISNUMBER(SEARCH("Aplicar",$R367))+ISNUMBER(SEARCH("Razonar",$R367))),0)</f>
        <v>0</v>
      </c>
      <c r="U367" s="28" t="n">
        <f aca="false">IFERROR(ISNUMBER(SEARCH("Razonar",$R367))/(ISNUMBER(SEARCH("Conocer",$R367))+ISNUMBER(SEARCH("Aplicar",$R367))+ISNUMBER(SEARCH("Razonar",$R367))),0)</f>
        <v>1</v>
      </c>
      <c r="V367" s="8" t="s">
        <v>51</v>
      </c>
      <c r="W367" s="8" t="s">
        <v>67</v>
      </c>
    </row>
    <row r="368" customFormat="false" ht="15" hidden="false" customHeight="false" outlineLevel="0" collapsed="false">
      <c r="A368" s="8" t="s">
        <v>1917</v>
      </c>
      <c r="B368" s="8" t="n">
        <v>7</v>
      </c>
      <c r="C368" s="8" t="s">
        <v>411</v>
      </c>
      <c r="D368" s="8" t="s">
        <v>1864</v>
      </c>
      <c r="E368" s="8" t="s">
        <v>1904</v>
      </c>
      <c r="F368" s="8" t="n">
        <v>6</v>
      </c>
      <c r="G368" s="8" t="s">
        <v>1905</v>
      </c>
      <c r="H368" s="8" t="s">
        <v>1918</v>
      </c>
      <c r="I368" s="27" t="s">
        <v>1919</v>
      </c>
      <c r="J368" s="8" t="s">
        <v>185</v>
      </c>
      <c r="K368" s="8" t="s">
        <v>198</v>
      </c>
      <c r="L368" s="8"/>
      <c r="M368" s="8" t="str">
        <f aca="false">IF(K368="FUERA","Fuera del marco",IF(K368="N/A","Sin marco",IFERROR(INDEX(Catalogo_TIMSS!$C$5:$C$105,MATCH(K368,Catalogo_TIMSS!$A$5:$A$105,0)),"Pendiente de clasificar")))</f>
        <v>Biología</v>
      </c>
      <c r="N368" s="8" t="str">
        <f aca="false">IF(K368="FUERA","Fuera del marco",IF(K368="N/A","Sin marco",IFERROR(INDEX(Catalogo_TIMSS!$F$5:$F$105,MATCH(K368,Catalogo_TIMSS!$A$5:$A$105,0)),"Pendiente de clasificar")))</f>
        <v>Ciclos de vida, reproducción y herencia</v>
      </c>
      <c r="O368" s="8" t="str">
        <f aca="false">IF(L368="","",IFERROR(INDEX(Catalogo_TIMSS!$C$5:$C$105,MATCH(L368,Catalogo_TIMSS!$A$5:$A$105,0)),"?"))</f>
        <v/>
      </c>
      <c r="P368" s="8" t="s">
        <v>460</v>
      </c>
      <c r="Q368" s="27" t="s">
        <v>1920</v>
      </c>
      <c r="R368" s="27" t="s">
        <v>1921</v>
      </c>
      <c r="S368" s="28" t="n">
        <f aca="false">IFERROR(ISNUMBER(SEARCH("Conocer",$R368))/(ISNUMBER(SEARCH("Conocer",$R368))+ISNUMBER(SEARCH("Aplicar",$R368))+ISNUMBER(SEARCH("Razonar",$R368))),0)</f>
        <v>0</v>
      </c>
      <c r="T368" s="28" t="n">
        <f aca="false">IFERROR(ISNUMBER(SEARCH("Aplicar",$R368))/(ISNUMBER(SEARCH("Conocer",$R368))+ISNUMBER(SEARCH("Aplicar",$R368))+ISNUMBER(SEARCH("Razonar",$R368))),0)</f>
        <v>0</v>
      </c>
      <c r="U368" s="28" t="n">
        <f aca="false">IFERROR(ISNUMBER(SEARCH("Razonar",$R368))/(ISNUMBER(SEARCH("Conocer",$R368))+ISNUMBER(SEARCH("Aplicar",$R368))+ISNUMBER(SEARCH("Razonar",$R368))),0)</f>
        <v>1</v>
      </c>
      <c r="V368" s="8" t="s">
        <v>51</v>
      </c>
      <c r="W368" s="8" t="s">
        <v>67</v>
      </c>
    </row>
    <row r="369" customFormat="false" ht="15" hidden="false" customHeight="false" outlineLevel="0" collapsed="false">
      <c r="A369" s="8" t="s">
        <v>1922</v>
      </c>
      <c r="B369" s="8" t="n">
        <v>7</v>
      </c>
      <c r="C369" s="8" t="s">
        <v>411</v>
      </c>
      <c r="D369" s="8" t="s">
        <v>1864</v>
      </c>
      <c r="E369" s="8" t="s">
        <v>1904</v>
      </c>
      <c r="F369" s="8" t="n">
        <v>7</v>
      </c>
      <c r="G369" s="8" t="s">
        <v>1905</v>
      </c>
      <c r="H369" s="8" t="s">
        <v>1918</v>
      </c>
      <c r="I369" s="27" t="s">
        <v>1923</v>
      </c>
      <c r="J369" s="8" t="s">
        <v>185</v>
      </c>
      <c r="K369" s="8" t="s">
        <v>198</v>
      </c>
      <c r="L369" s="8"/>
      <c r="M369" s="8" t="str">
        <f aca="false">IF(K369="FUERA","Fuera del marco",IF(K369="N/A","Sin marco",IFERROR(INDEX(Catalogo_TIMSS!$C$5:$C$105,MATCH(K369,Catalogo_TIMSS!$A$5:$A$105,0)),"Pendiente de clasificar")))</f>
        <v>Biología</v>
      </c>
      <c r="N369" s="8" t="str">
        <f aca="false">IF(K369="FUERA","Fuera del marco",IF(K369="N/A","Sin marco",IFERROR(INDEX(Catalogo_TIMSS!$F$5:$F$105,MATCH(K369,Catalogo_TIMSS!$A$5:$A$105,0)),"Pendiente de clasificar")))</f>
        <v>Ciclos de vida, reproducción y herencia</v>
      </c>
      <c r="O369" s="8" t="str">
        <f aca="false">IF(L369="","",IFERROR(INDEX(Catalogo_TIMSS!$C$5:$C$105,MATCH(L369,Catalogo_TIMSS!$A$5:$A$105,0)),"?"))</f>
        <v/>
      </c>
      <c r="P369" s="8" t="s">
        <v>460</v>
      </c>
      <c r="Q369" s="27" t="s">
        <v>1924</v>
      </c>
      <c r="R369" s="27" t="s">
        <v>642</v>
      </c>
      <c r="S369" s="28" t="n">
        <f aca="false">IFERROR(ISNUMBER(SEARCH("Conocer",$R369))/(ISNUMBER(SEARCH("Conocer",$R369))+ISNUMBER(SEARCH("Aplicar",$R369))+ISNUMBER(SEARCH("Razonar",$R369))),0)</f>
        <v>0</v>
      </c>
      <c r="T369" s="28" t="n">
        <f aca="false">IFERROR(ISNUMBER(SEARCH("Aplicar",$R369))/(ISNUMBER(SEARCH("Conocer",$R369))+ISNUMBER(SEARCH("Aplicar",$R369))+ISNUMBER(SEARCH("Razonar",$R369))),0)</f>
        <v>1</v>
      </c>
      <c r="U369" s="28" t="n">
        <f aca="false">IFERROR(ISNUMBER(SEARCH("Razonar",$R369))/(ISNUMBER(SEARCH("Conocer",$R369))+ISNUMBER(SEARCH("Aplicar",$R369))+ISNUMBER(SEARCH("Razonar",$R369))),0)</f>
        <v>0</v>
      </c>
      <c r="V369" s="8" t="s">
        <v>51</v>
      </c>
      <c r="W369" s="8" t="s">
        <v>67</v>
      </c>
    </row>
    <row r="370" customFormat="false" ht="15" hidden="false" customHeight="false" outlineLevel="0" collapsed="false">
      <c r="A370" s="8" t="s">
        <v>1925</v>
      </c>
      <c r="B370" s="8" t="n">
        <v>7</v>
      </c>
      <c r="C370" s="8" t="s">
        <v>411</v>
      </c>
      <c r="D370" s="8" t="s">
        <v>1864</v>
      </c>
      <c r="E370" s="8" t="s">
        <v>1904</v>
      </c>
      <c r="F370" s="8" t="n">
        <v>8</v>
      </c>
      <c r="G370" s="8" t="s">
        <v>1905</v>
      </c>
      <c r="H370" s="8" t="s">
        <v>1918</v>
      </c>
      <c r="I370" s="27" t="s">
        <v>1926</v>
      </c>
      <c r="J370" s="8" t="s">
        <v>185</v>
      </c>
      <c r="K370" s="8" t="s">
        <v>198</v>
      </c>
      <c r="L370" s="8"/>
      <c r="M370" s="8" t="str">
        <f aca="false">IF(K370="FUERA","Fuera del marco",IF(K370="N/A","Sin marco",IFERROR(INDEX(Catalogo_TIMSS!$C$5:$C$105,MATCH(K370,Catalogo_TIMSS!$A$5:$A$105,0)),"Pendiente de clasificar")))</f>
        <v>Biología</v>
      </c>
      <c r="N370" s="8" t="str">
        <f aca="false">IF(K370="FUERA","Fuera del marco",IF(K370="N/A","Sin marco",IFERROR(INDEX(Catalogo_TIMSS!$F$5:$F$105,MATCH(K370,Catalogo_TIMSS!$A$5:$A$105,0)),"Pendiente de clasificar")))</f>
        <v>Ciclos de vida, reproducción y herencia</v>
      </c>
      <c r="O370" s="8" t="str">
        <f aca="false">IF(L370="","",IFERROR(INDEX(Catalogo_TIMSS!$C$5:$C$105,MATCH(L370,Catalogo_TIMSS!$A$5:$A$105,0)),"?"))</f>
        <v/>
      </c>
      <c r="P370" s="8" t="s">
        <v>460</v>
      </c>
      <c r="Q370" s="27" t="s">
        <v>1927</v>
      </c>
      <c r="R370" s="27" t="s">
        <v>1928</v>
      </c>
      <c r="S370" s="28" t="n">
        <f aca="false">IFERROR(ISNUMBER(SEARCH("Conocer",$R370))/(ISNUMBER(SEARCH("Conocer",$R370))+ISNUMBER(SEARCH("Aplicar",$R370))+ISNUMBER(SEARCH("Razonar",$R370))),0)</f>
        <v>0</v>
      </c>
      <c r="T370" s="28" t="n">
        <f aca="false">IFERROR(ISNUMBER(SEARCH("Aplicar",$R370))/(ISNUMBER(SEARCH("Conocer",$R370))+ISNUMBER(SEARCH("Aplicar",$R370))+ISNUMBER(SEARCH("Razonar",$R370))),0)</f>
        <v>1</v>
      </c>
      <c r="U370" s="28" t="n">
        <f aca="false">IFERROR(ISNUMBER(SEARCH("Razonar",$R370))/(ISNUMBER(SEARCH("Conocer",$R370))+ISNUMBER(SEARCH("Aplicar",$R370))+ISNUMBER(SEARCH("Razonar",$R370))),0)</f>
        <v>0</v>
      </c>
      <c r="V370" s="8" t="s">
        <v>51</v>
      </c>
      <c r="W370" s="8" t="s">
        <v>67</v>
      </c>
    </row>
    <row r="371" customFormat="false" ht="15" hidden="false" customHeight="false" outlineLevel="0" collapsed="false">
      <c r="A371" s="8" t="s">
        <v>1929</v>
      </c>
      <c r="B371" s="8" t="n">
        <v>7</v>
      </c>
      <c r="C371" s="8" t="s">
        <v>411</v>
      </c>
      <c r="D371" s="8" t="s">
        <v>1864</v>
      </c>
      <c r="E371" s="8" t="s">
        <v>1904</v>
      </c>
      <c r="F371" s="8" t="n">
        <v>9</v>
      </c>
      <c r="G371" s="8" t="s">
        <v>1905</v>
      </c>
      <c r="H371" s="8" t="s">
        <v>1930</v>
      </c>
      <c r="I371" s="27" t="s">
        <v>1931</v>
      </c>
      <c r="J371" s="8" t="s">
        <v>185</v>
      </c>
      <c r="K371" s="8" t="s">
        <v>198</v>
      </c>
      <c r="L371" s="8"/>
      <c r="M371" s="8" t="str">
        <f aca="false">IF(K371="FUERA","Fuera del marco",IF(K371="N/A","Sin marco",IFERROR(INDEX(Catalogo_TIMSS!$C$5:$C$105,MATCH(K371,Catalogo_TIMSS!$A$5:$A$105,0)),"Pendiente de clasificar")))</f>
        <v>Biología</v>
      </c>
      <c r="N371" s="8" t="str">
        <f aca="false">IF(K371="FUERA","Fuera del marco",IF(K371="N/A","Sin marco",IFERROR(INDEX(Catalogo_TIMSS!$F$5:$F$105,MATCH(K371,Catalogo_TIMSS!$A$5:$A$105,0)),"Pendiente de clasificar")))</f>
        <v>Ciclos de vida, reproducción y herencia</v>
      </c>
      <c r="O371" s="8" t="str">
        <f aca="false">IF(L371="","",IFERROR(INDEX(Catalogo_TIMSS!$C$5:$C$105,MATCH(L371,Catalogo_TIMSS!$A$5:$A$105,0)),"?"))</f>
        <v/>
      </c>
      <c r="P371" s="8" t="s">
        <v>418</v>
      </c>
      <c r="Q371" s="27" t="s">
        <v>1932</v>
      </c>
      <c r="R371" s="27" t="s">
        <v>1032</v>
      </c>
      <c r="S371" s="28" t="n">
        <f aca="false">IFERROR(ISNUMBER(SEARCH("Conocer",$R371))/(ISNUMBER(SEARCH("Conocer",$R371))+ISNUMBER(SEARCH("Aplicar",$R371))+ISNUMBER(SEARCH("Razonar",$R371))),0)</f>
        <v>1</v>
      </c>
      <c r="T371" s="28" t="n">
        <f aca="false">IFERROR(ISNUMBER(SEARCH("Aplicar",$R371))/(ISNUMBER(SEARCH("Conocer",$R371))+ISNUMBER(SEARCH("Aplicar",$R371))+ISNUMBER(SEARCH("Razonar",$R371))),0)</f>
        <v>0</v>
      </c>
      <c r="U371" s="28" t="n">
        <f aca="false">IFERROR(ISNUMBER(SEARCH("Razonar",$R371))/(ISNUMBER(SEARCH("Conocer",$R371))+ISNUMBER(SEARCH("Aplicar",$R371))+ISNUMBER(SEARCH("Razonar",$R371))),0)</f>
        <v>0</v>
      </c>
      <c r="V371" s="8" t="s">
        <v>51</v>
      </c>
      <c r="W371" s="8" t="s">
        <v>67</v>
      </c>
    </row>
    <row r="372" customFormat="false" ht="15" hidden="false" customHeight="false" outlineLevel="0" collapsed="false">
      <c r="A372" s="8" t="s">
        <v>1933</v>
      </c>
      <c r="B372" s="8" t="n">
        <v>7</v>
      </c>
      <c r="C372" s="8" t="s">
        <v>411</v>
      </c>
      <c r="D372" s="8" t="s">
        <v>1864</v>
      </c>
      <c r="E372" s="8" t="s">
        <v>1904</v>
      </c>
      <c r="F372" s="8" t="n">
        <v>10</v>
      </c>
      <c r="G372" s="8" t="s">
        <v>1905</v>
      </c>
      <c r="H372" s="8" t="s">
        <v>1930</v>
      </c>
      <c r="I372" s="27" t="s">
        <v>1934</v>
      </c>
      <c r="J372" s="8" t="s">
        <v>185</v>
      </c>
      <c r="K372" s="8" t="s">
        <v>198</v>
      </c>
      <c r="L372" s="8" t="s">
        <v>200</v>
      </c>
      <c r="M372" s="8" t="str">
        <f aca="false">IF(K372="FUERA","Fuera del marco",IF(K372="N/A","Sin marco",IFERROR(INDEX(Catalogo_TIMSS!$C$5:$C$105,MATCH(K372,Catalogo_TIMSS!$A$5:$A$105,0)),"Pendiente de clasificar")))</f>
        <v>Biología</v>
      </c>
      <c r="N372" s="8" t="str">
        <f aca="false">IF(K372="FUERA","Fuera del marco",IF(K372="N/A","Sin marco",IFERROR(INDEX(Catalogo_TIMSS!$F$5:$F$105,MATCH(K372,Catalogo_TIMSS!$A$5:$A$105,0)),"Pendiente de clasificar")))</f>
        <v>Ciclos de vida, reproducción y herencia</v>
      </c>
      <c r="O372" s="8" t="str">
        <f aca="false">IF(L372="","",IFERROR(INDEX(Catalogo_TIMSS!$C$5:$C$105,MATCH(L372,Catalogo_TIMSS!$A$5:$A$105,0)),"?"))</f>
        <v>Biología</v>
      </c>
      <c r="P372" s="8" t="s">
        <v>460</v>
      </c>
      <c r="Q372" s="27" t="s">
        <v>1935</v>
      </c>
      <c r="R372" s="27" t="s">
        <v>1936</v>
      </c>
      <c r="S372" s="28" t="n">
        <f aca="false">IFERROR(ISNUMBER(SEARCH("Conocer",$R372))/(ISNUMBER(SEARCH("Conocer",$R372))+ISNUMBER(SEARCH("Aplicar",$R372))+ISNUMBER(SEARCH("Razonar",$R372))),0)</f>
        <v>0</v>
      </c>
      <c r="T372" s="28" t="n">
        <f aca="false">IFERROR(ISNUMBER(SEARCH("Aplicar",$R372))/(ISNUMBER(SEARCH("Conocer",$R372))+ISNUMBER(SEARCH("Aplicar",$R372))+ISNUMBER(SEARCH("Razonar",$R372))),0)</f>
        <v>1</v>
      </c>
      <c r="U372" s="28" t="n">
        <f aca="false">IFERROR(ISNUMBER(SEARCH("Razonar",$R372))/(ISNUMBER(SEARCH("Conocer",$R372))+ISNUMBER(SEARCH("Aplicar",$R372))+ISNUMBER(SEARCH("Razonar",$R372))),0)</f>
        <v>0</v>
      </c>
      <c r="V372" s="8" t="s">
        <v>51</v>
      </c>
      <c r="W372" s="8" t="s">
        <v>67</v>
      </c>
    </row>
    <row r="373" customFormat="false" ht="15" hidden="false" customHeight="false" outlineLevel="0" collapsed="false">
      <c r="A373" s="8" t="s">
        <v>1937</v>
      </c>
      <c r="B373" s="8" t="n">
        <v>7</v>
      </c>
      <c r="C373" s="8" t="s">
        <v>411</v>
      </c>
      <c r="D373" s="8" t="s">
        <v>1864</v>
      </c>
      <c r="E373" s="8" t="s">
        <v>1904</v>
      </c>
      <c r="F373" s="8" t="n">
        <v>11</v>
      </c>
      <c r="G373" s="8" t="s">
        <v>1905</v>
      </c>
      <c r="H373" s="8" t="s">
        <v>1930</v>
      </c>
      <c r="I373" s="27" t="s">
        <v>1938</v>
      </c>
      <c r="J373" s="8" t="s">
        <v>185</v>
      </c>
      <c r="K373" s="8" t="s">
        <v>198</v>
      </c>
      <c r="L373" s="8"/>
      <c r="M373" s="8" t="str">
        <f aca="false">IF(K373="FUERA","Fuera del marco",IF(K373="N/A","Sin marco",IFERROR(INDEX(Catalogo_TIMSS!$C$5:$C$105,MATCH(K373,Catalogo_TIMSS!$A$5:$A$105,0)),"Pendiente de clasificar")))</f>
        <v>Biología</v>
      </c>
      <c r="N373" s="8" t="str">
        <f aca="false">IF(K373="FUERA","Fuera del marco",IF(K373="N/A","Sin marco",IFERROR(INDEX(Catalogo_TIMSS!$F$5:$F$105,MATCH(K373,Catalogo_TIMSS!$A$5:$A$105,0)),"Pendiente de clasificar")))</f>
        <v>Ciclos de vida, reproducción y herencia</v>
      </c>
      <c r="O373" s="8" t="str">
        <f aca="false">IF(L373="","",IFERROR(INDEX(Catalogo_TIMSS!$C$5:$C$105,MATCH(L373,Catalogo_TIMSS!$A$5:$A$105,0)),"?"))</f>
        <v/>
      </c>
      <c r="P373" s="8" t="s">
        <v>460</v>
      </c>
      <c r="Q373" s="27" t="s">
        <v>1939</v>
      </c>
      <c r="R373" s="27" t="s">
        <v>1940</v>
      </c>
      <c r="S373" s="28" t="n">
        <f aca="false">IFERROR(ISNUMBER(SEARCH("Conocer",$R373))/(ISNUMBER(SEARCH("Conocer",$R373))+ISNUMBER(SEARCH("Aplicar",$R373))+ISNUMBER(SEARCH("Razonar",$R373))),0)</f>
        <v>0</v>
      </c>
      <c r="T373" s="28" t="n">
        <f aca="false">IFERROR(ISNUMBER(SEARCH("Aplicar",$R373))/(ISNUMBER(SEARCH("Conocer",$R373))+ISNUMBER(SEARCH("Aplicar",$R373))+ISNUMBER(SEARCH("Razonar",$R373))),0)</f>
        <v>0</v>
      </c>
      <c r="U373" s="28" t="n">
        <f aca="false">IFERROR(ISNUMBER(SEARCH("Razonar",$R373))/(ISNUMBER(SEARCH("Conocer",$R373))+ISNUMBER(SEARCH("Aplicar",$R373))+ISNUMBER(SEARCH("Razonar",$R373))),0)</f>
        <v>1</v>
      </c>
      <c r="V373" s="8" t="s">
        <v>51</v>
      </c>
      <c r="W373" s="8" t="s">
        <v>67</v>
      </c>
    </row>
    <row r="374" customFormat="false" ht="15" hidden="false" customHeight="false" outlineLevel="0" collapsed="false">
      <c r="A374" s="8" t="s">
        <v>1941</v>
      </c>
      <c r="B374" s="8" t="n">
        <v>7</v>
      </c>
      <c r="C374" s="8" t="s">
        <v>411</v>
      </c>
      <c r="D374" s="8" t="s">
        <v>1864</v>
      </c>
      <c r="E374" s="8" t="s">
        <v>1904</v>
      </c>
      <c r="F374" s="8" t="n">
        <v>12</v>
      </c>
      <c r="G374" s="8" t="s">
        <v>1905</v>
      </c>
      <c r="H374" s="8" t="s">
        <v>1942</v>
      </c>
      <c r="I374" s="27" t="s">
        <v>1943</v>
      </c>
      <c r="J374" s="8" t="s">
        <v>185</v>
      </c>
      <c r="K374" s="8" t="s">
        <v>198</v>
      </c>
      <c r="L374" s="8"/>
      <c r="M374" s="8" t="str">
        <f aca="false">IF(K374="FUERA","Fuera del marco",IF(K374="N/A","Sin marco",IFERROR(INDEX(Catalogo_TIMSS!$C$5:$C$105,MATCH(K374,Catalogo_TIMSS!$A$5:$A$105,0)),"Pendiente de clasificar")))</f>
        <v>Biología</v>
      </c>
      <c r="N374" s="8" t="str">
        <f aca="false">IF(K374="FUERA","Fuera del marco",IF(K374="N/A","Sin marco",IFERROR(INDEX(Catalogo_TIMSS!$F$5:$F$105,MATCH(K374,Catalogo_TIMSS!$A$5:$A$105,0)),"Pendiente de clasificar")))</f>
        <v>Ciclos de vida, reproducción y herencia</v>
      </c>
      <c r="O374" s="8" t="str">
        <f aca="false">IF(L374="","",IFERROR(INDEX(Catalogo_TIMSS!$C$5:$C$105,MATCH(L374,Catalogo_TIMSS!$A$5:$A$105,0)),"?"))</f>
        <v/>
      </c>
      <c r="P374" s="8" t="s">
        <v>418</v>
      </c>
      <c r="Q374" s="27" t="s">
        <v>1944</v>
      </c>
      <c r="R374" s="27" t="s">
        <v>1945</v>
      </c>
      <c r="S374" s="28" t="n">
        <f aca="false">IFERROR(ISNUMBER(SEARCH("Conocer",$R374))/(ISNUMBER(SEARCH("Conocer",$R374))+ISNUMBER(SEARCH("Aplicar",$R374))+ISNUMBER(SEARCH("Razonar",$R374))),0)</f>
        <v>0</v>
      </c>
      <c r="T374" s="28" t="n">
        <f aca="false">IFERROR(ISNUMBER(SEARCH("Aplicar",$R374))/(ISNUMBER(SEARCH("Conocer",$R374))+ISNUMBER(SEARCH("Aplicar",$R374))+ISNUMBER(SEARCH("Razonar",$R374))),0)</f>
        <v>1</v>
      </c>
      <c r="U374" s="28" t="n">
        <f aca="false">IFERROR(ISNUMBER(SEARCH("Razonar",$R374))/(ISNUMBER(SEARCH("Conocer",$R374))+ISNUMBER(SEARCH("Aplicar",$R374))+ISNUMBER(SEARCH("Razonar",$R374))),0)</f>
        <v>0</v>
      </c>
      <c r="V374" s="8" t="s">
        <v>51</v>
      </c>
      <c r="W374" s="8" t="s">
        <v>67</v>
      </c>
    </row>
    <row r="375" customFormat="false" ht="15" hidden="false" customHeight="false" outlineLevel="0" collapsed="false">
      <c r="A375" s="8" t="s">
        <v>1946</v>
      </c>
      <c r="B375" s="8" t="n">
        <v>7</v>
      </c>
      <c r="C375" s="8" t="s">
        <v>411</v>
      </c>
      <c r="D375" s="8" t="s">
        <v>1864</v>
      </c>
      <c r="E375" s="8" t="s">
        <v>1904</v>
      </c>
      <c r="F375" s="8" t="n">
        <v>13</v>
      </c>
      <c r="G375" s="8" t="s">
        <v>1905</v>
      </c>
      <c r="H375" s="8" t="s">
        <v>1942</v>
      </c>
      <c r="I375" s="27" t="s">
        <v>1947</v>
      </c>
      <c r="J375" s="8" t="s">
        <v>185</v>
      </c>
      <c r="K375" s="8" t="s">
        <v>198</v>
      </c>
      <c r="L375" s="8"/>
      <c r="M375" s="8" t="str">
        <f aca="false">IF(K375="FUERA","Fuera del marco",IF(K375="N/A","Sin marco",IFERROR(INDEX(Catalogo_TIMSS!$C$5:$C$105,MATCH(K375,Catalogo_TIMSS!$A$5:$A$105,0)),"Pendiente de clasificar")))</f>
        <v>Biología</v>
      </c>
      <c r="N375" s="8" t="str">
        <f aca="false">IF(K375="FUERA","Fuera del marco",IF(K375="N/A","Sin marco",IFERROR(INDEX(Catalogo_TIMSS!$F$5:$F$105,MATCH(K375,Catalogo_TIMSS!$A$5:$A$105,0)),"Pendiente de clasificar")))</f>
        <v>Ciclos de vida, reproducción y herencia</v>
      </c>
      <c r="O375" s="8" t="str">
        <f aca="false">IF(L375="","",IFERROR(INDEX(Catalogo_TIMSS!$C$5:$C$105,MATCH(L375,Catalogo_TIMSS!$A$5:$A$105,0)),"?"))</f>
        <v/>
      </c>
      <c r="P375" s="8" t="s">
        <v>418</v>
      </c>
      <c r="Q375" s="27" t="s">
        <v>1948</v>
      </c>
      <c r="R375" s="27" t="s">
        <v>1949</v>
      </c>
      <c r="S375" s="28" t="n">
        <f aca="false">IFERROR(ISNUMBER(SEARCH("Conocer",$R375))/(ISNUMBER(SEARCH("Conocer",$R375))+ISNUMBER(SEARCH("Aplicar",$R375))+ISNUMBER(SEARCH("Razonar",$R375))),0)</f>
        <v>0</v>
      </c>
      <c r="T375" s="28" t="n">
        <f aca="false">IFERROR(ISNUMBER(SEARCH("Aplicar",$R375))/(ISNUMBER(SEARCH("Conocer",$R375))+ISNUMBER(SEARCH("Aplicar",$R375))+ISNUMBER(SEARCH("Razonar",$R375))),0)</f>
        <v>0.5</v>
      </c>
      <c r="U375" s="28" t="n">
        <f aca="false">IFERROR(ISNUMBER(SEARCH("Razonar",$R375))/(ISNUMBER(SEARCH("Conocer",$R375))+ISNUMBER(SEARCH("Aplicar",$R375))+ISNUMBER(SEARCH("Razonar",$R375))),0)</f>
        <v>0.5</v>
      </c>
      <c r="V375" s="8" t="s">
        <v>51</v>
      </c>
      <c r="W375" s="8" t="s">
        <v>67</v>
      </c>
    </row>
    <row r="376" customFormat="false" ht="15" hidden="false" customHeight="false" outlineLevel="0" collapsed="false">
      <c r="A376" s="8" t="s">
        <v>1950</v>
      </c>
      <c r="B376" s="8" t="n">
        <v>7</v>
      </c>
      <c r="C376" s="8" t="s">
        <v>411</v>
      </c>
      <c r="D376" s="8" t="s">
        <v>1864</v>
      </c>
      <c r="E376" s="8" t="s">
        <v>1904</v>
      </c>
      <c r="F376" s="8" t="n">
        <v>14</v>
      </c>
      <c r="G376" s="8" t="s">
        <v>1905</v>
      </c>
      <c r="H376" s="8" t="s">
        <v>1942</v>
      </c>
      <c r="I376" s="27" t="s">
        <v>1951</v>
      </c>
      <c r="J376" s="8" t="s">
        <v>185</v>
      </c>
      <c r="K376" s="8" t="s">
        <v>198</v>
      </c>
      <c r="L376" s="8"/>
      <c r="M376" s="8" t="str">
        <f aca="false">IF(K376="FUERA","Fuera del marco",IF(K376="N/A","Sin marco",IFERROR(INDEX(Catalogo_TIMSS!$C$5:$C$105,MATCH(K376,Catalogo_TIMSS!$A$5:$A$105,0)),"Pendiente de clasificar")))</f>
        <v>Biología</v>
      </c>
      <c r="N376" s="8" t="str">
        <f aca="false">IF(K376="FUERA","Fuera del marco",IF(K376="N/A","Sin marco",IFERROR(INDEX(Catalogo_TIMSS!$F$5:$F$105,MATCH(K376,Catalogo_TIMSS!$A$5:$A$105,0)),"Pendiente de clasificar")))</f>
        <v>Ciclos de vida, reproducción y herencia</v>
      </c>
      <c r="O376" s="8" t="str">
        <f aca="false">IF(L376="","",IFERROR(INDEX(Catalogo_TIMSS!$C$5:$C$105,MATCH(L376,Catalogo_TIMSS!$A$5:$A$105,0)),"?"))</f>
        <v/>
      </c>
      <c r="P376" s="8" t="s">
        <v>460</v>
      </c>
      <c r="Q376" s="27" t="s">
        <v>1952</v>
      </c>
      <c r="R376" s="27" t="s">
        <v>1940</v>
      </c>
      <c r="S376" s="28" t="n">
        <f aca="false">IFERROR(ISNUMBER(SEARCH("Conocer",$R376))/(ISNUMBER(SEARCH("Conocer",$R376))+ISNUMBER(SEARCH("Aplicar",$R376))+ISNUMBER(SEARCH("Razonar",$R376))),0)</f>
        <v>0</v>
      </c>
      <c r="T376" s="28" t="n">
        <f aca="false">IFERROR(ISNUMBER(SEARCH("Aplicar",$R376))/(ISNUMBER(SEARCH("Conocer",$R376))+ISNUMBER(SEARCH("Aplicar",$R376))+ISNUMBER(SEARCH("Razonar",$R376))),0)</f>
        <v>0</v>
      </c>
      <c r="U376" s="28" t="n">
        <f aca="false">IFERROR(ISNUMBER(SEARCH("Razonar",$R376))/(ISNUMBER(SEARCH("Conocer",$R376))+ISNUMBER(SEARCH("Aplicar",$R376))+ISNUMBER(SEARCH("Razonar",$R376))),0)</f>
        <v>1</v>
      </c>
      <c r="V376" s="8" t="s">
        <v>51</v>
      </c>
      <c r="W376" s="8" t="s">
        <v>67</v>
      </c>
    </row>
    <row r="377" customFormat="false" ht="15" hidden="false" customHeight="false" outlineLevel="0" collapsed="false">
      <c r="A377" s="8" t="s">
        <v>1953</v>
      </c>
      <c r="B377" s="8" t="n">
        <v>7</v>
      </c>
      <c r="C377" s="8" t="s">
        <v>411</v>
      </c>
      <c r="D377" s="8" t="s">
        <v>1864</v>
      </c>
      <c r="E377" s="8" t="s">
        <v>1904</v>
      </c>
      <c r="F377" s="8" t="n">
        <v>15</v>
      </c>
      <c r="G377" s="8" t="s">
        <v>1905</v>
      </c>
      <c r="H377" s="8" t="s">
        <v>1954</v>
      </c>
      <c r="I377" s="27" t="s">
        <v>1955</v>
      </c>
      <c r="J377" s="8" t="s">
        <v>185</v>
      </c>
      <c r="K377" s="8" t="s">
        <v>200</v>
      </c>
      <c r="L377" s="8" t="s">
        <v>198</v>
      </c>
      <c r="M377" s="8" t="str">
        <f aca="false">IF(K377="FUERA","Fuera del marco",IF(K377="N/A","Sin marco",IFERROR(INDEX(Catalogo_TIMSS!$C$5:$C$105,MATCH(K377,Catalogo_TIMSS!$A$5:$A$105,0)),"Pendiente de clasificar")))</f>
        <v>Biología</v>
      </c>
      <c r="N377" s="8" t="str">
        <f aca="false">IF(K377="FUERA","Fuera del marco",IF(K377="N/A","Sin marco",IFERROR(INDEX(Catalogo_TIMSS!$F$5:$F$105,MATCH(K377,Catalogo_TIMSS!$A$5:$A$105,0)),"Pendiente de clasificar")))</f>
        <v>Diversidad, adaptación y selección natural</v>
      </c>
      <c r="O377" s="8" t="str">
        <f aca="false">IF(L377="","",IFERROR(INDEX(Catalogo_TIMSS!$C$5:$C$105,MATCH(L377,Catalogo_TIMSS!$A$5:$A$105,0)),"?"))</f>
        <v>Biología</v>
      </c>
      <c r="P377" s="8" t="s">
        <v>460</v>
      </c>
      <c r="Q377" s="27" t="s">
        <v>1956</v>
      </c>
      <c r="R377" s="27" t="s">
        <v>1957</v>
      </c>
      <c r="S377" s="28" t="n">
        <f aca="false">IFERROR(ISNUMBER(SEARCH("Conocer",$R377))/(ISNUMBER(SEARCH("Conocer",$R377))+ISNUMBER(SEARCH("Aplicar",$R377))+ISNUMBER(SEARCH("Razonar",$R377))),0)</f>
        <v>0</v>
      </c>
      <c r="T377" s="28" t="n">
        <f aca="false">IFERROR(ISNUMBER(SEARCH("Aplicar",$R377))/(ISNUMBER(SEARCH("Conocer",$R377))+ISNUMBER(SEARCH("Aplicar",$R377))+ISNUMBER(SEARCH("Razonar",$R377))),0)</f>
        <v>1</v>
      </c>
      <c r="U377" s="28" t="n">
        <f aca="false">IFERROR(ISNUMBER(SEARCH("Razonar",$R377))/(ISNUMBER(SEARCH("Conocer",$R377))+ISNUMBER(SEARCH("Aplicar",$R377))+ISNUMBER(SEARCH("Razonar",$R377))),0)</f>
        <v>0</v>
      </c>
      <c r="V377" s="8" t="s">
        <v>51</v>
      </c>
      <c r="W377" s="8" t="s">
        <v>67</v>
      </c>
    </row>
    <row r="378" customFormat="false" ht="15" hidden="false" customHeight="false" outlineLevel="0" collapsed="false">
      <c r="A378" s="8" t="s">
        <v>1958</v>
      </c>
      <c r="B378" s="8" t="n">
        <v>7</v>
      </c>
      <c r="C378" s="8" t="s">
        <v>411</v>
      </c>
      <c r="D378" s="8" t="s">
        <v>1864</v>
      </c>
      <c r="E378" s="8" t="s">
        <v>1904</v>
      </c>
      <c r="F378" s="8" t="n">
        <v>16</v>
      </c>
      <c r="G378" s="8" t="s">
        <v>1905</v>
      </c>
      <c r="H378" s="8" t="s">
        <v>1954</v>
      </c>
      <c r="I378" s="27" t="s">
        <v>1959</v>
      </c>
      <c r="J378" s="8" t="s">
        <v>185</v>
      </c>
      <c r="K378" s="8" t="s">
        <v>200</v>
      </c>
      <c r="L378" s="8"/>
      <c r="M378" s="8" t="str">
        <f aca="false">IF(K378="FUERA","Fuera del marco",IF(K378="N/A","Sin marco",IFERROR(INDEX(Catalogo_TIMSS!$C$5:$C$105,MATCH(K378,Catalogo_TIMSS!$A$5:$A$105,0)),"Pendiente de clasificar")))</f>
        <v>Biología</v>
      </c>
      <c r="N378" s="8" t="str">
        <f aca="false">IF(K378="FUERA","Fuera del marco",IF(K378="N/A","Sin marco",IFERROR(INDEX(Catalogo_TIMSS!$F$5:$F$105,MATCH(K378,Catalogo_TIMSS!$A$5:$A$105,0)),"Pendiente de clasificar")))</f>
        <v>Diversidad, adaptación y selección natural</v>
      </c>
      <c r="O378" s="8" t="str">
        <f aca="false">IF(L378="","",IFERROR(INDEX(Catalogo_TIMSS!$C$5:$C$105,MATCH(L378,Catalogo_TIMSS!$A$5:$A$105,0)),"?"))</f>
        <v/>
      </c>
      <c r="P378" s="8" t="s">
        <v>418</v>
      </c>
      <c r="Q378" s="27" t="s">
        <v>1960</v>
      </c>
      <c r="R378" s="27" t="s">
        <v>429</v>
      </c>
      <c r="S378" s="28" t="n">
        <f aca="false">IFERROR(ISNUMBER(SEARCH("Conocer",$R378))/(ISNUMBER(SEARCH("Conocer",$R378))+ISNUMBER(SEARCH("Aplicar",$R378))+ISNUMBER(SEARCH("Razonar",$R378))),0)</f>
        <v>0</v>
      </c>
      <c r="T378" s="28" t="n">
        <f aca="false">IFERROR(ISNUMBER(SEARCH("Aplicar",$R378))/(ISNUMBER(SEARCH("Conocer",$R378))+ISNUMBER(SEARCH("Aplicar",$R378))+ISNUMBER(SEARCH("Razonar",$R378))),0)</f>
        <v>1</v>
      </c>
      <c r="U378" s="28" t="n">
        <f aca="false">IFERROR(ISNUMBER(SEARCH("Razonar",$R378))/(ISNUMBER(SEARCH("Conocer",$R378))+ISNUMBER(SEARCH("Aplicar",$R378))+ISNUMBER(SEARCH("Razonar",$R378))),0)</f>
        <v>0</v>
      </c>
      <c r="V378" s="8" t="s">
        <v>51</v>
      </c>
      <c r="W378" s="8" t="s">
        <v>67</v>
      </c>
    </row>
    <row r="379" customFormat="false" ht="15" hidden="false" customHeight="false" outlineLevel="0" collapsed="false">
      <c r="A379" s="8" t="s">
        <v>1961</v>
      </c>
      <c r="B379" s="8" t="n">
        <v>7</v>
      </c>
      <c r="C379" s="8" t="s">
        <v>411</v>
      </c>
      <c r="D379" s="8" t="s">
        <v>1864</v>
      </c>
      <c r="E379" s="8" t="s">
        <v>1904</v>
      </c>
      <c r="F379" s="8" t="n">
        <v>17</v>
      </c>
      <c r="G379" s="8" t="s">
        <v>1905</v>
      </c>
      <c r="H379" s="8" t="s">
        <v>1954</v>
      </c>
      <c r="I379" s="27" t="s">
        <v>1962</v>
      </c>
      <c r="J379" s="8" t="s">
        <v>185</v>
      </c>
      <c r="K379" s="8" t="s">
        <v>200</v>
      </c>
      <c r="L379" s="8"/>
      <c r="M379" s="8" t="str">
        <f aca="false">IF(K379="FUERA","Fuera del marco",IF(K379="N/A","Sin marco",IFERROR(INDEX(Catalogo_TIMSS!$C$5:$C$105,MATCH(K379,Catalogo_TIMSS!$A$5:$A$105,0)),"Pendiente de clasificar")))</f>
        <v>Biología</v>
      </c>
      <c r="N379" s="8" t="str">
        <f aca="false">IF(K379="FUERA","Fuera del marco",IF(K379="N/A","Sin marco",IFERROR(INDEX(Catalogo_TIMSS!$F$5:$F$105,MATCH(K379,Catalogo_TIMSS!$A$5:$A$105,0)),"Pendiente de clasificar")))</f>
        <v>Diversidad, adaptación y selección natural</v>
      </c>
      <c r="O379" s="8" t="str">
        <f aca="false">IF(L379="","",IFERROR(INDEX(Catalogo_TIMSS!$C$5:$C$105,MATCH(L379,Catalogo_TIMSS!$A$5:$A$105,0)),"?"))</f>
        <v/>
      </c>
      <c r="P379" s="8" t="s">
        <v>418</v>
      </c>
      <c r="Q379" s="27" t="s">
        <v>1963</v>
      </c>
      <c r="R379" s="27" t="s">
        <v>1964</v>
      </c>
      <c r="S379" s="28" t="n">
        <f aca="false">IFERROR(ISNUMBER(SEARCH("Conocer",$R379))/(ISNUMBER(SEARCH("Conocer",$R379))+ISNUMBER(SEARCH("Aplicar",$R379))+ISNUMBER(SEARCH("Razonar",$R379))),0)</f>
        <v>0</v>
      </c>
      <c r="T379" s="28" t="n">
        <f aca="false">IFERROR(ISNUMBER(SEARCH("Aplicar",$R379))/(ISNUMBER(SEARCH("Conocer",$R379))+ISNUMBER(SEARCH("Aplicar",$R379))+ISNUMBER(SEARCH("Razonar",$R379))),0)</f>
        <v>0</v>
      </c>
      <c r="U379" s="28" t="n">
        <f aca="false">IFERROR(ISNUMBER(SEARCH("Razonar",$R379))/(ISNUMBER(SEARCH("Conocer",$R379))+ISNUMBER(SEARCH("Aplicar",$R379))+ISNUMBER(SEARCH("Razonar",$R379))),0)</f>
        <v>1</v>
      </c>
      <c r="V379" s="8" t="s">
        <v>51</v>
      </c>
      <c r="W379" s="8" t="s">
        <v>67</v>
      </c>
    </row>
    <row r="380" customFormat="false" ht="15" hidden="false" customHeight="false" outlineLevel="0" collapsed="false">
      <c r="A380" s="8" t="s">
        <v>1965</v>
      </c>
      <c r="B380" s="8" t="n">
        <v>7</v>
      </c>
      <c r="C380" s="8" t="s">
        <v>411</v>
      </c>
      <c r="D380" s="8" t="s">
        <v>1864</v>
      </c>
      <c r="E380" s="8" t="s">
        <v>1904</v>
      </c>
      <c r="F380" s="8" t="n">
        <v>18</v>
      </c>
      <c r="G380" s="8" t="s">
        <v>1905</v>
      </c>
      <c r="H380" s="8" t="s">
        <v>1954</v>
      </c>
      <c r="I380" s="27" t="s">
        <v>1966</v>
      </c>
      <c r="J380" s="8" t="s">
        <v>185</v>
      </c>
      <c r="K380" s="8" t="s">
        <v>200</v>
      </c>
      <c r="L380" s="8"/>
      <c r="M380" s="8" t="str">
        <f aca="false">IF(K380="FUERA","Fuera del marco",IF(K380="N/A","Sin marco",IFERROR(INDEX(Catalogo_TIMSS!$C$5:$C$105,MATCH(K380,Catalogo_TIMSS!$A$5:$A$105,0)),"Pendiente de clasificar")))</f>
        <v>Biología</v>
      </c>
      <c r="N380" s="8" t="str">
        <f aca="false">IF(K380="FUERA","Fuera del marco",IF(K380="N/A","Sin marco",IFERROR(INDEX(Catalogo_TIMSS!$F$5:$F$105,MATCH(K380,Catalogo_TIMSS!$A$5:$A$105,0)),"Pendiente de clasificar")))</f>
        <v>Diversidad, adaptación y selección natural</v>
      </c>
      <c r="O380" s="8" t="str">
        <f aca="false">IF(L380="","",IFERROR(INDEX(Catalogo_TIMSS!$C$5:$C$105,MATCH(L380,Catalogo_TIMSS!$A$5:$A$105,0)),"?"))</f>
        <v/>
      </c>
      <c r="P380" s="8" t="s">
        <v>418</v>
      </c>
      <c r="Q380" s="27" t="s">
        <v>1967</v>
      </c>
      <c r="R380" s="27" t="s">
        <v>1624</v>
      </c>
      <c r="S380" s="28" t="n">
        <f aca="false">IFERROR(ISNUMBER(SEARCH("Conocer",$R380))/(ISNUMBER(SEARCH("Conocer",$R380))+ISNUMBER(SEARCH("Aplicar",$R380))+ISNUMBER(SEARCH("Razonar",$R380))),0)</f>
        <v>0</v>
      </c>
      <c r="T380" s="28" t="n">
        <f aca="false">IFERROR(ISNUMBER(SEARCH("Aplicar",$R380))/(ISNUMBER(SEARCH("Conocer",$R380))+ISNUMBER(SEARCH("Aplicar",$R380))+ISNUMBER(SEARCH("Razonar",$R380))),0)</f>
        <v>1</v>
      </c>
      <c r="U380" s="28" t="n">
        <f aca="false">IFERROR(ISNUMBER(SEARCH("Razonar",$R380))/(ISNUMBER(SEARCH("Conocer",$R380))+ISNUMBER(SEARCH("Aplicar",$R380))+ISNUMBER(SEARCH("Razonar",$R380))),0)</f>
        <v>0</v>
      </c>
      <c r="V380" s="8" t="s">
        <v>51</v>
      </c>
      <c r="W380" s="8" t="s">
        <v>67</v>
      </c>
    </row>
    <row r="381" customFormat="false" ht="15" hidden="false" customHeight="false" outlineLevel="0" collapsed="false">
      <c r="A381" s="8" t="s">
        <v>1968</v>
      </c>
      <c r="B381" s="8" t="n">
        <v>7</v>
      </c>
      <c r="C381" s="8" t="s">
        <v>411</v>
      </c>
      <c r="D381" s="8" t="s">
        <v>1864</v>
      </c>
      <c r="E381" s="8" t="s">
        <v>1904</v>
      </c>
      <c r="F381" s="8" t="n">
        <v>19</v>
      </c>
      <c r="G381" s="8" t="s">
        <v>1905</v>
      </c>
      <c r="H381" s="8" t="s">
        <v>1954</v>
      </c>
      <c r="I381" s="27" t="s">
        <v>1969</v>
      </c>
      <c r="J381" s="8" t="s">
        <v>185</v>
      </c>
      <c r="K381" s="8" t="s">
        <v>198</v>
      </c>
      <c r="L381" s="8" t="s">
        <v>200</v>
      </c>
      <c r="M381" s="8" t="str">
        <f aca="false">IF(K381="FUERA","Fuera del marco",IF(K381="N/A","Sin marco",IFERROR(INDEX(Catalogo_TIMSS!$C$5:$C$105,MATCH(K381,Catalogo_TIMSS!$A$5:$A$105,0)),"Pendiente de clasificar")))</f>
        <v>Biología</v>
      </c>
      <c r="N381" s="8" t="str">
        <f aca="false">IF(K381="FUERA","Fuera del marco",IF(K381="N/A","Sin marco",IFERROR(INDEX(Catalogo_TIMSS!$F$5:$F$105,MATCH(K381,Catalogo_TIMSS!$A$5:$A$105,0)),"Pendiente de clasificar")))</f>
        <v>Ciclos de vida, reproducción y herencia</v>
      </c>
      <c r="O381" s="8" t="str">
        <f aca="false">IF(L381="","",IFERROR(INDEX(Catalogo_TIMSS!$C$5:$C$105,MATCH(L381,Catalogo_TIMSS!$A$5:$A$105,0)),"?"))</f>
        <v>Biología</v>
      </c>
      <c r="P381" s="8" t="s">
        <v>460</v>
      </c>
      <c r="Q381" s="27" t="s">
        <v>1970</v>
      </c>
      <c r="R381" s="27" t="s">
        <v>1971</v>
      </c>
      <c r="S381" s="28" t="n">
        <f aca="false">IFERROR(ISNUMBER(SEARCH("Conocer",$R381))/(ISNUMBER(SEARCH("Conocer",$R381))+ISNUMBER(SEARCH("Aplicar",$R381))+ISNUMBER(SEARCH("Razonar",$R381))),0)</f>
        <v>0</v>
      </c>
      <c r="T381" s="28" t="n">
        <f aca="false">IFERROR(ISNUMBER(SEARCH("Aplicar",$R381))/(ISNUMBER(SEARCH("Conocer",$R381))+ISNUMBER(SEARCH("Aplicar",$R381))+ISNUMBER(SEARCH("Razonar",$R381))),0)</f>
        <v>0</v>
      </c>
      <c r="U381" s="28" t="n">
        <f aca="false">IFERROR(ISNUMBER(SEARCH("Razonar",$R381))/(ISNUMBER(SEARCH("Conocer",$R381))+ISNUMBER(SEARCH("Aplicar",$R381))+ISNUMBER(SEARCH("Razonar",$R381))),0)</f>
        <v>1</v>
      </c>
      <c r="V381" s="8" t="s">
        <v>51</v>
      </c>
      <c r="W381" s="8" t="s">
        <v>67</v>
      </c>
    </row>
    <row r="382" customFormat="false" ht="15" hidden="false" customHeight="false" outlineLevel="0" collapsed="false">
      <c r="A382" s="8" t="s">
        <v>1972</v>
      </c>
      <c r="B382" s="8" t="n">
        <v>7</v>
      </c>
      <c r="C382" s="8" t="s">
        <v>411</v>
      </c>
      <c r="D382" s="8" t="s">
        <v>1864</v>
      </c>
      <c r="E382" s="8" t="s">
        <v>1973</v>
      </c>
      <c r="F382" s="8" t="n">
        <v>3</v>
      </c>
      <c r="G382" s="8" t="s">
        <v>1974</v>
      </c>
      <c r="H382" s="8" t="s">
        <v>1975</v>
      </c>
      <c r="I382" s="27" t="s">
        <v>1976</v>
      </c>
      <c r="J382" s="8" t="s">
        <v>185</v>
      </c>
      <c r="K382" s="8" t="s">
        <v>200</v>
      </c>
      <c r="L382" s="8" t="s">
        <v>184</v>
      </c>
      <c r="M382" s="8" t="str">
        <f aca="false">IF(K382="FUERA","Fuera del marco",IF(K382="N/A","Sin marco",IFERROR(INDEX(Catalogo_TIMSS!$C$5:$C$105,MATCH(K382,Catalogo_TIMSS!$A$5:$A$105,0)),"Pendiente de clasificar")))</f>
        <v>Biología</v>
      </c>
      <c r="N382" s="8" t="str">
        <f aca="false">IF(K382="FUERA","Fuera del marco",IF(K382="N/A","Sin marco",IFERROR(INDEX(Catalogo_TIMSS!$F$5:$F$105,MATCH(K382,Catalogo_TIMSS!$A$5:$A$105,0)),"Pendiente de clasificar")))</f>
        <v>Diversidad, adaptación y selección natural</v>
      </c>
      <c r="O382" s="8" t="str">
        <f aca="false">IF(L382="","",IFERROR(INDEX(Catalogo_TIMSS!$C$5:$C$105,MATCH(L382,Catalogo_TIMSS!$A$5:$A$105,0)),"?"))</f>
        <v>Biología</v>
      </c>
      <c r="P382" s="8" t="s">
        <v>513</v>
      </c>
      <c r="Q382" s="27" t="s">
        <v>1977</v>
      </c>
      <c r="R382" s="27" t="s">
        <v>1032</v>
      </c>
      <c r="S382" s="28" t="n">
        <f aca="false">IFERROR(ISNUMBER(SEARCH("Conocer",$R382))/(ISNUMBER(SEARCH("Conocer",$R382))+ISNUMBER(SEARCH("Aplicar",$R382))+ISNUMBER(SEARCH("Razonar",$R382))),0)</f>
        <v>1</v>
      </c>
      <c r="T382" s="28" t="n">
        <f aca="false">IFERROR(ISNUMBER(SEARCH("Aplicar",$R382))/(ISNUMBER(SEARCH("Conocer",$R382))+ISNUMBER(SEARCH("Aplicar",$R382))+ISNUMBER(SEARCH("Razonar",$R382))),0)</f>
        <v>0</v>
      </c>
      <c r="U382" s="28" t="n">
        <f aca="false">IFERROR(ISNUMBER(SEARCH("Razonar",$R382))/(ISNUMBER(SEARCH("Conocer",$R382))+ISNUMBER(SEARCH("Aplicar",$R382))+ISNUMBER(SEARCH("Razonar",$R382))),0)</f>
        <v>0</v>
      </c>
      <c r="V382" s="8" t="s">
        <v>51</v>
      </c>
      <c r="W382" s="8" t="s">
        <v>67</v>
      </c>
    </row>
    <row r="383" customFormat="false" ht="15" hidden="false" customHeight="false" outlineLevel="0" collapsed="false">
      <c r="A383" s="8" t="s">
        <v>1978</v>
      </c>
      <c r="B383" s="8" t="n">
        <v>7</v>
      </c>
      <c r="C383" s="8" t="s">
        <v>411</v>
      </c>
      <c r="D383" s="8" t="s">
        <v>1864</v>
      </c>
      <c r="E383" s="8" t="s">
        <v>1973</v>
      </c>
      <c r="F383" s="8" t="n">
        <v>4</v>
      </c>
      <c r="G383" s="8" t="s">
        <v>1974</v>
      </c>
      <c r="H383" s="8" t="s">
        <v>1975</v>
      </c>
      <c r="I383" s="27" t="s">
        <v>1979</v>
      </c>
      <c r="J383" s="8" t="s">
        <v>185</v>
      </c>
      <c r="K383" s="8" t="s">
        <v>184</v>
      </c>
      <c r="L383" s="8"/>
      <c r="M383" s="8" t="str">
        <f aca="false">IF(K383="FUERA","Fuera del marco",IF(K383="N/A","Sin marco",IFERROR(INDEX(Catalogo_TIMSS!$C$5:$C$105,MATCH(K383,Catalogo_TIMSS!$A$5:$A$105,0)),"Pendiente de clasificar")))</f>
        <v>Biología</v>
      </c>
      <c r="N383" s="8" t="str">
        <f aca="false">IF(K383="FUERA","Fuera del marco",IF(K383="N/A","Sin marco",IFERROR(INDEX(Catalogo_TIMSS!$F$5:$F$105,MATCH(K383,Catalogo_TIMSS!$A$5:$A$105,0)),"Pendiente de clasificar")))</f>
        <v>Características y procesos vitales de los organismos</v>
      </c>
      <c r="O383" s="8" t="str">
        <f aca="false">IF(L383="","",IFERROR(INDEX(Catalogo_TIMSS!$C$5:$C$105,MATCH(L383,Catalogo_TIMSS!$A$5:$A$105,0)),"?"))</f>
        <v/>
      </c>
      <c r="P383" s="8" t="s">
        <v>513</v>
      </c>
      <c r="Q383" s="27" t="s">
        <v>1980</v>
      </c>
      <c r="R383" s="27" t="s">
        <v>1751</v>
      </c>
      <c r="S383" s="28" t="n">
        <f aca="false">IFERROR(ISNUMBER(SEARCH("Conocer",$R383))/(ISNUMBER(SEARCH("Conocer",$R383))+ISNUMBER(SEARCH("Aplicar",$R383))+ISNUMBER(SEARCH("Razonar",$R383))),0)</f>
        <v>0</v>
      </c>
      <c r="T383" s="28" t="n">
        <f aca="false">IFERROR(ISNUMBER(SEARCH("Aplicar",$R383))/(ISNUMBER(SEARCH("Conocer",$R383))+ISNUMBER(SEARCH("Aplicar",$R383))+ISNUMBER(SEARCH("Razonar",$R383))),0)</f>
        <v>1</v>
      </c>
      <c r="U383" s="28" t="n">
        <f aca="false">IFERROR(ISNUMBER(SEARCH("Razonar",$R383))/(ISNUMBER(SEARCH("Conocer",$R383))+ISNUMBER(SEARCH("Aplicar",$R383))+ISNUMBER(SEARCH("Razonar",$R383))),0)</f>
        <v>0</v>
      </c>
      <c r="V383" s="8" t="s">
        <v>51</v>
      </c>
      <c r="W383" s="8" t="s">
        <v>67</v>
      </c>
    </row>
    <row r="384" customFormat="false" ht="15" hidden="false" customHeight="false" outlineLevel="0" collapsed="false">
      <c r="A384" s="8" t="s">
        <v>1981</v>
      </c>
      <c r="B384" s="8" t="n">
        <v>7</v>
      </c>
      <c r="C384" s="8" t="s">
        <v>411</v>
      </c>
      <c r="D384" s="8" t="s">
        <v>1864</v>
      </c>
      <c r="E384" s="8" t="s">
        <v>1973</v>
      </c>
      <c r="F384" s="8" t="n">
        <v>5</v>
      </c>
      <c r="G384" s="8" t="s">
        <v>1974</v>
      </c>
      <c r="H384" s="8" t="s">
        <v>1975</v>
      </c>
      <c r="I384" s="27" t="s">
        <v>1982</v>
      </c>
      <c r="J384" s="8" t="s">
        <v>185</v>
      </c>
      <c r="K384" s="8" t="s">
        <v>211</v>
      </c>
      <c r="L384" s="8"/>
      <c r="M384" s="8" t="str">
        <f aca="false">IF(K384="FUERA","Fuera del marco",IF(K384="N/A","Sin marco",IFERROR(INDEX(Catalogo_TIMSS!$C$5:$C$105,MATCH(K384,Catalogo_TIMSS!$A$5:$A$105,0)),"Pendiente de clasificar")))</f>
        <v>Biología</v>
      </c>
      <c r="N384" s="8" t="str">
        <f aca="false">IF(K384="FUERA","Fuera del marco",IF(K384="N/A","Sin marco",IFERROR(INDEX(Catalogo_TIMSS!$F$5:$F$105,MATCH(K384,Catalogo_TIMSS!$A$5:$A$105,0)),"Pendiente de clasificar")))</f>
        <v>Ecosistemas</v>
      </c>
      <c r="O384" s="8" t="str">
        <f aca="false">IF(L384="","",IFERROR(INDEX(Catalogo_TIMSS!$C$5:$C$105,MATCH(L384,Catalogo_TIMSS!$A$5:$A$105,0)),"?"))</f>
        <v/>
      </c>
      <c r="P384" s="8" t="s">
        <v>513</v>
      </c>
      <c r="Q384" s="27" t="s">
        <v>1983</v>
      </c>
      <c r="R384" s="27" t="s">
        <v>1984</v>
      </c>
      <c r="S384" s="28" t="n">
        <f aca="false">IFERROR(ISNUMBER(SEARCH("Conocer",$R384))/(ISNUMBER(SEARCH("Conocer",$R384))+ISNUMBER(SEARCH("Aplicar",$R384))+ISNUMBER(SEARCH("Razonar",$R384))),0)</f>
        <v>0</v>
      </c>
      <c r="T384" s="28" t="n">
        <f aca="false">IFERROR(ISNUMBER(SEARCH("Aplicar",$R384))/(ISNUMBER(SEARCH("Conocer",$R384))+ISNUMBER(SEARCH("Aplicar",$R384))+ISNUMBER(SEARCH("Razonar",$R384))),0)</f>
        <v>0.5</v>
      </c>
      <c r="U384" s="28" t="n">
        <f aca="false">IFERROR(ISNUMBER(SEARCH("Razonar",$R384))/(ISNUMBER(SEARCH("Conocer",$R384))+ISNUMBER(SEARCH("Aplicar",$R384))+ISNUMBER(SEARCH("Razonar",$R384))),0)</f>
        <v>0.5</v>
      </c>
      <c r="V384" s="8" t="s">
        <v>51</v>
      </c>
      <c r="W384" s="8" t="s">
        <v>67</v>
      </c>
    </row>
    <row r="385" customFormat="false" ht="15" hidden="false" customHeight="false" outlineLevel="0" collapsed="false">
      <c r="A385" s="8" t="s">
        <v>1985</v>
      </c>
      <c r="B385" s="8" t="n">
        <v>7</v>
      </c>
      <c r="C385" s="8" t="s">
        <v>411</v>
      </c>
      <c r="D385" s="8" t="s">
        <v>1864</v>
      </c>
      <c r="E385" s="8" t="s">
        <v>1973</v>
      </c>
      <c r="F385" s="8" t="n">
        <v>6</v>
      </c>
      <c r="G385" s="8" t="s">
        <v>1974</v>
      </c>
      <c r="H385" s="8" t="s">
        <v>1986</v>
      </c>
      <c r="I385" s="27" t="s">
        <v>1987</v>
      </c>
      <c r="J385" s="8" t="s">
        <v>185</v>
      </c>
      <c r="K385" s="8" t="s">
        <v>184</v>
      </c>
      <c r="L385" s="8"/>
      <c r="M385" s="8" t="str">
        <f aca="false">IF(K385="FUERA","Fuera del marco",IF(K385="N/A","Sin marco",IFERROR(INDEX(Catalogo_TIMSS!$C$5:$C$105,MATCH(K385,Catalogo_TIMSS!$A$5:$A$105,0)),"Pendiente de clasificar")))</f>
        <v>Biología</v>
      </c>
      <c r="N385" s="8" t="str">
        <f aca="false">IF(K385="FUERA","Fuera del marco",IF(K385="N/A","Sin marco",IFERROR(INDEX(Catalogo_TIMSS!$F$5:$F$105,MATCH(K385,Catalogo_TIMSS!$A$5:$A$105,0)),"Pendiente de clasificar")))</f>
        <v>Características y procesos vitales de los organismos</v>
      </c>
      <c r="O385" s="8" t="str">
        <f aca="false">IF(L385="","",IFERROR(INDEX(Catalogo_TIMSS!$C$5:$C$105,MATCH(L385,Catalogo_TIMSS!$A$5:$A$105,0)),"?"))</f>
        <v/>
      </c>
      <c r="P385" s="8" t="s">
        <v>418</v>
      </c>
      <c r="Q385" s="27" t="s">
        <v>1988</v>
      </c>
      <c r="R385" s="27" t="s">
        <v>429</v>
      </c>
      <c r="S385" s="28" t="n">
        <f aca="false">IFERROR(ISNUMBER(SEARCH("Conocer",$R385))/(ISNUMBER(SEARCH("Conocer",$R385))+ISNUMBER(SEARCH("Aplicar",$R385))+ISNUMBER(SEARCH("Razonar",$R385))),0)</f>
        <v>0</v>
      </c>
      <c r="T385" s="28" t="n">
        <f aca="false">IFERROR(ISNUMBER(SEARCH("Aplicar",$R385))/(ISNUMBER(SEARCH("Conocer",$R385))+ISNUMBER(SEARCH("Aplicar",$R385))+ISNUMBER(SEARCH("Razonar",$R385))),0)</f>
        <v>1</v>
      </c>
      <c r="U385" s="28" t="n">
        <f aca="false">IFERROR(ISNUMBER(SEARCH("Razonar",$R385))/(ISNUMBER(SEARCH("Conocer",$R385))+ISNUMBER(SEARCH("Aplicar",$R385))+ISNUMBER(SEARCH("Razonar",$R385))),0)</f>
        <v>0</v>
      </c>
      <c r="V385" s="8" t="s">
        <v>51</v>
      </c>
      <c r="W385" s="8" t="s">
        <v>67</v>
      </c>
    </row>
    <row r="386" customFormat="false" ht="15" hidden="false" customHeight="false" outlineLevel="0" collapsed="false">
      <c r="A386" s="8" t="s">
        <v>1989</v>
      </c>
      <c r="B386" s="8" t="n">
        <v>7</v>
      </c>
      <c r="C386" s="8" t="s">
        <v>411</v>
      </c>
      <c r="D386" s="8" t="s">
        <v>1864</v>
      </c>
      <c r="E386" s="8" t="s">
        <v>1973</v>
      </c>
      <c r="F386" s="8" t="n">
        <v>7</v>
      </c>
      <c r="G386" s="8" t="s">
        <v>1974</v>
      </c>
      <c r="H386" s="8" t="s">
        <v>1986</v>
      </c>
      <c r="I386" s="27" t="s">
        <v>1990</v>
      </c>
      <c r="J386" s="8" t="s">
        <v>185</v>
      </c>
      <c r="K386" s="8" t="s">
        <v>184</v>
      </c>
      <c r="L386" s="8"/>
      <c r="M386" s="8" t="str">
        <f aca="false">IF(K386="FUERA","Fuera del marco",IF(K386="N/A","Sin marco",IFERROR(INDEX(Catalogo_TIMSS!$C$5:$C$105,MATCH(K386,Catalogo_TIMSS!$A$5:$A$105,0)),"Pendiente de clasificar")))</f>
        <v>Biología</v>
      </c>
      <c r="N386" s="8" t="str">
        <f aca="false">IF(K386="FUERA","Fuera del marco",IF(K386="N/A","Sin marco",IFERROR(INDEX(Catalogo_TIMSS!$F$5:$F$105,MATCH(K386,Catalogo_TIMSS!$A$5:$A$105,0)),"Pendiente de clasificar")))</f>
        <v>Características y procesos vitales de los organismos</v>
      </c>
      <c r="O386" s="8" t="str">
        <f aca="false">IF(L386="","",IFERROR(INDEX(Catalogo_TIMSS!$C$5:$C$105,MATCH(L386,Catalogo_TIMSS!$A$5:$A$105,0)),"?"))</f>
        <v/>
      </c>
      <c r="P386" s="8" t="s">
        <v>418</v>
      </c>
      <c r="Q386" s="27" t="s">
        <v>1991</v>
      </c>
      <c r="R386" s="27" t="s">
        <v>1992</v>
      </c>
      <c r="S386" s="28" t="n">
        <f aca="false">IFERROR(ISNUMBER(SEARCH("Conocer",$R386))/(ISNUMBER(SEARCH("Conocer",$R386))+ISNUMBER(SEARCH("Aplicar",$R386))+ISNUMBER(SEARCH("Razonar",$R386))),0)</f>
        <v>0</v>
      </c>
      <c r="T386" s="28" t="n">
        <f aca="false">IFERROR(ISNUMBER(SEARCH("Aplicar",$R386))/(ISNUMBER(SEARCH("Conocer",$R386))+ISNUMBER(SEARCH("Aplicar",$R386))+ISNUMBER(SEARCH("Razonar",$R386))),0)</f>
        <v>0</v>
      </c>
      <c r="U386" s="28" t="n">
        <f aca="false">IFERROR(ISNUMBER(SEARCH("Razonar",$R386))/(ISNUMBER(SEARCH("Conocer",$R386))+ISNUMBER(SEARCH("Aplicar",$R386))+ISNUMBER(SEARCH("Razonar",$R386))),0)</f>
        <v>1</v>
      </c>
      <c r="V386" s="8" t="s">
        <v>51</v>
      </c>
      <c r="W386" s="8" t="s">
        <v>67</v>
      </c>
    </row>
    <row r="387" customFormat="false" ht="15" hidden="false" customHeight="false" outlineLevel="0" collapsed="false">
      <c r="A387" s="8" t="s">
        <v>1993</v>
      </c>
      <c r="B387" s="8" t="n">
        <v>7</v>
      </c>
      <c r="C387" s="8" t="s">
        <v>411</v>
      </c>
      <c r="D387" s="8" t="s">
        <v>1864</v>
      </c>
      <c r="E387" s="8" t="s">
        <v>1973</v>
      </c>
      <c r="F387" s="8" t="n">
        <v>8</v>
      </c>
      <c r="G387" s="8" t="s">
        <v>1974</v>
      </c>
      <c r="H387" s="8" t="s">
        <v>1986</v>
      </c>
      <c r="I387" s="27" t="s">
        <v>1994</v>
      </c>
      <c r="J387" s="8" t="s">
        <v>185</v>
      </c>
      <c r="K387" s="8" t="s">
        <v>184</v>
      </c>
      <c r="L387" s="8"/>
      <c r="M387" s="8" t="str">
        <f aca="false">IF(K387="FUERA","Fuera del marco",IF(K387="N/A","Sin marco",IFERROR(INDEX(Catalogo_TIMSS!$C$5:$C$105,MATCH(K387,Catalogo_TIMSS!$A$5:$A$105,0)),"Pendiente de clasificar")))</f>
        <v>Biología</v>
      </c>
      <c r="N387" s="8" t="str">
        <f aca="false">IF(K387="FUERA","Fuera del marco",IF(K387="N/A","Sin marco",IFERROR(INDEX(Catalogo_TIMSS!$F$5:$F$105,MATCH(K387,Catalogo_TIMSS!$A$5:$A$105,0)),"Pendiente de clasificar")))</f>
        <v>Características y procesos vitales de los organismos</v>
      </c>
      <c r="O387" s="8" t="str">
        <f aca="false">IF(L387="","",IFERROR(INDEX(Catalogo_TIMSS!$C$5:$C$105,MATCH(L387,Catalogo_TIMSS!$A$5:$A$105,0)),"?"))</f>
        <v/>
      </c>
      <c r="P387" s="8" t="s">
        <v>418</v>
      </c>
      <c r="Q387" s="27" t="s">
        <v>1995</v>
      </c>
      <c r="R387" s="27" t="s">
        <v>1833</v>
      </c>
      <c r="S387" s="28" t="n">
        <f aca="false">IFERROR(ISNUMBER(SEARCH("Conocer",$R387))/(ISNUMBER(SEARCH("Conocer",$R387))+ISNUMBER(SEARCH("Aplicar",$R387))+ISNUMBER(SEARCH("Razonar",$R387))),0)</f>
        <v>1</v>
      </c>
      <c r="T387" s="28" t="n">
        <f aca="false">IFERROR(ISNUMBER(SEARCH("Aplicar",$R387))/(ISNUMBER(SEARCH("Conocer",$R387))+ISNUMBER(SEARCH("Aplicar",$R387))+ISNUMBER(SEARCH("Razonar",$R387))),0)</f>
        <v>0</v>
      </c>
      <c r="U387" s="28" t="n">
        <f aca="false">IFERROR(ISNUMBER(SEARCH("Razonar",$R387))/(ISNUMBER(SEARCH("Conocer",$R387))+ISNUMBER(SEARCH("Aplicar",$R387))+ISNUMBER(SEARCH("Razonar",$R387))),0)</f>
        <v>0</v>
      </c>
      <c r="V387" s="8" t="s">
        <v>51</v>
      </c>
      <c r="W387" s="8" t="s">
        <v>67</v>
      </c>
    </row>
    <row r="388" customFormat="false" ht="15" hidden="false" customHeight="false" outlineLevel="0" collapsed="false">
      <c r="A388" s="8" t="s">
        <v>1996</v>
      </c>
      <c r="B388" s="8" t="n">
        <v>7</v>
      </c>
      <c r="C388" s="8" t="s">
        <v>411</v>
      </c>
      <c r="D388" s="8" t="s">
        <v>1864</v>
      </c>
      <c r="E388" s="8" t="s">
        <v>1973</v>
      </c>
      <c r="F388" s="8" t="n">
        <v>9</v>
      </c>
      <c r="G388" s="8" t="s">
        <v>1974</v>
      </c>
      <c r="H388" s="8" t="s">
        <v>1997</v>
      </c>
      <c r="I388" s="27" t="s">
        <v>1998</v>
      </c>
      <c r="J388" s="8" t="s">
        <v>185</v>
      </c>
      <c r="K388" s="8" t="s">
        <v>184</v>
      </c>
      <c r="L388" s="8"/>
      <c r="M388" s="8" t="str">
        <f aca="false">IF(K388="FUERA","Fuera del marco",IF(K388="N/A","Sin marco",IFERROR(INDEX(Catalogo_TIMSS!$C$5:$C$105,MATCH(K388,Catalogo_TIMSS!$A$5:$A$105,0)),"Pendiente de clasificar")))</f>
        <v>Biología</v>
      </c>
      <c r="N388" s="8" t="str">
        <f aca="false">IF(K388="FUERA","Fuera del marco",IF(K388="N/A","Sin marco",IFERROR(INDEX(Catalogo_TIMSS!$F$5:$F$105,MATCH(K388,Catalogo_TIMSS!$A$5:$A$105,0)),"Pendiente de clasificar")))</f>
        <v>Características y procesos vitales de los organismos</v>
      </c>
      <c r="O388" s="8" t="str">
        <f aca="false">IF(L388="","",IFERROR(INDEX(Catalogo_TIMSS!$C$5:$C$105,MATCH(L388,Catalogo_TIMSS!$A$5:$A$105,0)),"?"))</f>
        <v/>
      </c>
      <c r="P388" s="8" t="s">
        <v>460</v>
      </c>
      <c r="Q388" s="27" t="s">
        <v>1999</v>
      </c>
      <c r="R388" s="27" t="s">
        <v>2000</v>
      </c>
      <c r="S388" s="28" t="n">
        <f aca="false">IFERROR(ISNUMBER(SEARCH("Conocer",$R388))/(ISNUMBER(SEARCH("Conocer",$R388))+ISNUMBER(SEARCH("Aplicar",$R388))+ISNUMBER(SEARCH("Razonar",$R388))),0)</f>
        <v>0.5</v>
      </c>
      <c r="T388" s="28" t="n">
        <f aca="false">IFERROR(ISNUMBER(SEARCH("Aplicar",$R388))/(ISNUMBER(SEARCH("Conocer",$R388))+ISNUMBER(SEARCH("Aplicar",$R388))+ISNUMBER(SEARCH("Razonar",$R388))),0)</f>
        <v>0.5</v>
      </c>
      <c r="U388" s="28" t="n">
        <f aca="false">IFERROR(ISNUMBER(SEARCH("Razonar",$R388))/(ISNUMBER(SEARCH("Conocer",$R388))+ISNUMBER(SEARCH("Aplicar",$R388))+ISNUMBER(SEARCH("Razonar",$R388))),0)</f>
        <v>0</v>
      </c>
      <c r="V388" s="8" t="s">
        <v>51</v>
      </c>
      <c r="W388" s="8" t="s">
        <v>67</v>
      </c>
    </row>
    <row r="389" customFormat="false" ht="15" hidden="false" customHeight="false" outlineLevel="0" collapsed="false">
      <c r="A389" s="8" t="s">
        <v>2001</v>
      </c>
      <c r="B389" s="8" t="n">
        <v>7</v>
      </c>
      <c r="C389" s="8" t="s">
        <v>411</v>
      </c>
      <c r="D389" s="8" t="s">
        <v>1864</v>
      </c>
      <c r="E389" s="8" t="s">
        <v>1973</v>
      </c>
      <c r="F389" s="8" t="n">
        <v>10</v>
      </c>
      <c r="G389" s="8" t="s">
        <v>1974</v>
      </c>
      <c r="H389" s="8" t="s">
        <v>1997</v>
      </c>
      <c r="I389" s="27" t="s">
        <v>2002</v>
      </c>
      <c r="J389" s="8" t="s">
        <v>185</v>
      </c>
      <c r="K389" s="8" t="s">
        <v>184</v>
      </c>
      <c r="L389" s="8"/>
      <c r="M389" s="8" t="str">
        <f aca="false">IF(K389="FUERA","Fuera del marco",IF(K389="N/A","Sin marco",IFERROR(INDEX(Catalogo_TIMSS!$C$5:$C$105,MATCH(K389,Catalogo_TIMSS!$A$5:$A$105,0)),"Pendiente de clasificar")))</f>
        <v>Biología</v>
      </c>
      <c r="N389" s="8" t="str">
        <f aca="false">IF(K389="FUERA","Fuera del marco",IF(K389="N/A","Sin marco",IFERROR(INDEX(Catalogo_TIMSS!$F$5:$F$105,MATCH(K389,Catalogo_TIMSS!$A$5:$A$105,0)),"Pendiente de clasificar")))</f>
        <v>Características y procesos vitales de los organismos</v>
      </c>
      <c r="O389" s="8" t="str">
        <f aca="false">IF(L389="","",IFERROR(INDEX(Catalogo_TIMSS!$C$5:$C$105,MATCH(L389,Catalogo_TIMSS!$A$5:$A$105,0)),"?"))</f>
        <v/>
      </c>
      <c r="P389" s="8" t="s">
        <v>418</v>
      </c>
      <c r="Q389" s="27" t="s">
        <v>2003</v>
      </c>
      <c r="R389" s="27" t="s">
        <v>2004</v>
      </c>
      <c r="S389" s="28" t="n">
        <f aca="false">IFERROR(ISNUMBER(SEARCH("Conocer",$R389))/(ISNUMBER(SEARCH("Conocer",$R389))+ISNUMBER(SEARCH("Aplicar",$R389))+ISNUMBER(SEARCH("Razonar",$R389))),0)</f>
        <v>0</v>
      </c>
      <c r="T389" s="28" t="n">
        <f aca="false">IFERROR(ISNUMBER(SEARCH("Aplicar",$R389))/(ISNUMBER(SEARCH("Conocer",$R389))+ISNUMBER(SEARCH("Aplicar",$R389))+ISNUMBER(SEARCH("Razonar",$R389))),0)</f>
        <v>1</v>
      </c>
      <c r="U389" s="28" t="n">
        <f aca="false">IFERROR(ISNUMBER(SEARCH("Razonar",$R389))/(ISNUMBER(SEARCH("Conocer",$R389))+ISNUMBER(SEARCH("Aplicar",$R389))+ISNUMBER(SEARCH("Razonar",$R389))),0)</f>
        <v>0</v>
      </c>
      <c r="V389" s="8" t="s">
        <v>51</v>
      </c>
      <c r="W389" s="8" t="s">
        <v>67</v>
      </c>
    </row>
    <row r="390" customFormat="false" ht="15" hidden="false" customHeight="false" outlineLevel="0" collapsed="false">
      <c r="A390" s="8" t="s">
        <v>2005</v>
      </c>
      <c r="B390" s="8" t="n">
        <v>7</v>
      </c>
      <c r="C390" s="8" t="s">
        <v>411</v>
      </c>
      <c r="D390" s="8" t="s">
        <v>1864</v>
      </c>
      <c r="E390" s="8" t="s">
        <v>1973</v>
      </c>
      <c r="F390" s="8" t="n">
        <v>11</v>
      </c>
      <c r="G390" s="8" t="s">
        <v>1974</v>
      </c>
      <c r="H390" s="8" t="s">
        <v>1997</v>
      </c>
      <c r="I390" s="27" t="s">
        <v>2006</v>
      </c>
      <c r="J390" s="8" t="s">
        <v>185</v>
      </c>
      <c r="K390" s="8" t="s">
        <v>184</v>
      </c>
      <c r="L390" s="8"/>
      <c r="M390" s="8" t="str">
        <f aca="false">IF(K390="FUERA","Fuera del marco",IF(K390="N/A","Sin marco",IFERROR(INDEX(Catalogo_TIMSS!$C$5:$C$105,MATCH(K390,Catalogo_TIMSS!$A$5:$A$105,0)),"Pendiente de clasificar")))</f>
        <v>Biología</v>
      </c>
      <c r="N390" s="8" t="str">
        <f aca="false">IF(K390="FUERA","Fuera del marco",IF(K390="N/A","Sin marco",IFERROR(INDEX(Catalogo_TIMSS!$F$5:$F$105,MATCH(K390,Catalogo_TIMSS!$A$5:$A$105,0)),"Pendiente de clasificar")))</f>
        <v>Características y procesos vitales de los organismos</v>
      </c>
      <c r="O390" s="8" t="str">
        <f aca="false">IF(L390="","",IFERROR(INDEX(Catalogo_TIMSS!$C$5:$C$105,MATCH(L390,Catalogo_TIMSS!$A$5:$A$105,0)),"?"))</f>
        <v/>
      </c>
      <c r="P390" s="8" t="s">
        <v>513</v>
      </c>
      <c r="Q390" s="27" t="s">
        <v>2007</v>
      </c>
      <c r="R390" s="27" t="s">
        <v>2008</v>
      </c>
      <c r="S390" s="28" t="n">
        <f aca="false">IFERROR(ISNUMBER(SEARCH("Conocer",$R390))/(ISNUMBER(SEARCH("Conocer",$R390))+ISNUMBER(SEARCH("Aplicar",$R390))+ISNUMBER(SEARCH("Razonar",$R390))),0)</f>
        <v>0</v>
      </c>
      <c r="T390" s="28" t="n">
        <f aca="false">IFERROR(ISNUMBER(SEARCH("Aplicar",$R390))/(ISNUMBER(SEARCH("Conocer",$R390))+ISNUMBER(SEARCH("Aplicar",$R390))+ISNUMBER(SEARCH("Razonar",$R390))),0)</f>
        <v>0.5</v>
      </c>
      <c r="U390" s="28" t="n">
        <f aca="false">IFERROR(ISNUMBER(SEARCH("Razonar",$R390))/(ISNUMBER(SEARCH("Conocer",$R390))+ISNUMBER(SEARCH("Aplicar",$R390))+ISNUMBER(SEARCH("Razonar",$R390))),0)</f>
        <v>0.5</v>
      </c>
      <c r="V390" s="8" t="s">
        <v>51</v>
      </c>
      <c r="W390" s="8" t="s">
        <v>67</v>
      </c>
    </row>
    <row r="391" customFormat="false" ht="15" hidden="false" customHeight="false" outlineLevel="0" collapsed="false">
      <c r="A391" s="8" t="s">
        <v>2009</v>
      </c>
      <c r="B391" s="8" t="n">
        <v>7</v>
      </c>
      <c r="C391" s="8" t="s">
        <v>411</v>
      </c>
      <c r="D391" s="8" t="s">
        <v>1864</v>
      </c>
      <c r="E391" s="8" t="s">
        <v>1973</v>
      </c>
      <c r="F391" s="8" t="n">
        <v>12</v>
      </c>
      <c r="G391" s="8" t="s">
        <v>1974</v>
      </c>
      <c r="H391" s="8" t="s">
        <v>2010</v>
      </c>
      <c r="I391" s="27" t="s">
        <v>2011</v>
      </c>
      <c r="J391" s="8" t="s">
        <v>185</v>
      </c>
      <c r="K391" s="8" t="s">
        <v>184</v>
      </c>
      <c r="L391" s="8" t="s">
        <v>203</v>
      </c>
      <c r="M391" s="8" t="str">
        <f aca="false">IF(K391="FUERA","Fuera del marco",IF(K391="N/A","Sin marco",IFERROR(INDEX(Catalogo_TIMSS!$C$5:$C$105,MATCH(K391,Catalogo_TIMSS!$A$5:$A$105,0)),"Pendiente de clasificar")))</f>
        <v>Biología</v>
      </c>
      <c r="N391" s="8" t="str">
        <f aca="false">IF(K391="FUERA","Fuera del marco",IF(K391="N/A","Sin marco",IFERROR(INDEX(Catalogo_TIMSS!$F$5:$F$105,MATCH(K391,Catalogo_TIMSS!$A$5:$A$105,0)),"Pendiente de clasificar")))</f>
        <v>Características y procesos vitales de los organismos</v>
      </c>
      <c r="O391" s="8" t="str">
        <f aca="false">IF(L391="","",IFERROR(INDEX(Catalogo_TIMSS!$C$5:$C$105,MATCH(L391,Catalogo_TIMSS!$A$5:$A$105,0)),"?"))</f>
        <v>Biología</v>
      </c>
      <c r="P391" s="8" t="s">
        <v>460</v>
      </c>
      <c r="Q391" s="27" t="s">
        <v>2012</v>
      </c>
      <c r="R391" s="27" t="s">
        <v>2013</v>
      </c>
      <c r="S391" s="28" t="n">
        <f aca="false">IFERROR(ISNUMBER(SEARCH("Conocer",$R391))/(ISNUMBER(SEARCH("Conocer",$R391))+ISNUMBER(SEARCH("Aplicar",$R391))+ISNUMBER(SEARCH("Razonar",$R391))),0)</f>
        <v>1</v>
      </c>
      <c r="T391" s="28" t="n">
        <f aca="false">IFERROR(ISNUMBER(SEARCH("Aplicar",$R391))/(ISNUMBER(SEARCH("Conocer",$R391))+ISNUMBER(SEARCH("Aplicar",$R391))+ISNUMBER(SEARCH("Razonar",$R391))),0)</f>
        <v>0</v>
      </c>
      <c r="U391" s="28" t="n">
        <f aca="false">IFERROR(ISNUMBER(SEARCH("Razonar",$R391))/(ISNUMBER(SEARCH("Conocer",$R391))+ISNUMBER(SEARCH("Aplicar",$R391))+ISNUMBER(SEARCH("Razonar",$R391))),0)</f>
        <v>0</v>
      </c>
      <c r="V391" s="8" t="s">
        <v>51</v>
      </c>
      <c r="W391" s="8" t="s">
        <v>67</v>
      </c>
    </row>
    <row r="392" customFormat="false" ht="15" hidden="false" customHeight="false" outlineLevel="0" collapsed="false">
      <c r="A392" s="8" t="s">
        <v>2014</v>
      </c>
      <c r="B392" s="8" t="n">
        <v>7</v>
      </c>
      <c r="C392" s="8" t="s">
        <v>411</v>
      </c>
      <c r="D392" s="8" t="s">
        <v>1864</v>
      </c>
      <c r="E392" s="8" t="s">
        <v>1973</v>
      </c>
      <c r="F392" s="8" t="n">
        <v>13</v>
      </c>
      <c r="G392" s="8" t="s">
        <v>1974</v>
      </c>
      <c r="H392" s="8" t="s">
        <v>2010</v>
      </c>
      <c r="I392" s="27" t="s">
        <v>2015</v>
      </c>
      <c r="J392" s="8" t="s">
        <v>185</v>
      </c>
      <c r="K392" s="8" t="s">
        <v>184</v>
      </c>
      <c r="L392" s="8" t="s">
        <v>203</v>
      </c>
      <c r="M392" s="8" t="str">
        <f aca="false">IF(K392="FUERA","Fuera del marco",IF(K392="N/A","Sin marco",IFERROR(INDEX(Catalogo_TIMSS!$C$5:$C$105,MATCH(K392,Catalogo_TIMSS!$A$5:$A$105,0)),"Pendiente de clasificar")))</f>
        <v>Biología</v>
      </c>
      <c r="N392" s="8" t="str">
        <f aca="false">IF(K392="FUERA","Fuera del marco",IF(K392="N/A","Sin marco",IFERROR(INDEX(Catalogo_TIMSS!$F$5:$F$105,MATCH(K392,Catalogo_TIMSS!$A$5:$A$105,0)),"Pendiente de clasificar")))</f>
        <v>Características y procesos vitales de los organismos</v>
      </c>
      <c r="O392" s="8" t="str">
        <f aca="false">IF(L392="","",IFERROR(INDEX(Catalogo_TIMSS!$C$5:$C$105,MATCH(L392,Catalogo_TIMSS!$A$5:$A$105,0)),"?"))</f>
        <v>Biología</v>
      </c>
      <c r="P392" s="8" t="s">
        <v>460</v>
      </c>
      <c r="Q392" s="27" t="s">
        <v>2016</v>
      </c>
      <c r="R392" s="27" t="s">
        <v>2017</v>
      </c>
      <c r="S392" s="28" t="n">
        <f aca="false">IFERROR(ISNUMBER(SEARCH("Conocer",$R392))/(ISNUMBER(SEARCH("Conocer",$R392))+ISNUMBER(SEARCH("Aplicar",$R392))+ISNUMBER(SEARCH("Razonar",$R392))),0)</f>
        <v>0</v>
      </c>
      <c r="T392" s="28" t="n">
        <f aca="false">IFERROR(ISNUMBER(SEARCH("Aplicar",$R392))/(ISNUMBER(SEARCH("Conocer",$R392))+ISNUMBER(SEARCH("Aplicar",$R392))+ISNUMBER(SEARCH("Razonar",$R392))),0)</f>
        <v>1</v>
      </c>
      <c r="U392" s="28" t="n">
        <f aca="false">IFERROR(ISNUMBER(SEARCH("Razonar",$R392))/(ISNUMBER(SEARCH("Conocer",$R392))+ISNUMBER(SEARCH("Aplicar",$R392))+ISNUMBER(SEARCH("Razonar",$R392))),0)</f>
        <v>0</v>
      </c>
      <c r="V392" s="8" t="s">
        <v>51</v>
      </c>
      <c r="W392" s="8" t="s">
        <v>67</v>
      </c>
    </row>
    <row r="393" customFormat="false" ht="15" hidden="false" customHeight="false" outlineLevel="0" collapsed="false">
      <c r="A393" s="8" t="s">
        <v>2018</v>
      </c>
      <c r="B393" s="8" t="n">
        <v>7</v>
      </c>
      <c r="C393" s="8" t="s">
        <v>411</v>
      </c>
      <c r="D393" s="8" t="s">
        <v>1864</v>
      </c>
      <c r="E393" s="8" t="s">
        <v>1973</v>
      </c>
      <c r="F393" s="8" t="n">
        <v>14</v>
      </c>
      <c r="G393" s="8" t="s">
        <v>1974</v>
      </c>
      <c r="H393" s="8" t="s">
        <v>2019</v>
      </c>
      <c r="I393" s="27" t="s">
        <v>2020</v>
      </c>
      <c r="J393" s="8" t="s">
        <v>185</v>
      </c>
      <c r="K393" s="8" t="s">
        <v>184</v>
      </c>
      <c r="L393" s="8"/>
      <c r="M393" s="8" t="str">
        <f aca="false">IF(K393="FUERA","Fuera del marco",IF(K393="N/A","Sin marco",IFERROR(INDEX(Catalogo_TIMSS!$C$5:$C$105,MATCH(K393,Catalogo_TIMSS!$A$5:$A$105,0)),"Pendiente de clasificar")))</f>
        <v>Biología</v>
      </c>
      <c r="N393" s="8" t="str">
        <f aca="false">IF(K393="FUERA","Fuera del marco",IF(K393="N/A","Sin marco",IFERROR(INDEX(Catalogo_TIMSS!$F$5:$F$105,MATCH(K393,Catalogo_TIMSS!$A$5:$A$105,0)),"Pendiente de clasificar")))</f>
        <v>Características y procesos vitales de los organismos</v>
      </c>
      <c r="O393" s="8" t="str">
        <f aca="false">IF(L393="","",IFERROR(INDEX(Catalogo_TIMSS!$C$5:$C$105,MATCH(L393,Catalogo_TIMSS!$A$5:$A$105,0)),"?"))</f>
        <v/>
      </c>
      <c r="P393" s="8" t="s">
        <v>418</v>
      </c>
      <c r="Q393" s="27" t="s">
        <v>2021</v>
      </c>
      <c r="R393" s="27" t="s">
        <v>536</v>
      </c>
      <c r="S393" s="28" t="n">
        <f aca="false">IFERROR(ISNUMBER(SEARCH("Conocer",$R393))/(ISNUMBER(SEARCH("Conocer",$R393))+ISNUMBER(SEARCH("Aplicar",$R393))+ISNUMBER(SEARCH("Razonar",$R393))),0)</f>
        <v>1</v>
      </c>
      <c r="T393" s="28" t="n">
        <f aca="false">IFERROR(ISNUMBER(SEARCH("Aplicar",$R393))/(ISNUMBER(SEARCH("Conocer",$R393))+ISNUMBER(SEARCH("Aplicar",$R393))+ISNUMBER(SEARCH("Razonar",$R393))),0)</f>
        <v>0</v>
      </c>
      <c r="U393" s="28" t="n">
        <f aca="false">IFERROR(ISNUMBER(SEARCH("Razonar",$R393))/(ISNUMBER(SEARCH("Conocer",$R393))+ISNUMBER(SEARCH("Aplicar",$R393))+ISNUMBER(SEARCH("Razonar",$R393))),0)</f>
        <v>0</v>
      </c>
      <c r="V393" s="8" t="s">
        <v>51</v>
      </c>
      <c r="W393" s="8" t="s">
        <v>67</v>
      </c>
    </row>
    <row r="394" customFormat="false" ht="15" hidden="false" customHeight="false" outlineLevel="0" collapsed="false">
      <c r="A394" s="8" t="s">
        <v>2022</v>
      </c>
      <c r="B394" s="8" t="n">
        <v>7</v>
      </c>
      <c r="C394" s="8" t="s">
        <v>411</v>
      </c>
      <c r="D394" s="8" t="s">
        <v>1864</v>
      </c>
      <c r="E394" s="8" t="s">
        <v>2023</v>
      </c>
      <c r="F394" s="8" t="n">
        <v>3</v>
      </c>
      <c r="G394" s="8" t="s">
        <v>2024</v>
      </c>
      <c r="H394" s="8" t="s">
        <v>2025</v>
      </c>
      <c r="I394" s="27" t="s">
        <v>2026</v>
      </c>
      <c r="J394" s="8" t="s">
        <v>185</v>
      </c>
      <c r="K394" s="8" t="s">
        <v>209</v>
      </c>
      <c r="L394" s="8"/>
      <c r="M394" s="8" t="str">
        <f aca="false">IF(K394="FUERA","Fuera del marco",IF(K394="N/A","Sin marco",IFERROR(INDEX(Catalogo_TIMSS!$C$5:$C$105,MATCH(K394,Catalogo_TIMSS!$A$5:$A$105,0)),"Pendiente de clasificar")))</f>
        <v>Biología</v>
      </c>
      <c r="N394" s="8" t="str">
        <f aca="false">IF(K394="FUERA","Fuera del marco",IF(K394="N/A","Sin marco",IFERROR(INDEX(Catalogo_TIMSS!$F$5:$F$105,MATCH(K394,Catalogo_TIMSS!$A$5:$A$105,0)),"Pendiente de clasificar")))</f>
        <v>Ecosistemas</v>
      </c>
      <c r="O394" s="8" t="str">
        <f aca="false">IF(L394="","",IFERROR(INDEX(Catalogo_TIMSS!$C$5:$C$105,MATCH(L394,Catalogo_TIMSS!$A$5:$A$105,0)),"?"))</f>
        <v/>
      </c>
      <c r="P394" s="8" t="s">
        <v>418</v>
      </c>
      <c r="Q394" s="27" t="s">
        <v>2027</v>
      </c>
      <c r="R394" s="27" t="s">
        <v>1464</v>
      </c>
      <c r="S394" s="28" t="n">
        <f aca="false">IFERROR(ISNUMBER(SEARCH("Conocer",$R394))/(ISNUMBER(SEARCH("Conocer",$R394))+ISNUMBER(SEARCH("Aplicar",$R394))+ISNUMBER(SEARCH("Razonar",$R394))),0)</f>
        <v>0</v>
      </c>
      <c r="T394" s="28" t="n">
        <f aca="false">IFERROR(ISNUMBER(SEARCH("Aplicar",$R394))/(ISNUMBER(SEARCH("Conocer",$R394))+ISNUMBER(SEARCH("Aplicar",$R394))+ISNUMBER(SEARCH("Razonar",$R394))),0)</f>
        <v>1</v>
      </c>
      <c r="U394" s="28" t="n">
        <f aca="false">IFERROR(ISNUMBER(SEARCH("Razonar",$R394))/(ISNUMBER(SEARCH("Conocer",$R394))+ISNUMBER(SEARCH("Aplicar",$R394))+ISNUMBER(SEARCH("Razonar",$R394))),0)</f>
        <v>0</v>
      </c>
      <c r="V394" s="8" t="s">
        <v>51</v>
      </c>
      <c r="W394" s="8" t="s">
        <v>67</v>
      </c>
    </row>
    <row r="395" customFormat="false" ht="15" hidden="false" customHeight="false" outlineLevel="0" collapsed="false">
      <c r="A395" s="8" t="s">
        <v>2028</v>
      </c>
      <c r="B395" s="8" t="n">
        <v>7</v>
      </c>
      <c r="C395" s="8" t="s">
        <v>411</v>
      </c>
      <c r="D395" s="8" t="s">
        <v>1864</v>
      </c>
      <c r="E395" s="8" t="s">
        <v>2023</v>
      </c>
      <c r="F395" s="8" t="n">
        <v>4</v>
      </c>
      <c r="G395" s="8" t="s">
        <v>2024</v>
      </c>
      <c r="H395" s="8" t="s">
        <v>2025</v>
      </c>
      <c r="I395" s="27" t="s">
        <v>2029</v>
      </c>
      <c r="J395" s="8" t="s">
        <v>185</v>
      </c>
      <c r="K395" s="8" t="s">
        <v>209</v>
      </c>
      <c r="L395" s="8"/>
      <c r="M395" s="8" t="str">
        <f aca="false">IF(K395="FUERA","Fuera del marco",IF(K395="N/A","Sin marco",IFERROR(INDEX(Catalogo_TIMSS!$C$5:$C$105,MATCH(K395,Catalogo_TIMSS!$A$5:$A$105,0)),"Pendiente de clasificar")))</f>
        <v>Biología</v>
      </c>
      <c r="N395" s="8" t="str">
        <f aca="false">IF(K395="FUERA","Fuera del marco",IF(K395="N/A","Sin marco",IFERROR(INDEX(Catalogo_TIMSS!$F$5:$F$105,MATCH(K395,Catalogo_TIMSS!$A$5:$A$105,0)),"Pendiente de clasificar")))</f>
        <v>Ecosistemas</v>
      </c>
      <c r="O395" s="8" t="str">
        <f aca="false">IF(L395="","",IFERROR(INDEX(Catalogo_TIMSS!$C$5:$C$105,MATCH(L395,Catalogo_TIMSS!$A$5:$A$105,0)),"?"))</f>
        <v/>
      </c>
      <c r="P395" s="8" t="s">
        <v>418</v>
      </c>
      <c r="Q395" s="27" t="s">
        <v>2030</v>
      </c>
      <c r="R395" s="27" t="s">
        <v>2031</v>
      </c>
      <c r="S395" s="28" t="n">
        <f aca="false">IFERROR(ISNUMBER(SEARCH("Conocer",$R395))/(ISNUMBER(SEARCH("Conocer",$R395))+ISNUMBER(SEARCH("Aplicar",$R395))+ISNUMBER(SEARCH("Razonar",$R395))),0)</f>
        <v>0</v>
      </c>
      <c r="T395" s="28" t="n">
        <f aca="false">IFERROR(ISNUMBER(SEARCH("Aplicar",$R395))/(ISNUMBER(SEARCH("Conocer",$R395))+ISNUMBER(SEARCH("Aplicar",$R395))+ISNUMBER(SEARCH("Razonar",$R395))),0)</f>
        <v>1</v>
      </c>
      <c r="U395" s="28" t="n">
        <f aca="false">IFERROR(ISNUMBER(SEARCH("Razonar",$R395))/(ISNUMBER(SEARCH("Conocer",$R395))+ISNUMBER(SEARCH("Aplicar",$R395))+ISNUMBER(SEARCH("Razonar",$R395))),0)</f>
        <v>0</v>
      </c>
      <c r="V395" s="8" t="s">
        <v>51</v>
      </c>
      <c r="W395" s="8" t="s">
        <v>67</v>
      </c>
    </row>
    <row r="396" customFormat="false" ht="15" hidden="false" customHeight="false" outlineLevel="0" collapsed="false">
      <c r="A396" s="8" t="s">
        <v>2032</v>
      </c>
      <c r="B396" s="8" t="n">
        <v>7</v>
      </c>
      <c r="C396" s="8" t="s">
        <v>411</v>
      </c>
      <c r="D396" s="8" t="s">
        <v>1864</v>
      </c>
      <c r="E396" s="8" t="s">
        <v>2023</v>
      </c>
      <c r="F396" s="8" t="n">
        <v>5</v>
      </c>
      <c r="G396" s="8" t="s">
        <v>2024</v>
      </c>
      <c r="H396" s="8" t="s">
        <v>2033</v>
      </c>
      <c r="I396" s="27" t="s">
        <v>2034</v>
      </c>
      <c r="J396" s="8" t="s">
        <v>185</v>
      </c>
      <c r="K396" s="8" t="s">
        <v>211</v>
      </c>
      <c r="L396" s="8"/>
      <c r="M396" s="8" t="str">
        <f aca="false">IF(K396="FUERA","Fuera del marco",IF(K396="N/A","Sin marco",IFERROR(INDEX(Catalogo_TIMSS!$C$5:$C$105,MATCH(K396,Catalogo_TIMSS!$A$5:$A$105,0)),"Pendiente de clasificar")))</f>
        <v>Biología</v>
      </c>
      <c r="N396" s="8" t="str">
        <f aca="false">IF(K396="FUERA","Fuera del marco",IF(K396="N/A","Sin marco",IFERROR(INDEX(Catalogo_TIMSS!$F$5:$F$105,MATCH(K396,Catalogo_TIMSS!$A$5:$A$105,0)),"Pendiente de clasificar")))</f>
        <v>Ecosistemas</v>
      </c>
      <c r="O396" s="8" t="str">
        <f aca="false">IF(L396="","",IFERROR(INDEX(Catalogo_TIMSS!$C$5:$C$105,MATCH(L396,Catalogo_TIMSS!$A$5:$A$105,0)),"?"))</f>
        <v/>
      </c>
      <c r="P396" s="8" t="s">
        <v>460</v>
      </c>
      <c r="Q396" s="27" t="s">
        <v>2035</v>
      </c>
      <c r="R396" s="27" t="s">
        <v>1032</v>
      </c>
      <c r="S396" s="28" t="n">
        <f aca="false">IFERROR(ISNUMBER(SEARCH("Conocer",$R396))/(ISNUMBER(SEARCH("Conocer",$R396))+ISNUMBER(SEARCH("Aplicar",$R396))+ISNUMBER(SEARCH("Razonar",$R396))),0)</f>
        <v>1</v>
      </c>
      <c r="T396" s="28" t="n">
        <f aca="false">IFERROR(ISNUMBER(SEARCH("Aplicar",$R396))/(ISNUMBER(SEARCH("Conocer",$R396))+ISNUMBER(SEARCH("Aplicar",$R396))+ISNUMBER(SEARCH("Razonar",$R396))),0)</f>
        <v>0</v>
      </c>
      <c r="U396" s="28" t="n">
        <f aca="false">IFERROR(ISNUMBER(SEARCH("Razonar",$R396))/(ISNUMBER(SEARCH("Conocer",$R396))+ISNUMBER(SEARCH("Aplicar",$R396))+ISNUMBER(SEARCH("Razonar",$R396))),0)</f>
        <v>0</v>
      </c>
      <c r="V396" s="8" t="s">
        <v>51</v>
      </c>
      <c r="W396" s="8" t="s">
        <v>67</v>
      </c>
    </row>
    <row r="397" customFormat="false" ht="15" hidden="false" customHeight="false" outlineLevel="0" collapsed="false">
      <c r="A397" s="8" t="s">
        <v>2036</v>
      </c>
      <c r="B397" s="8" t="n">
        <v>7</v>
      </c>
      <c r="C397" s="8" t="s">
        <v>411</v>
      </c>
      <c r="D397" s="8" t="s">
        <v>1864</v>
      </c>
      <c r="E397" s="8" t="s">
        <v>2023</v>
      </c>
      <c r="F397" s="8" t="n">
        <v>6</v>
      </c>
      <c r="G397" s="8" t="s">
        <v>2024</v>
      </c>
      <c r="H397" s="8" t="s">
        <v>2033</v>
      </c>
      <c r="I397" s="27" t="s">
        <v>2037</v>
      </c>
      <c r="J397" s="8" t="s">
        <v>185</v>
      </c>
      <c r="K397" s="8" t="s">
        <v>211</v>
      </c>
      <c r="L397" s="8"/>
      <c r="M397" s="8" t="str">
        <f aca="false">IF(K397="FUERA","Fuera del marco",IF(K397="N/A","Sin marco",IFERROR(INDEX(Catalogo_TIMSS!$C$5:$C$105,MATCH(K397,Catalogo_TIMSS!$A$5:$A$105,0)),"Pendiente de clasificar")))</f>
        <v>Biología</v>
      </c>
      <c r="N397" s="8" t="str">
        <f aca="false">IF(K397="FUERA","Fuera del marco",IF(K397="N/A","Sin marco",IFERROR(INDEX(Catalogo_TIMSS!$F$5:$F$105,MATCH(K397,Catalogo_TIMSS!$A$5:$A$105,0)),"Pendiente de clasificar")))</f>
        <v>Ecosistemas</v>
      </c>
      <c r="O397" s="8" t="str">
        <f aca="false">IF(L397="","",IFERROR(INDEX(Catalogo_TIMSS!$C$5:$C$105,MATCH(L397,Catalogo_TIMSS!$A$5:$A$105,0)),"?"))</f>
        <v/>
      </c>
      <c r="P397" s="8" t="s">
        <v>418</v>
      </c>
      <c r="Q397" s="27" t="s">
        <v>2038</v>
      </c>
      <c r="R397" s="27" t="s">
        <v>1637</v>
      </c>
      <c r="S397" s="28" t="n">
        <f aca="false">IFERROR(ISNUMBER(SEARCH("Conocer",$R397))/(ISNUMBER(SEARCH("Conocer",$R397))+ISNUMBER(SEARCH("Aplicar",$R397))+ISNUMBER(SEARCH("Razonar",$R397))),0)</f>
        <v>0</v>
      </c>
      <c r="T397" s="28" t="n">
        <f aca="false">IFERROR(ISNUMBER(SEARCH("Aplicar",$R397))/(ISNUMBER(SEARCH("Conocer",$R397))+ISNUMBER(SEARCH("Aplicar",$R397))+ISNUMBER(SEARCH("Razonar",$R397))),0)</f>
        <v>0.5</v>
      </c>
      <c r="U397" s="28" t="n">
        <f aca="false">IFERROR(ISNUMBER(SEARCH("Razonar",$R397))/(ISNUMBER(SEARCH("Conocer",$R397))+ISNUMBER(SEARCH("Aplicar",$R397))+ISNUMBER(SEARCH("Razonar",$R397))),0)</f>
        <v>0.5</v>
      </c>
      <c r="V397" s="8" t="s">
        <v>51</v>
      </c>
      <c r="W397" s="8" t="s">
        <v>67</v>
      </c>
    </row>
    <row r="398" customFormat="false" ht="15" hidden="false" customHeight="false" outlineLevel="0" collapsed="false">
      <c r="A398" s="8" t="s">
        <v>2039</v>
      </c>
      <c r="B398" s="8" t="n">
        <v>7</v>
      </c>
      <c r="C398" s="8" t="s">
        <v>411</v>
      </c>
      <c r="D398" s="8" t="s">
        <v>1864</v>
      </c>
      <c r="E398" s="8" t="s">
        <v>2023</v>
      </c>
      <c r="F398" s="8" t="n">
        <v>7</v>
      </c>
      <c r="G398" s="8" t="s">
        <v>2024</v>
      </c>
      <c r="H398" s="8" t="s">
        <v>2040</v>
      </c>
      <c r="I398" s="27" t="s">
        <v>2041</v>
      </c>
      <c r="J398" s="8" t="s">
        <v>185</v>
      </c>
      <c r="K398" s="8" t="s">
        <v>209</v>
      </c>
      <c r="L398" s="8" t="s">
        <v>205</v>
      </c>
      <c r="M398" s="8" t="str">
        <f aca="false">IF(K398="FUERA","Fuera del marco",IF(K398="N/A","Sin marco",IFERROR(INDEX(Catalogo_TIMSS!$C$5:$C$105,MATCH(K398,Catalogo_TIMSS!$A$5:$A$105,0)),"Pendiente de clasificar")))</f>
        <v>Biología</v>
      </c>
      <c r="N398" s="8" t="str">
        <f aca="false">IF(K398="FUERA","Fuera del marco",IF(K398="N/A","Sin marco",IFERROR(INDEX(Catalogo_TIMSS!$F$5:$F$105,MATCH(K398,Catalogo_TIMSS!$A$5:$A$105,0)),"Pendiente de clasificar")))</f>
        <v>Ecosistemas</v>
      </c>
      <c r="O398" s="8" t="str">
        <f aca="false">IF(L398="","",IFERROR(INDEX(Catalogo_TIMSS!$C$5:$C$105,MATCH(L398,Catalogo_TIMSS!$A$5:$A$105,0)),"?"))</f>
        <v>Biología</v>
      </c>
      <c r="P398" s="8" t="s">
        <v>460</v>
      </c>
      <c r="Q398" s="27" t="s">
        <v>2042</v>
      </c>
      <c r="R398" s="27" t="s">
        <v>1833</v>
      </c>
      <c r="S398" s="28" t="n">
        <f aca="false">IFERROR(ISNUMBER(SEARCH("Conocer",$R398))/(ISNUMBER(SEARCH("Conocer",$R398))+ISNUMBER(SEARCH("Aplicar",$R398))+ISNUMBER(SEARCH("Razonar",$R398))),0)</f>
        <v>1</v>
      </c>
      <c r="T398" s="28" t="n">
        <f aca="false">IFERROR(ISNUMBER(SEARCH("Aplicar",$R398))/(ISNUMBER(SEARCH("Conocer",$R398))+ISNUMBER(SEARCH("Aplicar",$R398))+ISNUMBER(SEARCH("Razonar",$R398))),0)</f>
        <v>0</v>
      </c>
      <c r="U398" s="28" t="n">
        <f aca="false">IFERROR(ISNUMBER(SEARCH("Razonar",$R398))/(ISNUMBER(SEARCH("Conocer",$R398))+ISNUMBER(SEARCH("Aplicar",$R398))+ISNUMBER(SEARCH("Razonar",$R398))),0)</f>
        <v>0</v>
      </c>
      <c r="V398" s="8" t="s">
        <v>51</v>
      </c>
      <c r="W398" s="8" t="s">
        <v>67</v>
      </c>
    </row>
    <row r="399" customFormat="false" ht="15" hidden="false" customHeight="false" outlineLevel="0" collapsed="false">
      <c r="A399" s="8" t="s">
        <v>2043</v>
      </c>
      <c r="B399" s="8" t="n">
        <v>7</v>
      </c>
      <c r="C399" s="8" t="s">
        <v>411</v>
      </c>
      <c r="D399" s="8" t="s">
        <v>1864</v>
      </c>
      <c r="E399" s="8" t="s">
        <v>2023</v>
      </c>
      <c r="F399" s="8" t="n">
        <v>8</v>
      </c>
      <c r="G399" s="8" t="s">
        <v>2024</v>
      </c>
      <c r="H399" s="8" t="s">
        <v>2040</v>
      </c>
      <c r="I399" s="27" t="s">
        <v>2044</v>
      </c>
      <c r="J399" s="8" t="s">
        <v>185</v>
      </c>
      <c r="K399" s="8" t="s">
        <v>211</v>
      </c>
      <c r="L399" s="8"/>
      <c r="M399" s="8" t="str">
        <f aca="false">IF(K399="FUERA","Fuera del marco",IF(K399="N/A","Sin marco",IFERROR(INDEX(Catalogo_TIMSS!$C$5:$C$105,MATCH(K399,Catalogo_TIMSS!$A$5:$A$105,0)),"Pendiente de clasificar")))</f>
        <v>Biología</v>
      </c>
      <c r="N399" s="8" t="str">
        <f aca="false">IF(K399="FUERA","Fuera del marco",IF(K399="N/A","Sin marco",IFERROR(INDEX(Catalogo_TIMSS!$F$5:$F$105,MATCH(K399,Catalogo_TIMSS!$A$5:$A$105,0)),"Pendiente de clasificar")))</f>
        <v>Ecosistemas</v>
      </c>
      <c r="O399" s="8" t="str">
        <f aca="false">IF(L399="","",IFERROR(INDEX(Catalogo_TIMSS!$C$5:$C$105,MATCH(L399,Catalogo_TIMSS!$A$5:$A$105,0)),"?"))</f>
        <v/>
      </c>
      <c r="P399" s="8" t="s">
        <v>513</v>
      </c>
      <c r="Q399" s="27" t="s">
        <v>2045</v>
      </c>
      <c r="R399" s="27" t="s">
        <v>2046</v>
      </c>
      <c r="S399" s="28" t="n">
        <f aca="false">IFERROR(ISNUMBER(SEARCH("Conocer",$R399))/(ISNUMBER(SEARCH("Conocer",$R399))+ISNUMBER(SEARCH("Aplicar",$R399))+ISNUMBER(SEARCH("Razonar",$R399))),0)</f>
        <v>0</v>
      </c>
      <c r="T399" s="28" t="n">
        <f aca="false">IFERROR(ISNUMBER(SEARCH("Aplicar",$R399))/(ISNUMBER(SEARCH("Conocer",$R399))+ISNUMBER(SEARCH("Aplicar",$R399))+ISNUMBER(SEARCH("Razonar",$R399))),0)</f>
        <v>0.5</v>
      </c>
      <c r="U399" s="28" t="n">
        <f aca="false">IFERROR(ISNUMBER(SEARCH("Razonar",$R399))/(ISNUMBER(SEARCH("Conocer",$R399))+ISNUMBER(SEARCH("Aplicar",$R399))+ISNUMBER(SEARCH("Razonar",$R399))),0)</f>
        <v>0.5</v>
      </c>
      <c r="V399" s="8" t="s">
        <v>51</v>
      </c>
      <c r="W399" s="8" t="s">
        <v>67</v>
      </c>
    </row>
    <row r="400" customFormat="false" ht="15" hidden="false" customHeight="false" outlineLevel="0" collapsed="false">
      <c r="A400" s="8" t="s">
        <v>2047</v>
      </c>
      <c r="B400" s="8" t="n">
        <v>7</v>
      </c>
      <c r="C400" s="8" t="s">
        <v>411</v>
      </c>
      <c r="D400" s="8" t="s">
        <v>1864</v>
      </c>
      <c r="E400" s="8" t="s">
        <v>2023</v>
      </c>
      <c r="F400" s="8" t="n">
        <v>9</v>
      </c>
      <c r="G400" s="8" t="s">
        <v>2024</v>
      </c>
      <c r="H400" s="8" t="s">
        <v>2040</v>
      </c>
      <c r="I400" s="27" t="s">
        <v>2048</v>
      </c>
      <c r="J400" s="8" t="s">
        <v>185</v>
      </c>
      <c r="K400" s="8" t="s">
        <v>211</v>
      </c>
      <c r="L400" s="8"/>
      <c r="M400" s="8" t="str">
        <f aca="false">IF(K400="FUERA","Fuera del marco",IF(K400="N/A","Sin marco",IFERROR(INDEX(Catalogo_TIMSS!$C$5:$C$105,MATCH(K400,Catalogo_TIMSS!$A$5:$A$105,0)),"Pendiente de clasificar")))</f>
        <v>Biología</v>
      </c>
      <c r="N400" s="8" t="str">
        <f aca="false">IF(K400="FUERA","Fuera del marco",IF(K400="N/A","Sin marco",IFERROR(INDEX(Catalogo_TIMSS!$F$5:$F$105,MATCH(K400,Catalogo_TIMSS!$A$5:$A$105,0)),"Pendiente de clasificar")))</f>
        <v>Ecosistemas</v>
      </c>
      <c r="O400" s="8" t="str">
        <f aca="false">IF(L400="","",IFERROR(INDEX(Catalogo_TIMSS!$C$5:$C$105,MATCH(L400,Catalogo_TIMSS!$A$5:$A$105,0)),"?"))</f>
        <v/>
      </c>
      <c r="P400" s="8" t="s">
        <v>513</v>
      </c>
      <c r="Q400" s="27" t="s">
        <v>2049</v>
      </c>
      <c r="R400" s="27" t="s">
        <v>1714</v>
      </c>
      <c r="S400" s="28" t="n">
        <f aca="false">IFERROR(ISNUMBER(SEARCH("Conocer",$R400))/(ISNUMBER(SEARCH("Conocer",$R400))+ISNUMBER(SEARCH("Aplicar",$R400))+ISNUMBER(SEARCH("Razonar",$R400))),0)</f>
        <v>0</v>
      </c>
      <c r="T400" s="28" t="n">
        <f aca="false">IFERROR(ISNUMBER(SEARCH("Aplicar",$R400))/(ISNUMBER(SEARCH("Conocer",$R400))+ISNUMBER(SEARCH("Aplicar",$R400))+ISNUMBER(SEARCH("Razonar",$R400))),0)</f>
        <v>0</v>
      </c>
      <c r="U400" s="28" t="n">
        <f aca="false">IFERROR(ISNUMBER(SEARCH("Razonar",$R400))/(ISNUMBER(SEARCH("Conocer",$R400))+ISNUMBER(SEARCH("Aplicar",$R400))+ISNUMBER(SEARCH("Razonar",$R400))),0)</f>
        <v>1</v>
      </c>
      <c r="V400" s="8" t="s">
        <v>51</v>
      </c>
      <c r="W400" s="8" t="s">
        <v>67</v>
      </c>
    </row>
    <row r="401" customFormat="false" ht="15" hidden="false" customHeight="false" outlineLevel="0" collapsed="false">
      <c r="A401" s="8" t="s">
        <v>2050</v>
      </c>
      <c r="B401" s="8" t="n">
        <v>7</v>
      </c>
      <c r="C401" s="8" t="s">
        <v>411</v>
      </c>
      <c r="D401" s="8" t="s">
        <v>1864</v>
      </c>
      <c r="E401" s="8" t="s">
        <v>2023</v>
      </c>
      <c r="F401" s="8" t="n">
        <v>10</v>
      </c>
      <c r="G401" s="8" t="s">
        <v>2024</v>
      </c>
      <c r="H401" s="8" t="s">
        <v>129</v>
      </c>
      <c r="I401" s="27" t="s">
        <v>2051</v>
      </c>
      <c r="J401" s="8" t="s">
        <v>185</v>
      </c>
      <c r="K401" s="8" t="s">
        <v>205</v>
      </c>
      <c r="L401" s="8" t="s">
        <v>207</v>
      </c>
      <c r="M401" s="8" t="str">
        <f aca="false">IF(K401="FUERA","Fuera del marco",IF(K401="N/A","Sin marco",IFERROR(INDEX(Catalogo_TIMSS!$C$5:$C$105,MATCH(K401,Catalogo_TIMSS!$A$5:$A$105,0)),"Pendiente de clasificar")))</f>
        <v>Biología</v>
      </c>
      <c r="N401" s="8" t="str">
        <f aca="false">IF(K401="FUERA","Fuera del marco",IF(K401="N/A","Sin marco",IFERROR(INDEX(Catalogo_TIMSS!$F$5:$F$105,MATCH(K401,Catalogo_TIMSS!$A$5:$A$105,0)),"Pendiente de clasificar")))</f>
        <v>Ecosistemas</v>
      </c>
      <c r="O401" s="8" t="str">
        <f aca="false">IF(L401="","",IFERROR(INDEX(Catalogo_TIMSS!$C$5:$C$105,MATCH(L401,Catalogo_TIMSS!$A$5:$A$105,0)),"?"))</f>
        <v>Biología</v>
      </c>
      <c r="P401" s="8" t="s">
        <v>460</v>
      </c>
      <c r="Q401" s="27" t="s">
        <v>2052</v>
      </c>
      <c r="R401" s="27" t="s">
        <v>680</v>
      </c>
      <c r="S401" s="28" t="n">
        <f aca="false">IFERROR(ISNUMBER(SEARCH("Conocer",$R401))/(ISNUMBER(SEARCH("Conocer",$R401))+ISNUMBER(SEARCH("Aplicar",$R401))+ISNUMBER(SEARCH("Razonar",$R401))),0)</f>
        <v>1</v>
      </c>
      <c r="T401" s="28" t="n">
        <f aca="false">IFERROR(ISNUMBER(SEARCH("Aplicar",$R401))/(ISNUMBER(SEARCH("Conocer",$R401))+ISNUMBER(SEARCH("Aplicar",$R401))+ISNUMBER(SEARCH("Razonar",$R401))),0)</f>
        <v>0</v>
      </c>
      <c r="U401" s="28" t="n">
        <f aca="false">IFERROR(ISNUMBER(SEARCH("Razonar",$R401))/(ISNUMBER(SEARCH("Conocer",$R401))+ISNUMBER(SEARCH("Aplicar",$R401))+ISNUMBER(SEARCH("Razonar",$R401))),0)</f>
        <v>0</v>
      </c>
      <c r="V401" s="8" t="s">
        <v>51</v>
      </c>
      <c r="W401" s="8" t="s">
        <v>67</v>
      </c>
    </row>
    <row r="402" customFormat="false" ht="15" hidden="false" customHeight="false" outlineLevel="0" collapsed="false">
      <c r="A402" s="8" t="s">
        <v>2053</v>
      </c>
      <c r="B402" s="8" t="n">
        <v>7</v>
      </c>
      <c r="C402" s="8" t="s">
        <v>411</v>
      </c>
      <c r="D402" s="8" t="s">
        <v>1864</v>
      </c>
      <c r="E402" s="8" t="s">
        <v>2023</v>
      </c>
      <c r="F402" s="8" t="n">
        <v>11</v>
      </c>
      <c r="G402" s="8" t="s">
        <v>2024</v>
      </c>
      <c r="H402" s="8" t="s">
        <v>129</v>
      </c>
      <c r="I402" s="27" t="s">
        <v>2054</v>
      </c>
      <c r="J402" s="8" t="s">
        <v>185</v>
      </c>
      <c r="K402" s="8" t="s">
        <v>280</v>
      </c>
      <c r="L402" s="8"/>
      <c r="M402" s="8" t="str">
        <f aca="false">IF(K402="FUERA","Fuera del marco",IF(K402="N/A","Sin marco",IFERROR(INDEX(Catalogo_TIMSS!$C$5:$C$105,MATCH(K402,Catalogo_TIMSS!$A$5:$A$105,0)),"Pendiente de clasificar")))</f>
        <v>Ciencias de la Tierra</v>
      </c>
      <c r="N402" s="8" t="str">
        <f aca="false">IF(K402="FUERA","Fuera del marco",IF(K402="N/A","Sin marco",IFERROR(INDEX(Catalogo_TIMSS!$F$5:$F$105,MATCH(K402,Catalogo_TIMSS!$A$5:$A$105,0)),"Pendiente de clasificar")))</f>
        <v>Recursos de la Tierra, uso y conservación</v>
      </c>
      <c r="O402" s="8" t="str">
        <f aca="false">IF(L402="","",IFERROR(INDEX(Catalogo_TIMSS!$C$5:$C$105,MATCH(L402,Catalogo_TIMSS!$A$5:$A$105,0)),"?"))</f>
        <v/>
      </c>
      <c r="P402" s="8" t="s">
        <v>513</v>
      </c>
      <c r="Q402" s="27" t="s">
        <v>2055</v>
      </c>
      <c r="R402" s="27" t="s">
        <v>2056</v>
      </c>
      <c r="S402" s="28" t="n">
        <f aca="false">IFERROR(ISNUMBER(SEARCH("Conocer",$R402))/(ISNUMBER(SEARCH("Conocer",$R402))+ISNUMBER(SEARCH("Aplicar",$R402))+ISNUMBER(SEARCH("Razonar",$R402))),0)</f>
        <v>0</v>
      </c>
      <c r="T402" s="28" t="n">
        <f aca="false">IFERROR(ISNUMBER(SEARCH("Aplicar",$R402))/(ISNUMBER(SEARCH("Conocer",$R402))+ISNUMBER(SEARCH("Aplicar",$R402))+ISNUMBER(SEARCH("Razonar",$R402))),0)</f>
        <v>0</v>
      </c>
      <c r="U402" s="28" t="n">
        <f aca="false">IFERROR(ISNUMBER(SEARCH("Razonar",$R402))/(ISNUMBER(SEARCH("Conocer",$R402))+ISNUMBER(SEARCH("Aplicar",$R402))+ISNUMBER(SEARCH("Razonar",$R402))),0)</f>
        <v>1</v>
      </c>
      <c r="V402" s="8" t="s">
        <v>51</v>
      </c>
      <c r="W402" s="8" t="s">
        <v>67</v>
      </c>
    </row>
    <row r="403" customFormat="false" ht="15" hidden="false" customHeight="false" outlineLevel="0" collapsed="false">
      <c r="A403" s="8" t="s">
        <v>2057</v>
      </c>
      <c r="B403" s="8" t="n">
        <v>7</v>
      </c>
      <c r="C403" s="8" t="s">
        <v>411</v>
      </c>
      <c r="D403" s="8" t="s">
        <v>1864</v>
      </c>
      <c r="E403" s="8" t="s">
        <v>2023</v>
      </c>
      <c r="F403" s="8" t="n">
        <v>12</v>
      </c>
      <c r="G403" s="8" t="s">
        <v>2024</v>
      </c>
      <c r="H403" s="8" t="s">
        <v>129</v>
      </c>
      <c r="I403" s="27" t="s">
        <v>2058</v>
      </c>
      <c r="J403" s="8" t="s">
        <v>185</v>
      </c>
      <c r="K403" s="8" t="s">
        <v>211</v>
      </c>
      <c r="L403" s="8" t="s">
        <v>213</v>
      </c>
      <c r="M403" s="8" t="str">
        <f aca="false">IF(K403="FUERA","Fuera del marco",IF(K403="N/A","Sin marco",IFERROR(INDEX(Catalogo_TIMSS!$C$5:$C$105,MATCH(K403,Catalogo_TIMSS!$A$5:$A$105,0)),"Pendiente de clasificar")))</f>
        <v>Biología</v>
      </c>
      <c r="N403" s="8" t="str">
        <f aca="false">IF(K403="FUERA","Fuera del marco",IF(K403="N/A","Sin marco",IFERROR(INDEX(Catalogo_TIMSS!$F$5:$F$105,MATCH(K403,Catalogo_TIMSS!$A$5:$A$105,0)),"Pendiente de clasificar")))</f>
        <v>Ecosistemas</v>
      </c>
      <c r="O403" s="8" t="str">
        <f aca="false">IF(L403="","",IFERROR(INDEX(Catalogo_TIMSS!$C$5:$C$105,MATCH(L403,Catalogo_TIMSS!$A$5:$A$105,0)),"?"))</f>
        <v>Biología</v>
      </c>
      <c r="P403" s="8" t="s">
        <v>460</v>
      </c>
      <c r="Q403" s="27" t="s">
        <v>2059</v>
      </c>
      <c r="R403" s="27" t="s">
        <v>2060</v>
      </c>
      <c r="S403" s="28" t="n">
        <f aca="false">IFERROR(ISNUMBER(SEARCH("Conocer",$R403))/(ISNUMBER(SEARCH("Conocer",$R403))+ISNUMBER(SEARCH("Aplicar",$R403))+ISNUMBER(SEARCH("Razonar",$R403))),0)</f>
        <v>0</v>
      </c>
      <c r="T403" s="28" t="n">
        <f aca="false">IFERROR(ISNUMBER(SEARCH("Aplicar",$R403))/(ISNUMBER(SEARCH("Conocer",$R403))+ISNUMBER(SEARCH("Aplicar",$R403))+ISNUMBER(SEARCH("Razonar",$R403))),0)</f>
        <v>1</v>
      </c>
      <c r="U403" s="28" t="n">
        <f aca="false">IFERROR(ISNUMBER(SEARCH("Razonar",$R403))/(ISNUMBER(SEARCH("Conocer",$R403))+ISNUMBER(SEARCH("Aplicar",$R403))+ISNUMBER(SEARCH("Razonar",$R403))),0)</f>
        <v>0</v>
      </c>
      <c r="V403" s="8" t="s">
        <v>51</v>
      </c>
      <c r="W403" s="8" t="s">
        <v>67</v>
      </c>
    </row>
    <row r="404" customFormat="false" ht="15" hidden="false" customHeight="false" outlineLevel="0" collapsed="false">
      <c r="A404" s="8" t="s">
        <v>2061</v>
      </c>
      <c r="B404" s="8" t="n">
        <v>7</v>
      </c>
      <c r="C404" s="8" t="s">
        <v>411</v>
      </c>
      <c r="D404" s="8" t="s">
        <v>1864</v>
      </c>
      <c r="E404" s="8" t="s">
        <v>2023</v>
      </c>
      <c r="F404" s="8" t="n">
        <v>13</v>
      </c>
      <c r="G404" s="8" t="s">
        <v>2024</v>
      </c>
      <c r="H404" s="8" t="s">
        <v>2062</v>
      </c>
      <c r="I404" s="27" t="s">
        <v>2063</v>
      </c>
      <c r="J404" s="8" t="s">
        <v>185</v>
      </c>
      <c r="K404" s="8" t="s">
        <v>211</v>
      </c>
      <c r="L404" s="8" t="s">
        <v>278</v>
      </c>
      <c r="M404" s="8" t="str">
        <f aca="false">IF(K404="FUERA","Fuera del marco",IF(K404="N/A","Sin marco",IFERROR(INDEX(Catalogo_TIMSS!$C$5:$C$105,MATCH(K404,Catalogo_TIMSS!$A$5:$A$105,0)),"Pendiente de clasificar")))</f>
        <v>Biología</v>
      </c>
      <c r="N404" s="8" t="str">
        <f aca="false">IF(K404="FUERA","Fuera del marco",IF(K404="N/A","Sin marco",IFERROR(INDEX(Catalogo_TIMSS!$F$5:$F$105,MATCH(K404,Catalogo_TIMSS!$A$5:$A$105,0)),"Pendiente de clasificar")))</f>
        <v>Ecosistemas</v>
      </c>
      <c r="O404" s="8" t="str">
        <f aca="false">IF(L404="","",IFERROR(INDEX(Catalogo_TIMSS!$C$5:$C$105,MATCH(L404,Catalogo_TIMSS!$A$5:$A$105,0)),"?"))</f>
        <v>Ciencias de la Tierra</v>
      </c>
      <c r="P404" s="8" t="s">
        <v>513</v>
      </c>
      <c r="Q404" s="27" t="s">
        <v>2064</v>
      </c>
      <c r="R404" s="27" t="s">
        <v>429</v>
      </c>
      <c r="S404" s="28" t="n">
        <f aca="false">IFERROR(ISNUMBER(SEARCH("Conocer",$R404))/(ISNUMBER(SEARCH("Conocer",$R404))+ISNUMBER(SEARCH("Aplicar",$R404))+ISNUMBER(SEARCH("Razonar",$R404))),0)</f>
        <v>0</v>
      </c>
      <c r="T404" s="28" t="n">
        <f aca="false">IFERROR(ISNUMBER(SEARCH("Aplicar",$R404))/(ISNUMBER(SEARCH("Conocer",$R404))+ISNUMBER(SEARCH("Aplicar",$R404))+ISNUMBER(SEARCH("Razonar",$R404))),0)</f>
        <v>1</v>
      </c>
      <c r="U404" s="28" t="n">
        <f aca="false">IFERROR(ISNUMBER(SEARCH("Razonar",$R404))/(ISNUMBER(SEARCH("Conocer",$R404))+ISNUMBER(SEARCH("Aplicar",$R404))+ISNUMBER(SEARCH("Razonar",$R404))),0)</f>
        <v>0</v>
      </c>
      <c r="V404" s="8" t="s">
        <v>51</v>
      </c>
      <c r="W404" s="8" t="s">
        <v>67</v>
      </c>
    </row>
    <row r="405" customFormat="false" ht="15" hidden="false" customHeight="false" outlineLevel="0" collapsed="false">
      <c r="A405" s="8" t="s">
        <v>2065</v>
      </c>
      <c r="B405" s="8" t="n">
        <v>7</v>
      </c>
      <c r="C405" s="8" t="s">
        <v>411</v>
      </c>
      <c r="D405" s="8" t="s">
        <v>1864</v>
      </c>
      <c r="E405" s="8" t="s">
        <v>2023</v>
      </c>
      <c r="F405" s="8" t="n">
        <v>14</v>
      </c>
      <c r="G405" s="8" t="s">
        <v>2024</v>
      </c>
      <c r="H405" s="8" t="s">
        <v>2062</v>
      </c>
      <c r="I405" s="27" t="s">
        <v>2066</v>
      </c>
      <c r="J405" s="8" t="s">
        <v>185</v>
      </c>
      <c r="K405" s="8" t="s">
        <v>417</v>
      </c>
      <c r="L405" s="8"/>
      <c r="M405" s="8" t="str">
        <f aca="false">IF(K405="FUERA","Fuera del marco",IF(K405="N/A","Sin marco",IFERROR(INDEX(Catalogo_TIMSS!$C$5:$C$105,MATCH(K405,Catalogo_TIMSS!$A$5:$A$105,0)),"Pendiente de clasificar")))</f>
        <v>Fuera del marco</v>
      </c>
      <c r="N405" s="8" t="str">
        <f aca="false">IF(K405="FUERA","Fuera del marco",IF(K405="N/A","Sin marco",IFERROR(INDEX(Catalogo_TIMSS!$F$5:$F$105,MATCH(K405,Catalogo_TIMSS!$A$5:$A$105,0)),"Pendiente de clasificar")))</f>
        <v>Fuera del marco</v>
      </c>
      <c r="O405" s="8" t="str">
        <f aca="false">IF(L405="","",IFERROR(INDEX(Catalogo_TIMSS!$C$5:$C$105,MATCH(L405,Catalogo_TIMSS!$A$5:$A$105,0)),"?"))</f>
        <v/>
      </c>
      <c r="P405" s="8" t="s">
        <v>513</v>
      </c>
      <c r="Q405" s="27" t="s">
        <v>2067</v>
      </c>
      <c r="R405" s="27" t="s">
        <v>2068</v>
      </c>
      <c r="S405" s="28" t="n">
        <f aca="false">IFERROR(ISNUMBER(SEARCH("Conocer",$R405))/(ISNUMBER(SEARCH("Conocer",$R405))+ISNUMBER(SEARCH("Aplicar",$R405))+ISNUMBER(SEARCH("Razonar",$R405))),0)</f>
        <v>0</v>
      </c>
      <c r="T405" s="28" t="n">
        <f aca="false">IFERROR(ISNUMBER(SEARCH("Aplicar",$R405))/(ISNUMBER(SEARCH("Conocer",$R405))+ISNUMBER(SEARCH("Aplicar",$R405))+ISNUMBER(SEARCH("Razonar",$R405))),0)</f>
        <v>1</v>
      </c>
      <c r="U405" s="28" t="n">
        <f aca="false">IFERROR(ISNUMBER(SEARCH("Razonar",$R405))/(ISNUMBER(SEARCH("Conocer",$R405))+ISNUMBER(SEARCH("Aplicar",$R405))+ISNUMBER(SEARCH("Razonar",$R405))),0)</f>
        <v>0</v>
      </c>
      <c r="V405" s="8" t="s">
        <v>51</v>
      </c>
      <c r="W405" s="8" t="s">
        <v>67</v>
      </c>
    </row>
    <row r="406" customFormat="false" ht="15" hidden="false" customHeight="false" outlineLevel="0" collapsed="false">
      <c r="A406" s="8" t="s">
        <v>2069</v>
      </c>
      <c r="B406" s="8" t="n">
        <v>7</v>
      </c>
      <c r="C406" s="8" t="s">
        <v>411</v>
      </c>
      <c r="D406" s="8" t="s">
        <v>1864</v>
      </c>
      <c r="E406" s="8" t="s">
        <v>2070</v>
      </c>
      <c r="F406" s="8" t="n">
        <v>3</v>
      </c>
      <c r="G406" s="8" t="s">
        <v>2071</v>
      </c>
      <c r="H406" s="8" t="s">
        <v>2072</v>
      </c>
      <c r="I406" s="27" t="s">
        <v>2073</v>
      </c>
      <c r="J406" s="8" t="s">
        <v>185</v>
      </c>
      <c r="K406" s="8" t="s">
        <v>276</v>
      </c>
      <c r="L406" s="8" t="s">
        <v>283</v>
      </c>
      <c r="M406" s="8" t="str">
        <f aca="false">IF(K406="FUERA","Fuera del marco",IF(K406="N/A","Sin marco",IFERROR(INDEX(Catalogo_TIMSS!$C$5:$C$105,MATCH(K406,Catalogo_TIMSS!$A$5:$A$105,0)),"Pendiente de clasificar")))</f>
        <v>Ciencias de la Tierra</v>
      </c>
      <c r="N406" s="8" t="str">
        <f aca="false">IF(K406="FUERA","Fuera del marco",IF(K406="N/A","Sin marco",IFERROR(INDEX(Catalogo_TIMSS!$F$5:$F$105,MATCH(K406,Catalogo_TIMSS!$A$5:$A$105,0)),"Pendiente de clasificar")))</f>
        <v>Procesos, ciclos e historia de la Tierra</v>
      </c>
      <c r="O406" s="8" t="str">
        <f aca="false">IF(L406="","",IFERROR(INDEX(Catalogo_TIMSS!$C$5:$C$105,MATCH(L406,Catalogo_TIMSS!$A$5:$A$105,0)),"?"))</f>
        <v>Ciencias de la Tierra</v>
      </c>
      <c r="P406" s="8" t="s">
        <v>418</v>
      </c>
      <c r="Q406" s="27" t="s">
        <v>2074</v>
      </c>
      <c r="R406" s="27" t="s">
        <v>642</v>
      </c>
      <c r="S406" s="28" t="n">
        <f aca="false">IFERROR(ISNUMBER(SEARCH("Conocer",$R406))/(ISNUMBER(SEARCH("Conocer",$R406))+ISNUMBER(SEARCH("Aplicar",$R406))+ISNUMBER(SEARCH("Razonar",$R406))),0)</f>
        <v>0</v>
      </c>
      <c r="T406" s="28" t="n">
        <f aca="false">IFERROR(ISNUMBER(SEARCH("Aplicar",$R406))/(ISNUMBER(SEARCH("Conocer",$R406))+ISNUMBER(SEARCH("Aplicar",$R406))+ISNUMBER(SEARCH("Razonar",$R406))),0)</f>
        <v>1</v>
      </c>
      <c r="U406" s="28" t="n">
        <f aca="false">IFERROR(ISNUMBER(SEARCH("Razonar",$R406))/(ISNUMBER(SEARCH("Conocer",$R406))+ISNUMBER(SEARCH("Aplicar",$R406))+ISNUMBER(SEARCH("Razonar",$R406))),0)</f>
        <v>0</v>
      </c>
      <c r="V406" s="8" t="s">
        <v>51</v>
      </c>
      <c r="W406" s="8" t="s">
        <v>67</v>
      </c>
    </row>
    <row r="407" customFormat="false" ht="15" hidden="false" customHeight="false" outlineLevel="0" collapsed="false">
      <c r="A407" s="8" t="s">
        <v>2075</v>
      </c>
      <c r="B407" s="8" t="n">
        <v>7</v>
      </c>
      <c r="C407" s="8" t="s">
        <v>411</v>
      </c>
      <c r="D407" s="8" t="s">
        <v>1864</v>
      </c>
      <c r="E407" s="8" t="s">
        <v>2070</v>
      </c>
      <c r="F407" s="8" t="n">
        <v>4</v>
      </c>
      <c r="G407" s="8" t="s">
        <v>2071</v>
      </c>
      <c r="H407" s="8" t="s">
        <v>2072</v>
      </c>
      <c r="I407" s="27" t="s">
        <v>2076</v>
      </c>
      <c r="J407" s="8" t="s">
        <v>185</v>
      </c>
      <c r="K407" s="8" t="s">
        <v>283</v>
      </c>
      <c r="L407" s="8"/>
      <c r="M407" s="8" t="str">
        <f aca="false">IF(K407="FUERA","Fuera del marco",IF(K407="N/A","Sin marco",IFERROR(INDEX(Catalogo_TIMSS!$C$5:$C$105,MATCH(K407,Catalogo_TIMSS!$A$5:$A$105,0)),"Pendiente de clasificar")))</f>
        <v>Ciencias de la Tierra</v>
      </c>
      <c r="N407" s="8" t="str">
        <f aca="false">IF(K407="FUERA","Fuera del marco",IF(K407="N/A","Sin marco",IFERROR(INDEX(Catalogo_TIMSS!$F$5:$F$105,MATCH(K407,Catalogo_TIMSS!$A$5:$A$105,0)),"Pendiente de clasificar")))</f>
        <v>Recursos de la Tierra, uso y conservación</v>
      </c>
      <c r="O407" s="8" t="str">
        <f aca="false">IF(L407="","",IFERROR(INDEX(Catalogo_TIMSS!$C$5:$C$105,MATCH(L407,Catalogo_TIMSS!$A$5:$A$105,0)),"?"))</f>
        <v/>
      </c>
      <c r="P407" s="8" t="s">
        <v>460</v>
      </c>
      <c r="Q407" s="27" t="s">
        <v>2077</v>
      </c>
      <c r="R407" s="27" t="s">
        <v>642</v>
      </c>
      <c r="S407" s="28" t="n">
        <f aca="false">IFERROR(ISNUMBER(SEARCH("Conocer",$R407))/(ISNUMBER(SEARCH("Conocer",$R407))+ISNUMBER(SEARCH("Aplicar",$R407))+ISNUMBER(SEARCH("Razonar",$R407))),0)</f>
        <v>0</v>
      </c>
      <c r="T407" s="28" t="n">
        <f aca="false">IFERROR(ISNUMBER(SEARCH("Aplicar",$R407))/(ISNUMBER(SEARCH("Conocer",$R407))+ISNUMBER(SEARCH("Aplicar",$R407))+ISNUMBER(SEARCH("Razonar",$R407))),0)</f>
        <v>1</v>
      </c>
      <c r="U407" s="28" t="n">
        <f aca="false">IFERROR(ISNUMBER(SEARCH("Razonar",$R407))/(ISNUMBER(SEARCH("Conocer",$R407))+ISNUMBER(SEARCH("Aplicar",$R407))+ISNUMBER(SEARCH("Razonar",$R407))),0)</f>
        <v>0</v>
      </c>
      <c r="V407" s="8" t="s">
        <v>51</v>
      </c>
      <c r="W407" s="8" t="s">
        <v>67</v>
      </c>
    </row>
    <row r="408" customFormat="false" ht="15" hidden="false" customHeight="false" outlineLevel="0" collapsed="false">
      <c r="A408" s="8" t="s">
        <v>2078</v>
      </c>
      <c r="B408" s="8" t="n">
        <v>7</v>
      </c>
      <c r="C408" s="8" t="s">
        <v>411</v>
      </c>
      <c r="D408" s="8" t="s">
        <v>1864</v>
      </c>
      <c r="E408" s="8" t="s">
        <v>2070</v>
      </c>
      <c r="F408" s="8" t="n">
        <v>5</v>
      </c>
      <c r="G408" s="8" t="s">
        <v>2071</v>
      </c>
      <c r="H408" s="8" t="s">
        <v>2072</v>
      </c>
      <c r="I408" s="27" t="s">
        <v>2079</v>
      </c>
      <c r="J408" s="8" t="s">
        <v>185</v>
      </c>
      <c r="K408" s="8" t="s">
        <v>283</v>
      </c>
      <c r="L408" s="8"/>
      <c r="M408" s="8" t="str">
        <f aca="false">IF(K408="FUERA","Fuera del marco",IF(K408="N/A","Sin marco",IFERROR(INDEX(Catalogo_TIMSS!$C$5:$C$105,MATCH(K408,Catalogo_TIMSS!$A$5:$A$105,0)),"Pendiente de clasificar")))</f>
        <v>Ciencias de la Tierra</v>
      </c>
      <c r="N408" s="8" t="str">
        <f aca="false">IF(K408="FUERA","Fuera del marco",IF(K408="N/A","Sin marco",IFERROR(INDEX(Catalogo_TIMSS!$F$5:$F$105,MATCH(K408,Catalogo_TIMSS!$A$5:$A$105,0)),"Pendiente de clasificar")))</f>
        <v>Recursos de la Tierra, uso y conservación</v>
      </c>
      <c r="O408" s="8" t="str">
        <f aca="false">IF(L408="","",IFERROR(INDEX(Catalogo_TIMSS!$C$5:$C$105,MATCH(L408,Catalogo_TIMSS!$A$5:$A$105,0)),"?"))</f>
        <v/>
      </c>
      <c r="P408" s="8" t="s">
        <v>460</v>
      </c>
      <c r="Q408" s="27" t="s">
        <v>2080</v>
      </c>
      <c r="R408" s="27" t="s">
        <v>1347</v>
      </c>
      <c r="S408" s="28" t="n">
        <f aca="false">IFERROR(ISNUMBER(SEARCH("Conocer",$R408))/(ISNUMBER(SEARCH("Conocer",$R408))+ISNUMBER(SEARCH("Aplicar",$R408))+ISNUMBER(SEARCH("Razonar",$R408))),0)</f>
        <v>0</v>
      </c>
      <c r="T408" s="28" t="n">
        <f aca="false">IFERROR(ISNUMBER(SEARCH("Aplicar",$R408))/(ISNUMBER(SEARCH("Conocer",$R408))+ISNUMBER(SEARCH("Aplicar",$R408))+ISNUMBER(SEARCH("Razonar",$R408))),0)</f>
        <v>1</v>
      </c>
      <c r="U408" s="28" t="n">
        <f aca="false">IFERROR(ISNUMBER(SEARCH("Razonar",$R408))/(ISNUMBER(SEARCH("Conocer",$R408))+ISNUMBER(SEARCH("Aplicar",$R408))+ISNUMBER(SEARCH("Razonar",$R408))),0)</f>
        <v>0</v>
      </c>
      <c r="V408" s="8" t="s">
        <v>51</v>
      </c>
      <c r="W408" s="8" t="s">
        <v>67</v>
      </c>
    </row>
    <row r="409" customFormat="false" ht="15" hidden="false" customHeight="false" outlineLevel="0" collapsed="false">
      <c r="A409" s="8" t="s">
        <v>2081</v>
      </c>
      <c r="B409" s="8" t="n">
        <v>7</v>
      </c>
      <c r="C409" s="8" t="s">
        <v>411</v>
      </c>
      <c r="D409" s="8" t="s">
        <v>1864</v>
      </c>
      <c r="E409" s="8" t="s">
        <v>2070</v>
      </c>
      <c r="F409" s="8" t="n">
        <v>6</v>
      </c>
      <c r="G409" s="8" t="s">
        <v>2071</v>
      </c>
      <c r="H409" s="8" t="s">
        <v>2072</v>
      </c>
      <c r="I409" s="27" t="s">
        <v>2082</v>
      </c>
      <c r="J409" s="8" t="s">
        <v>185</v>
      </c>
      <c r="K409" s="8" t="s">
        <v>276</v>
      </c>
      <c r="L409" s="8" t="s">
        <v>278</v>
      </c>
      <c r="M409" s="8" t="str">
        <f aca="false">IF(K409="FUERA","Fuera del marco",IF(K409="N/A","Sin marco",IFERROR(INDEX(Catalogo_TIMSS!$C$5:$C$105,MATCH(K409,Catalogo_TIMSS!$A$5:$A$105,0)),"Pendiente de clasificar")))</f>
        <v>Ciencias de la Tierra</v>
      </c>
      <c r="N409" s="8" t="str">
        <f aca="false">IF(K409="FUERA","Fuera del marco",IF(K409="N/A","Sin marco",IFERROR(INDEX(Catalogo_TIMSS!$F$5:$F$105,MATCH(K409,Catalogo_TIMSS!$A$5:$A$105,0)),"Pendiente de clasificar")))</f>
        <v>Procesos, ciclos e historia de la Tierra</v>
      </c>
      <c r="O409" s="8" t="str">
        <f aca="false">IF(L409="","",IFERROR(INDEX(Catalogo_TIMSS!$C$5:$C$105,MATCH(L409,Catalogo_TIMSS!$A$5:$A$105,0)),"?"))</f>
        <v>Ciencias de la Tierra</v>
      </c>
      <c r="P409" s="8" t="s">
        <v>460</v>
      </c>
      <c r="Q409" s="27" t="s">
        <v>2083</v>
      </c>
      <c r="R409" s="27" t="s">
        <v>1126</v>
      </c>
      <c r="S409" s="28" t="n">
        <f aca="false">IFERROR(ISNUMBER(SEARCH("Conocer",$R409))/(ISNUMBER(SEARCH("Conocer",$R409))+ISNUMBER(SEARCH("Aplicar",$R409))+ISNUMBER(SEARCH("Razonar",$R409))),0)</f>
        <v>0</v>
      </c>
      <c r="T409" s="28" t="n">
        <f aca="false">IFERROR(ISNUMBER(SEARCH("Aplicar",$R409))/(ISNUMBER(SEARCH("Conocer",$R409))+ISNUMBER(SEARCH("Aplicar",$R409))+ISNUMBER(SEARCH("Razonar",$R409))),0)</f>
        <v>1</v>
      </c>
      <c r="U409" s="28" t="n">
        <f aca="false">IFERROR(ISNUMBER(SEARCH("Razonar",$R409))/(ISNUMBER(SEARCH("Conocer",$R409))+ISNUMBER(SEARCH("Aplicar",$R409))+ISNUMBER(SEARCH("Razonar",$R409))),0)</f>
        <v>0</v>
      </c>
      <c r="V409" s="8" t="s">
        <v>51</v>
      </c>
      <c r="W409" s="8" t="s">
        <v>67</v>
      </c>
    </row>
    <row r="410" customFormat="false" ht="15" hidden="false" customHeight="false" outlineLevel="0" collapsed="false">
      <c r="A410" s="8" t="s">
        <v>2084</v>
      </c>
      <c r="B410" s="8" t="n">
        <v>7</v>
      </c>
      <c r="C410" s="8" t="s">
        <v>411</v>
      </c>
      <c r="D410" s="8" t="s">
        <v>1864</v>
      </c>
      <c r="E410" s="8" t="s">
        <v>2070</v>
      </c>
      <c r="F410" s="8" t="n">
        <v>7</v>
      </c>
      <c r="G410" s="8" t="s">
        <v>2071</v>
      </c>
      <c r="H410" s="8" t="s">
        <v>2072</v>
      </c>
      <c r="I410" s="27" t="s">
        <v>2085</v>
      </c>
      <c r="J410" s="8" t="s">
        <v>185</v>
      </c>
      <c r="K410" s="8" t="s">
        <v>276</v>
      </c>
      <c r="L410" s="8" t="s">
        <v>283</v>
      </c>
      <c r="M410" s="8" t="str">
        <f aca="false">IF(K410="FUERA","Fuera del marco",IF(K410="N/A","Sin marco",IFERROR(INDEX(Catalogo_TIMSS!$C$5:$C$105,MATCH(K410,Catalogo_TIMSS!$A$5:$A$105,0)),"Pendiente de clasificar")))</f>
        <v>Ciencias de la Tierra</v>
      </c>
      <c r="N410" s="8" t="str">
        <f aca="false">IF(K410="FUERA","Fuera del marco",IF(K410="N/A","Sin marco",IFERROR(INDEX(Catalogo_TIMSS!$F$5:$F$105,MATCH(K410,Catalogo_TIMSS!$A$5:$A$105,0)),"Pendiente de clasificar")))</f>
        <v>Procesos, ciclos e historia de la Tierra</v>
      </c>
      <c r="O410" s="8" t="str">
        <f aca="false">IF(L410="","",IFERROR(INDEX(Catalogo_TIMSS!$C$5:$C$105,MATCH(L410,Catalogo_TIMSS!$A$5:$A$105,0)),"?"))</f>
        <v>Ciencias de la Tierra</v>
      </c>
      <c r="P410" s="8" t="s">
        <v>460</v>
      </c>
      <c r="Q410" s="27" t="s">
        <v>2086</v>
      </c>
      <c r="R410" s="27" t="s">
        <v>2087</v>
      </c>
      <c r="S410" s="28" t="n">
        <f aca="false">IFERROR(ISNUMBER(SEARCH("Conocer",$R410))/(ISNUMBER(SEARCH("Conocer",$R410))+ISNUMBER(SEARCH("Aplicar",$R410))+ISNUMBER(SEARCH("Razonar",$R410))),0)</f>
        <v>0</v>
      </c>
      <c r="T410" s="28" t="n">
        <f aca="false">IFERROR(ISNUMBER(SEARCH("Aplicar",$R410))/(ISNUMBER(SEARCH("Conocer",$R410))+ISNUMBER(SEARCH("Aplicar",$R410))+ISNUMBER(SEARCH("Razonar",$R410))),0)</f>
        <v>0</v>
      </c>
      <c r="U410" s="28" t="n">
        <f aca="false">IFERROR(ISNUMBER(SEARCH("Razonar",$R410))/(ISNUMBER(SEARCH("Conocer",$R410))+ISNUMBER(SEARCH("Aplicar",$R410))+ISNUMBER(SEARCH("Razonar",$R410))),0)</f>
        <v>1</v>
      </c>
      <c r="V410" s="8" t="s">
        <v>51</v>
      </c>
      <c r="W410" s="8" t="s">
        <v>67</v>
      </c>
    </row>
    <row r="411" customFormat="false" ht="15" hidden="false" customHeight="false" outlineLevel="0" collapsed="false">
      <c r="A411" s="8" t="s">
        <v>2088</v>
      </c>
      <c r="B411" s="8" t="n">
        <v>7</v>
      </c>
      <c r="C411" s="8" t="s">
        <v>411</v>
      </c>
      <c r="D411" s="8" t="s">
        <v>1864</v>
      </c>
      <c r="E411" s="8" t="s">
        <v>2070</v>
      </c>
      <c r="F411" s="8" t="n">
        <v>8</v>
      </c>
      <c r="G411" s="8" t="s">
        <v>2071</v>
      </c>
      <c r="H411" s="8" t="s">
        <v>2072</v>
      </c>
      <c r="I411" s="27" t="s">
        <v>2089</v>
      </c>
      <c r="J411" s="8" t="s">
        <v>185</v>
      </c>
      <c r="K411" s="8" t="s">
        <v>283</v>
      </c>
      <c r="L411" s="8" t="s">
        <v>276</v>
      </c>
      <c r="M411" s="8" t="str">
        <f aca="false">IF(K411="FUERA","Fuera del marco",IF(K411="N/A","Sin marco",IFERROR(INDEX(Catalogo_TIMSS!$C$5:$C$105,MATCH(K411,Catalogo_TIMSS!$A$5:$A$105,0)),"Pendiente de clasificar")))</f>
        <v>Ciencias de la Tierra</v>
      </c>
      <c r="N411" s="8" t="str">
        <f aca="false">IF(K411="FUERA","Fuera del marco",IF(K411="N/A","Sin marco",IFERROR(INDEX(Catalogo_TIMSS!$F$5:$F$105,MATCH(K411,Catalogo_TIMSS!$A$5:$A$105,0)),"Pendiente de clasificar")))</f>
        <v>Recursos de la Tierra, uso y conservación</v>
      </c>
      <c r="O411" s="8" t="str">
        <f aca="false">IF(L411="","",IFERROR(INDEX(Catalogo_TIMSS!$C$5:$C$105,MATCH(L411,Catalogo_TIMSS!$A$5:$A$105,0)),"?"))</f>
        <v>Ciencias de la Tierra</v>
      </c>
      <c r="P411" s="8" t="s">
        <v>460</v>
      </c>
      <c r="Q411" s="27" t="s">
        <v>2090</v>
      </c>
      <c r="R411" s="27" t="s">
        <v>1258</v>
      </c>
      <c r="S411" s="28" t="n">
        <f aca="false">IFERROR(ISNUMBER(SEARCH("Conocer",$R411))/(ISNUMBER(SEARCH("Conocer",$R411))+ISNUMBER(SEARCH("Aplicar",$R411))+ISNUMBER(SEARCH("Razonar",$R411))),0)</f>
        <v>0</v>
      </c>
      <c r="T411" s="28" t="n">
        <f aca="false">IFERROR(ISNUMBER(SEARCH("Aplicar",$R411))/(ISNUMBER(SEARCH("Conocer",$R411))+ISNUMBER(SEARCH("Aplicar",$R411))+ISNUMBER(SEARCH("Razonar",$R411))),0)</f>
        <v>1</v>
      </c>
      <c r="U411" s="28" t="n">
        <f aca="false">IFERROR(ISNUMBER(SEARCH("Razonar",$R411))/(ISNUMBER(SEARCH("Conocer",$R411))+ISNUMBER(SEARCH("Aplicar",$R411))+ISNUMBER(SEARCH("Razonar",$R411))),0)</f>
        <v>0</v>
      </c>
      <c r="V411" s="8" t="s">
        <v>51</v>
      </c>
      <c r="W411" s="8" t="s">
        <v>67</v>
      </c>
    </row>
    <row r="412" customFormat="false" ht="15" hidden="false" customHeight="false" outlineLevel="0" collapsed="false">
      <c r="A412" s="8" t="s">
        <v>2091</v>
      </c>
      <c r="B412" s="8" t="n">
        <v>7</v>
      </c>
      <c r="C412" s="8" t="s">
        <v>411</v>
      </c>
      <c r="D412" s="8" t="s">
        <v>1864</v>
      </c>
      <c r="E412" s="8" t="s">
        <v>2070</v>
      </c>
      <c r="F412" s="8" t="n">
        <v>9</v>
      </c>
      <c r="G412" s="8" t="s">
        <v>2071</v>
      </c>
      <c r="H412" s="8" t="s">
        <v>2092</v>
      </c>
      <c r="I412" s="27" t="s">
        <v>2093</v>
      </c>
      <c r="J412" s="8" t="s">
        <v>185</v>
      </c>
      <c r="K412" s="8" t="s">
        <v>283</v>
      </c>
      <c r="L412" s="8"/>
      <c r="M412" s="8" t="str">
        <f aca="false">IF(K412="FUERA","Fuera del marco",IF(K412="N/A","Sin marco",IFERROR(INDEX(Catalogo_TIMSS!$C$5:$C$105,MATCH(K412,Catalogo_TIMSS!$A$5:$A$105,0)),"Pendiente de clasificar")))</f>
        <v>Ciencias de la Tierra</v>
      </c>
      <c r="N412" s="8" t="str">
        <f aca="false">IF(K412="FUERA","Fuera del marco",IF(K412="N/A","Sin marco",IFERROR(INDEX(Catalogo_TIMSS!$F$5:$F$105,MATCH(K412,Catalogo_TIMSS!$A$5:$A$105,0)),"Pendiente de clasificar")))</f>
        <v>Recursos de la Tierra, uso y conservación</v>
      </c>
      <c r="O412" s="8" t="str">
        <f aca="false">IF(L412="","",IFERROR(INDEX(Catalogo_TIMSS!$C$5:$C$105,MATCH(L412,Catalogo_TIMSS!$A$5:$A$105,0)),"?"))</f>
        <v/>
      </c>
      <c r="P412" s="8" t="s">
        <v>460</v>
      </c>
      <c r="Q412" s="27" t="s">
        <v>2094</v>
      </c>
      <c r="R412" s="27" t="s">
        <v>1529</v>
      </c>
      <c r="S412" s="28" t="n">
        <f aca="false">IFERROR(ISNUMBER(SEARCH("Conocer",$R412))/(ISNUMBER(SEARCH("Conocer",$R412))+ISNUMBER(SEARCH("Aplicar",$R412))+ISNUMBER(SEARCH("Razonar",$R412))),0)</f>
        <v>0</v>
      </c>
      <c r="T412" s="28" t="n">
        <f aca="false">IFERROR(ISNUMBER(SEARCH("Aplicar",$R412))/(ISNUMBER(SEARCH("Conocer",$R412))+ISNUMBER(SEARCH("Aplicar",$R412))+ISNUMBER(SEARCH("Razonar",$R412))),0)</f>
        <v>1</v>
      </c>
      <c r="U412" s="28" t="n">
        <f aca="false">IFERROR(ISNUMBER(SEARCH("Razonar",$R412))/(ISNUMBER(SEARCH("Conocer",$R412))+ISNUMBER(SEARCH("Aplicar",$R412))+ISNUMBER(SEARCH("Razonar",$R412))),0)</f>
        <v>0</v>
      </c>
      <c r="V412" s="8" t="s">
        <v>51</v>
      </c>
      <c r="W412" s="8" t="s">
        <v>67</v>
      </c>
    </row>
    <row r="413" customFormat="false" ht="15" hidden="false" customHeight="false" outlineLevel="0" collapsed="false">
      <c r="A413" s="8" t="s">
        <v>2095</v>
      </c>
      <c r="B413" s="8" t="n">
        <v>7</v>
      </c>
      <c r="C413" s="8" t="s">
        <v>411</v>
      </c>
      <c r="D413" s="8" t="s">
        <v>1864</v>
      </c>
      <c r="E413" s="8" t="s">
        <v>2070</v>
      </c>
      <c r="F413" s="8" t="n">
        <v>10</v>
      </c>
      <c r="G413" s="8" t="s">
        <v>2071</v>
      </c>
      <c r="H413" s="8" t="s">
        <v>2096</v>
      </c>
      <c r="I413" s="27" t="s">
        <v>2097</v>
      </c>
      <c r="J413" s="8" t="s">
        <v>185</v>
      </c>
      <c r="K413" s="8" t="s">
        <v>213</v>
      </c>
      <c r="L413" s="8" t="s">
        <v>283</v>
      </c>
      <c r="M413" s="8" t="str">
        <f aca="false">IF(K413="FUERA","Fuera del marco",IF(K413="N/A","Sin marco",IFERROR(INDEX(Catalogo_TIMSS!$C$5:$C$105,MATCH(K413,Catalogo_TIMSS!$A$5:$A$105,0)),"Pendiente de clasificar")))</f>
        <v>Biología</v>
      </c>
      <c r="N413" s="8" t="str">
        <f aca="false">IF(K413="FUERA","Fuera del marco",IF(K413="N/A","Sin marco",IFERROR(INDEX(Catalogo_TIMSS!$F$5:$F$105,MATCH(K413,Catalogo_TIMSS!$A$5:$A$105,0)),"Pendiente de clasificar")))</f>
        <v>Ecosistemas</v>
      </c>
      <c r="O413" s="8" t="str">
        <f aca="false">IF(L413="","",IFERROR(INDEX(Catalogo_TIMSS!$C$5:$C$105,MATCH(L413,Catalogo_TIMSS!$A$5:$A$105,0)),"?"))</f>
        <v>Ciencias de la Tierra</v>
      </c>
      <c r="P413" s="8" t="s">
        <v>460</v>
      </c>
      <c r="Q413" s="27" t="s">
        <v>2098</v>
      </c>
      <c r="R413" s="27" t="s">
        <v>2099</v>
      </c>
      <c r="S413" s="28" t="n">
        <f aca="false">IFERROR(ISNUMBER(SEARCH("Conocer",$R413))/(ISNUMBER(SEARCH("Conocer",$R413))+ISNUMBER(SEARCH("Aplicar",$R413))+ISNUMBER(SEARCH("Razonar",$R413))),0)</f>
        <v>0</v>
      </c>
      <c r="T413" s="28" t="n">
        <f aca="false">IFERROR(ISNUMBER(SEARCH("Aplicar",$R413))/(ISNUMBER(SEARCH("Conocer",$R413))+ISNUMBER(SEARCH("Aplicar",$R413))+ISNUMBER(SEARCH("Razonar",$R413))),0)</f>
        <v>0.5</v>
      </c>
      <c r="U413" s="28" t="n">
        <f aca="false">IFERROR(ISNUMBER(SEARCH("Razonar",$R413))/(ISNUMBER(SEARCH("Conocer",$R413))+ISNUMBER(SEARCH("Aplicar",$R413))+ISNUMBER(SEARCH("Razonar",$R413))),0)</f>
        <v>0.5</v>
      </c>
      <c r="V413" s="8" t="s">
        <v>51</v>
      </c>
      <c r="W413" s="8" t="s">
        <v>67</v>
      </c>
    </row>
    <row r="414" customFormat="false" ht="15" hidden="false" customHeight="false" outlineLevel="0" collapsed="false">
      <c r="A414" s="8" t="s">
        <v>2100</v>
      </c>
      <c r="B414" s="8" t="n">
        <v>7</v>
      </c>
      <c r="C414" s="8" t="s">
        <v>411</v>
      </c>
      <c r="D414" s="8" t="s">
        <v>1864</v>
      </c>
      <c r="E414" s="8" t="s">
        <v>2070</v>
      </c>
      <c r="F414" s="8" t="n">
        <v>11</v>
      </c>
      <c r="G414" s="8" t="s">
        <v>2071</v>
      </c>
      <c r="H414" s="8" t="s">
        <v>2096</v>
      </c>
      <c r="I414" s="27" t="s">
        <v>2101</v>
      </c>
      <c r="J414" s="8" t="s">
        <v>185</v>
      </c>
      <c r="K414" s="8" t="s">
        <v>283</v>
      </c>
      <c r="L414" s="8" t="s">
        <v>233</v>
      </c>
      <c r="M414" s="8" t="str">
        <f aca="false">IF(K414="FUERA","Fuera del marco",IF(K414="N/A","Sin marco",IFERROR(INDEX(Catalogo_TIMSS!$C$5:$C$105,MATCH(K414,Catalogo_TIMSS!$A$5:$A$105,0)),"Pendiente de clasificar")))</f>
        <v>Ciencias de la Tierra</v>
      </c>
      <c r="N414" s="8" t="str">
        <f aca="false">IF(K414="FUERA","Fuera del marco",IF(K414="N/A","Sin marco",IFERROR(INDEX(Catalogo_TIMSS!$F$5:$F$105,MATCH(K414,Catalogo_TIMSS!$A$5:$A$105,0)),"Pendiente de clasificar")))</f>
        <v>Recursos de la Tierra, uso y conservación</v>
      </c>
      <c r="O414" s="8" t="str">
        <f aca="false">IF(L414="","",IFERROR(INDEX(Catalogo_TIMSS!$C$5:$C$105,MATCH(L414,Catalogo_TIMSS!$A$5:$A$105,0)),"?"))</f>
        <v>Química</v>
      </c>
      <c r="P414" s="8" t="s">
        <v>460</v>
      </c>
      <c r="Q414" s="27" t="s">
        <v>2102</v>
      </c>
      <c r="R414" s="27" t="s">
        <v>1355</v>
      </c>
      <c r="S414" s="28" t="n">
        <f aca="false">IFERROR(ISNUMBER(SEARCH("Conocer",$R414))/(ISNUMBER(SEARCH("Conocer",$R414))+ISNUMBER(SEARCH("Aplicar",$R414))+ISNUMBER(SEARCH("Razonar",$R414))),0)</f>
        <v>0</v>
      </c>
      <c r="T414" s="28" t="n">
        <f aca="false">IFERROR(ISNUMBER(SEARCH("Aplicar",$R414))/(ISNUMBER(SEARCH("Conocer",$R414))+ISNUMBER(SEARCH("Aplicar",$R414))+ISNUMBER(SEARCH("Razonar",$R414))),0)</f>
        <v>0.5</v>
      </c>
      <c r="U414" s="28" t="n">
        <f aca="false">IFERROR(ISNUMBER(SEARCH("Razonar",$R414))/(ISNUMBER(SEARCH("Conocer",$R414))+ISNUMBER(SEARCH("Aplicar",$R414))+ISNUMBER(SEARCH("Razonar",$R414))),0)</f>
        <v>0.5</v>
      </c>
      <c r="V414" s="8" t="s">
        <v>51</v>
      </c>
      <c r="W414" s="8" t="s">
        <v>67</v>
      </c>
    </row>
    <row r="415" customFormat="false" ht="15" hidden="false" customHeight="false" outlineLevel="0" collapsed="false">
      <c r="A415" s="8" t="s">
        <v>2103</v>
      </c>
      <c r="B415" s="8" t="n">
        <v>7</v>
      </c>
      <c r="C415" s="8" t="s">
        <v>411</v>
      </c>
      <c r="D415" s="8" t="s">
        <v>1864</v>
      </c>
      <c r="E415" s="8" t="s">
        <v>2070</v>
      </c>
      <c r="F415" s="8" t="n">
        <v>12</v>
      </c>
      <c r="G415" s="8" t="s">
        <v>2071</v>
      </c>
      <c r="H415" s="8" t="s">
        <v>2096</v>
      </c>
      <c r="I415" s="27" t="s">
        <v>2104</v>
      </c>
      <c r="J415" s="8" t="s">
        <v>185</v>
      </c>
      <c r="K415" s="8" t="s">
        <v>283</v>
      </c>
      <c r="L415" s="8"/>
      <c r="M415" s="8" t="str">
        <f aca="false">IF(K415="FUERA","Fuera del marco",IF(K415="N/A","Sin marco",IFERROR(INDEX(Catalogo_TIMSS!$C$5:$C$105,MATCH(K415,Catalogo_TIMSS!$A$5:$A$105,0)),"Pendiente de clasificar")))</f>
        <v>Ciencias de la Tierra</v>
      </c>
      <c r="N415" s="8" t="str">
        <f aca="false">IF(K415="FUERA","Fuera del marco",IF(K415="N/A","Sin marco",IFERROR(INDEX(Catalogo_TIMSS!$F$5:$F$105,MATCH(K415,Catalogo_TIMSS!$A$5:$A$105,0)),"Pendiente de clasificar")))</f>
        <v>Recursos de la Tierra, uso y conservación</v>
      </c>
      <c r="O415" s="8" t="str">
        <f aca="false">IF(L415="","",IFERROR(INDEX(Catalogo_TIMSS!$C$5:$C$105,MATCH(L415,Catalogo_TIMSS!$A$5:$A$105,0)),"?"))</f>
        <v/>
      </c>
      <c r="P415" s="8" t="s">
        <v>460</v>
      </c>
      <c r="Q415" s="27" t="s">
        <v>2105</v>
      </c>
      <c r="R415" s="27" t="s">
        <v>2106</v>
      </c>
      <c r="S415" s="28" t="n">
        <f aca="false">IFERROR(ISNUMBER(SEARCH("Conocer",$R415))/(ISNUMBER(SEARCH("Conocer",$R415))+ISNUMBER(SEARCH("Aplicar",$R415))+ISNUMBER(SEARCH("Razonar",$R415))),0)</f>
        <v>0</v>
      </c>
      <c r="T415" s="28" t="n">
        <f aca="false">IFERROR(ISNUMBER(SEARCH("Aplicar",$R415))/(ISNUMBER(SEARCH("Conocer",$R415))+ISNUMBER(SEARCH("Aplicar",$R415))+ISNUMBER(SEARCH("Razonar",$R415))),0)</f>
        <v>0</v>
      </c>
      <c r="U415" s="28" t="n">
        <f aca="false">IFERROR(ISNUMBER(SEARCH("Razonar",$R415))/(ISNUMBER(SEARCH("Conocer",$R415))+ISNUMBER(SEARCH("Aplicar",$R415))+ISNUMBER(SEARCH("Razonar",$R415))),0)</f>
        <v>1</v>
      </c>
      <c r="V415" s="8" t="s">
        <v>51</v>
      </c>
      <c r="W415" s="8" t="s">
        <v>67</v>
      </c>
    </row>
    <row r="416" customFormat="false" ht="15" hidden="false" customHeight="false" outlineLevel="0" collapsed="false">
      <c r="A416" s="8" t="s">
        <v>2107</v>
      </c>
      <c r="B416" s="8" t="n">
        <v>7</v>
      </c>
      <c r="C416" s="8" t="s">
        <v>411</v>
      </c>
      <c r="D416" s="8" t="s">
        <v>1864</v>
      </c>
      <c r="E416" s="8" t="s">
        <v>2070</v>
      </c>
      <c r="F416" s="8" t="n">
        <v>13</v>
      </c>
      <c r="G416" s="8" t="s">
        <v>2071</v>
      </c>
      <c r="H416" s="8" t="s">
        <v>2108</v>
      </c>
      <c r="I416" s="27" t="s">
        <v>2109</v>
      </c>
      <c r="J416" s="8" t="s">
        <v>185</v>
      </c>
      <c r="K416" s="8" t="s">
        <v>271</v>
      </c>
      <c r="L416" s="8"/>
      <c r="M416" s="8" t="str">
        <f aca="false">IF(K416="FUERA","Fuera del marco",IF(K416="N/A","Sin marco",IFERROR(INDEX(Catalogo_TIMSS!$C$5:$C$105,MATCH(K416,Catalogo_TIMSS!$A$5:$A$105,0)),"Pendiente de clasificar")))</f>
        <v>Ciencias de la Tierra</v>
      </c>
      <c r="N416" s="8" t="str">
        <f aca="false">IF(K416="FUERA","Fuera del marco",IF(K416="N/A","Sin marco",IFERROR(INDEX(Catalogo_TIMSS!$F$5:$F$105,MATCH(K416,Catalogo_TIMSS!$A$5:$A$105,0)),"Pendiente de clasificar")))</f>
        <v>Estructura y rasgos físicos de la Tierra</v>
      </c>
      <c r="O416" s="8" t="str">
        <f aca="false">IF(L416="","",IFERROR(INDEX(Catalogo_TIMSS!$C$5:$C$105,MATCH(L416,Catalogo_TIMSS!$A$5:$A$105,0)),"?"))</f>
        <v/>
      </c>
      <c r="P416" s="8" t="s">
        <v>418</v>
      </c>
      <c r="Q416" s="27" t="s">
        <v>2110</v>
      </c>
      <c r="R416" s="27" t="s">
        <v>1126</v>
      </c>
      <c r="S416" s="28" t="n">
        <f aca="false">IFERROR(ISNUMBER(SEARCH("Conocer",$R416))/(ISNUMBER(SEARCH("Conocer",$R416))+ISNUMBER(SEARCH("Aplicar",$R416))+ISNUMBER(SEARCH("Razonar",$R416))),0)</f>
        <v>0</v>
      </c>
      <c r="T416" s="28" t="n">
        <f aca="false">IFERROR(ISNUMBER(SEARCH("Aplicar",$R416))/(ISNUMBER(SEARCH("Conocer",$R416))+ISNUMBER(SEARCH("Aplicar",$R416))+ISNUMBER(SEARCH("Razonar",$R416))),0)</f>
        <v>1</v>
      </c>
      <c r="U416" s="28" t="n">
        <f aca="false">IFERROR(ISNUMBER(SEARCH("Razonar",$R416))/(ISNUMBER(SEARCH("Conocer",$R416))+ISNUMBER(SEARCH("Aplicar",$R416))+ISNUMBER(SEARCH("Razonar",$R416))),0)</f>
        <v>0</v>
      </c>
      <c r="V416" s="8" t="s">
        <v>51</v>
      </c>
      <c r="W416" s="8" t="s">
        <v>67</v>
      </c>
    </row>
    <row r="417" customFormat="false" ht="15" hidden="false" customHeight="false" outlineLevel="0" collapsed="false">
      <c r="A417" s="8" t="s">
        <v>2111</v>
      </c>
      <c r="B417" s="8" t="n">
        <v>7</v>
      </c>
      <c r="C417" s="8" t="s">
        <v>411</v>
      </c>
      <c r="D417" s="8" t="s">
        <v>1864</v>
      </c>
      <c r="E417" s="8" t="s">
        <v>2070</v>
      </c>
      <c r="F417" s="8" t="n">
        <v>14</v>
      </c>
      <c r="G417" s="8" t="s">
        <v>2071</v>
      </c>
      <c r="H417" s="8" t="s">
        <v>2108</v>
      </c>
      <c r="I417" s="27" t="s">
        <v>2112</v>
      </c>
      <c r="J417" s="8" t="s">
        <v>185</v>
      </c>
      <c r="K417" s="8" t="s">
        <v>213</v>
      </c>
      <c r="L417" s="8" t="s">
        <v>271</v>
      </c>
      <c r="M417" s="8" t="str">
        <f aca="false">IF(K417="FUERA","Fuera del marco",IF(K417="N/A","Sin marco",IFERROR(INDEX(Catalogo_TIMSS!$C$5:$C$105,MATCH(K417,Catalogo_TIMSS!$A$5:$A$105,0)),"Pendiente de clasificar")))</f>
        <v>Biología</v>
      </c>
      <c r="N417" s="8" t="str">
        <f aca="false">IF(K417="FUERA","Fuera del marco",IF(K417="N/A","Sin marco",IFERROR(INDEX(Catalogo_TIMSS!$F$5:$F$105,MATCH(K417,Catalogo_TIMSS!$A$5:$A$105,0)),"Pendiente de clasificar")))</f>
        <v>Ecosistemas</v>
      </c>
      <c r="O417" s="8" t="str">
        <f aca="false">IF(L417="","",IFERROR(INDEX(Catalogo_TIMSS!$C$5:$C$105,MATCH(L417,Catalogo_TIMSS!$A$5:$A$105,0)),"?"))</f>
        <v>Ciencias de la Tierra</v>
      </c>
      <c r="P417" s="8" t="s">
        <v>460</v>
      </c>
      <c r="Q417" s="27" t="s">
        <v>2113</v>
      </c>
      <c r="R417" s="27" t="s">
        <v>680</v>
      </c>
      <c r="S417" s="28" t="n">
        <f aca="false">IFERROR(ISNUMBER(SEARCH("Conocer",$R417))/(ISNUMBER(SEARCH("Conocer",$R417))+ISNUMBER(SEARCH("Aplicar",$R417))+ISNUMBER(SEARCH("Razonar",$R417))),0)</f>
        <v>1</v>
      </c>
      <c r="T417" s="28" t="n">
        <f aca="false">IFERROR(ISNUMBER(SEARCH("Aplicar",$R417))/(ISNUMBER(SEARCH("Conocer",$R417))+ISNUMBER(SEARCH("Aplicar",$R417))+ISNUMBER(SEARCH("Razonar",$R417))),0)</f>
        <v>0</v>
      </c>
      <c r="U417" s="28" t="n">
        <f aca="false">IFERROR(ISNUMBER(SEARCH("Razonar",$R417))/(ISNUMBER(SEARCH("Conocer",$R417))+ISNUMBER(SEARCH("Aplicar",$R417))+ISNUMBER(SEARCH("Razonar",$R417))),0)</f>
        <v>0</v>
      </c>
      <c r="V417" s="8" t="s">
        <v>51</v>
      </c>
      <c r="W417" s="8" t="s">
        <v>67</v>
      </c>
    </row>
    <row r="418" customFormat="false" ht="15" hidden="false" customHeight="false" outlineLevel="0" collapsed="false">
      <c r="A418" s="8" t="s">
        <v>2114</v>
      </c>
      <c r="B418" s="8" t="n">
        <v>7</v>
      </c>
      <c r="C418" s="8" t="s">
        <v>411</v>
      </c>
      <c r="D418" s="8" t="s">
        <v>1864</v>
      </c>
      <c r="E418" s="8" t="s">
        <v>2070</v>
      </c>
      <c r="F418" s="8" t="n">
        <v>15</v>
      </c>
      <c r="G418" s="8" t="s">
        <v>2071</v>
      </c>
      <c r="H418" s="8" t="s">
        <v>2108</v>
      </c>
      <c r="I418" s="27" t="s">
        <v>2115</v>
      </c>
      <c r="J418" s="8" t="s">
        <v>185</v>
      </c>
      <c r="K418" s="8" t="s">
        <v>213</v>
      </c>
      <c r="L418" s="8"/>
      <c r="M418" s="8" t="str">
        <f aca="false">IF(K418="FUERA","Fuera del marco",IF(K418="N/A","Sin marco",IFERROR(INDEX(Catalogo_TIMSS!$C$5:$C$105,MATCH(K418,Catalogo_TIMSS!$A$5:$A$105,0)),"Pendiente de clasificar")))</f>
        <v>Biología</v>
      </c>
      <c r="N418" s="8" t="str">
        <f aca="false">IF(K418="FUERA","Fuera del marco",IF(K418="N/A","Sin marco",IFERROR(INDEX(Catalogo_TIMSS!$F$5:$F$105,MATCH(K418,Catalogo_TIMSS!$A$5:$A$105,0)),"Pendiente de clasificar")))</f>
        <v>Ecosistemas</v>
      </c>
      <c r="O418" s="8" t="str">
        <f aca="false">IF(L418="","",IFERROR(INDEX(Catalogo_TIMSS!$C$5:$C$105,MATCH(L418,Catalogo_TIMSS!$A$5:$A$105,0)),"?"))</f>
        <v/>
      </c>
      <c r="P418" s="8" t="s">
        <v>513</v>
      </c>
      <c r="Q418" s="27" t="s">
        <v>2116</v>
      </c>
      <c r="R418" s="27" t="s">
        <v>2117</v>
      </c>
      <c r="S418" s="28" t="n">
        <f aca="false">IFERROR(ISNUMBER(SEARCH("Conocer",$R418))/(ISNUMBER(SEARCH("Conocer",$R418))+ISNUMBER(SEARCH("Aplicar",$R418))+ISNUMBER(SEARCH("Razonar",$R418))),0)</f>
        <v>0</v>
      </c>
      <c r="T418" s="28" t="n">
        <f aca="false">IFERROR(ISNUMBER(SEARCH("Aplicar",$R418))/(ISNUMBER(SEARCH("Conocer",$R418))+ISNUMBER(SEARCH("Aplicar",$R418))+ISNUMBER(SEARCH("Razonar",$R418))),0)</f>
        <v>0</v>
      </c>
      <c r="U418" s="28" t="n">
        <f aca="false">IFERROR(ISNUMBER(SEARCH("Razonar",$R418))/(ISNUMBER(SEARCH("Conocer",$R418))+ISNUMBER(SEARCH("Aplicar",$R418))+ISNUMBER(SEARCH("Razonar",$R418))),0)</f>
        <v>1</v>
      </c>
      <c r="V418" s="8" t="s">
        <v>51</v>
      </c>
      <c r="W418" s="8" t="s">
        <v>67</v>
      </c>
    </row>
    <row r="419" customFormat="false" ht="15" hidden="false" customHeight="false" outlineLevel="0" collapsed="false">
      <c r="A419" s="8" t="s">
        <v>2118</v>
      </c>
      <c r="B419" s="8" t="n">
        <v>7</v>
      </c>
      <c r="C419" s="8" t="s">
        <v>411</v>
      </c>
      <c r="D419" s="8" t="s">
        <v>1864</v>
      </c>
      <c r="E419" s="8" t="s">
        <v>2070</v>
      </c>
      <c r="F419" s="8" t="n">
        <v>16</v>
      </c>
      <c r="G419" s="8" t="s">
        <v>2071</v>
      </c>
      <c r="H419" s="8" t="s">
        <v>2119</v>
      </c>
      <c r="I419" s="27" t="s">
        <v>2120</v>
      </c>
      <c r="J419" s="8" t="s">
        <v>185</v>
      </c>
      <c r="K419" s="8" t="s">
        <v>278</v>
      </c>
      <c r="L419" s="8"/>
      <c r="M419" s="8" t="str">
        <f aca="false">IF(K419="FUERA","Fuera del marco",IF(K419="N/A","Sin marco",IFERROR(INDEX(Catalogo_TIMSS!$C$5:$C$105,MATCH(K419,Catalogo_TIMSS!$A$5:$A$105,0)),"Pendiente de clasificar")))</f>
        <v>Ciencias de la Tierra</v>
      </c>
      <c r="N419" s="8" t="str">
        <f aca="false">IF(K419="FUERA","Fuera del marco",IF(K419="N/A","Sin marco",IFERROR(INDEX(Catalogo_TIMSS!$F$5:$F$105,MATCH(K419,Catalogo_TIMSS!$A$5:$A$105,0)),"Pendiente de clasificar")))</f>
        <v>Procesos, ciclos e historia de la Tierra</v>
      </c>
      <c r="O419" s="8" t="str">
        <f aca="false">IF(L419="","",IFERROR(INDEX(Catalogo_TIMSS!$C$5:$C$105,MATCH(L419,Catalogo_TIMSS!$A$5:$A$105,0)),"?"))</f>
        <v/>
      </c>
      <c r="P419" s="8" t="s">
        <v>460</v>
      </c>
      <c r="Q419" s="27" t="s">
        <v>2121</v>
      </c>
      <c r="R419" s="27" t="s">
        <v>2122</v>
      </c>
      <c r="S419" s="28" t="n">
        <f aca="false">IFERROR(ISNUMBER(SEARCH("Conocer",$R419))/(ISNUMBER(SEARCH("Conocer",$R419))+ISNUMBER(SEARCH("Aplicar",$R419))+ISNUMBER(SEARCH("Razonar",$R419))),0)</f>
        <v>0</v>
      </c>
      <c r="T419" s="28" t="n">
        <f aca="false">IFERROR(ISNUMBER(SEARCH("Aplicar",$R419))/(ISNUMBER(SEARCH("Conocer",$R419))+ISNUMBER(SEARCH("Aplicar",$R419))+ISNUMBER(SEARCH("Razonar",$R419))),0)</f>
        <v>1</v>
      </c>
      <c r="U419" s="28" t="n">
        <f aca="false">IFERROR(ISNUMBER(SEARCH("Razonar",$R419))/(ISNUMBER(SEARCH("Conocer",$R419))+ISNUMBER(SEARCH("Aplicar",$R419))+ISNUMBER(SEARCH("Razonar",$R419))),0)</f>
        <v>0</v>
      </c>
      <c r="V419" s="8" t="s">
        <v>51</v>
      </c>
      <c r="W419" s="8" t="s">
        <v>67</v>
      </c>
    </row>
    <row r="420" customFormat="false" ht="15" hidden="false" customHeight="false" outlineLevel="0" collapsed="false">
      <c r="A420" s="8" t="s">
        <v>2123</v>
      </c>
      <c r="B420" s="8" t="n">
        <v>7</v>
      </c>
      <c r="C420" s="8" t="s">
        <v>411</v>
      </c>
      <c r="D420" s="8" t="s">
        <v>1864</v>
      </c>
      <c r="E420" s="8" t="s">
        <v>2070</v>
      </c>
      <c r="F420" s="8" t="n">
        <v>17</v>
      </c>
      <c r="G420" s="8" t="s">
        <v>2071</v>
      </c>
      <c r="H420" s="8" t="s">
        <v>2119</v>
      </c>
      <c r="I420" s="27" t="s">
        <v>2124</v>
      </c>
      <c r="J420" s="8" t="s">
        <v>185</v>
      </c>
      <c r="K420" s="8" t="s">
        <v>278</v>
      </c>
      <c r="L420" s="8"/>
      <c r="M420" s="8" t="str">
        <f aca="false">IF(K420="FUERA","Fuera del marco",IF(K420="N/A","Sin marco",IFERROR(INDEX(Catalogo_TIMSS!$C$5:$C$105,MATCH(K420,Catalogo_TIMSS!$A$5:$A$105,0)),"Pendiente de clasificar")))</f>
        <v>Ciencias de la Tierra</v>
      </c>
      <c r="N420" s="8" t="str">
        <f aca="false">IF(K420="FUERA","Fuera del marco",IF(K420="N/A","Sin marco",IFERROR(INDEX(Catalogo_TIMSS!$F$5:$F$105,MATCH(K420,Catalogo_TIMSS!$A$5:$A$105,0)),"Pendiente de clasificar")))</f>
        <v>Procesos, ciclos e historia de la Tierra</v>
      </c>
      <c r="O420" s="8" t="str">
        <f aca="false">IF(L420="","",IFERROR(INDEX(Catalogo_TIMSS!$C$5:$C$105,MATCH(L420,Catalogo_TIMSS!$A$5:$A$105,0)),"?"))</f>
        <v/>
      </c>
      <c r="P420" s="8" t="s">
        <v>460</v>
      </c>
      <c r="Q420" s="27" t="s">
        <v>2125</v>
      </c>
      <c r="R420" s="27" t="s">
        <v>2126</v>
      </c>
      <c r="S420" s="28" t="n">
        <f aca="false">IFERROR(ISNUMBER(SEARCH("Conocer",$R420))/(ISNUMBER(SEARCH("Conocer",$R420))+ISNUMBER(SEARCH("Aplicar",$R420))+ISNUMBER(SEARCH("Razonar",$R420))),0)</f>
        <v>0</v>
      </c>
      <c r="T420" s="28" t="n">
        <f aca="false">IFERROR(ISNUMBER(SEARCH("Aplicar",$R420))/(ISNUMBER(SEARCH("Conocer",$R420))+ISNUMBER(SEARCH("Aplicar",$R420))+ISNUMBER(SEARCH("Razonar",$R420))),0)</f>
        <v>0.5</v>
      </c>
      <c r="U420" s="28" t="n">
        <f aca="false">IFERROR(ISNUMBER(SEARCH("Razonar",$R420))/(ISNUMBER(SEARCH("Conocer",$R420))+ISNUMBER(SEARCH("Aplicar",$R420))+ISNUMBER(SEARCH("Razonar",$R420))),0)</f>
        <v>0.5</v>
      </c>
      <c r="V420" s="8" t="s">
        <v>51</v>
      </c>
      <c r="W420" s="8" t="s">
        <v>67</v>
      </c>
    </row>
    <row r="421" customFormat="false" ht="15" hidden="false" customHeight="false" outlineLevel="0" collapsed="false">
      <c r="A421" s="8" t="s">
        <v>2127</v>
      </c>
      <c r="B421" s="8" t="n">
        <v>7</v>
      </c>
      <c r="C421" s="8" t="s">
        <v>411</v>
      </c>
      <c r="D421" s="8" t="s">
        <v>1864</v>
      </c>
      <c r="E421" s="8" t="s">
        <v>2070</v>
      </c>
      <c r="F421" s="8" t="n">
        <v>18</v>
      </c>
      <c r="G421" s="8" t="s">
        <v>2071</v>
      </c>
      <c r="H421" s="8" t="s">
        <v>2119</v>
      </c>
      <c r="I421" s="27" t="s">
        <v>2128</v>
      </c>
      <c r="J421" s="8" t="s">
        <v>185</v>
      </c>
      <c r="K421" s="8" t="s">
        <v>278</v>
      </c>
      <c r="L421" s="8"/>
      <c r="M421" s="8" t="str">
        <f aca="false">IF(K421="FUERA","Fuera del marco",IF(K421="N/A","Sin marco",IFERROR(INDEX(Catalogo_TIMSS!$C$5:$C$105,MATCH(K421,Catalogo_TIMSS!$A$5:$A$105,0)),"Pendiente de clasificar")))</f>
        <v>Ciencias de la Tierra</v>
      </c>
      <c r="N421" s="8" t="str">
        <f aca="false">IF(K421="FUERA","Fuera del marco",IF(K421="N/A","Sin marco",IFERROR(INDEX(Catalogo_TIMSS!$F$5:$F$105,MATCH(K421,Catalogo_TIMSS!$A$5:$A$105,0)),"Pendiente de clasificar")))</f>
        <v>Procesos, ciclos e historia de la Tierra</v>
      </c>
      <c r="O421" s="8" t="str">
        <f aca="false">IF(L421="","",IFERROR(INDEX(Catalogo_TIMSS!$C$5:$C$105,MATCH(L421,Catalogo_TIMSS!$A$5:$A$105,0)),"?"))</f>
        <v/>
      </c>
      <c r="P421" s="8" t="s">
        <v>460</v>
      </c>
      <c r="Q421" s="27" t="s">
        <v>2129</v>
      </c>
      <c r="R421" s="27" t="s">
        <v>1637</v>
      </c>
      <c r="S421" s="28" t="n">
        <f aca="false">IFERROR(ISNUMBER(SEARCH("Conocer",$R421))/(ISNUMBER(SEARCH("Conocer",$R421))+ISNUMBER(SEARCH("Aplicar",$R421))+ISNUMBER(SEARCH("Razonar",$R421))),0)</f>
        <v>0</v>
      </c>
      <c r="T421" s="28" t="n">
        <f aca="false">IFERROR(ISNUMBER(SEARCH("Aplicar",$R421))/(ISNUMBER(SEARCH("Conocer",$R421))+ISNUMBER(SEARCH("Aplicar",$R421))+ISNUMBER(SEARCH("Razonar",$R421))),0)</f>
        <v>0.5</v>
      </c>
      <c r="U421" s="28" t="n">
        <f aca="false">IFERROR(ISNUMBER(SEARCH("Razonar",$R421))/(ISNUMBER(SEARCH("Conocer",$R421))+ISNUMBER(SEARCH("Aplicar",$R421))+ISNUMBER(SEARCH("Razonar",$R421))),0)</f>
        <v>0.5</v>
      </c>
      <c r="V421" s="8" t="s">
        <v>51</v>
      </c>
      <c r="W421" s="8" t="s">
        <v>67</v>
      </c>
    </row>
    <row r="422" customFormat="false" ht="15" hidden="false" customHeight="false" outlineLevel="0" collapsed="false">
      <c r="A422" s="8" t="s">
        <v>2130</v>
      </c>
      <c r="B422" s="8" t="n">
        <v>7</v>
      </c>
      <c r="C422" s="8" t="s">
        <v>411</v>
      </c>
      <c r="D422" s="8" t="s">
        <v>1864</v>
      </c>
      <c r="E422" s="8" t="s">
        <v>2070</v>
      </c>
      <c r="F422" s="8" t="n">
        <v>19</v>
      </c>
      <c r="G422" s="8" t="s">
        <v>2071</v>
      </c>
      <c r="H422" s="8" t="s">
        <v>2119</v>
      </c>
      <c r="I422" s="27" t="s">
        <v>2131</v>
      </c>
      <c r="J422" s="8" t="s">
        <v>185</v>
      </c>
      <c r="K422" s="8" t="s">
        <v>278</v>
      </c>
      <c r="L422" s="8"/>
      <c r="M422" s="8" t="str">
        <f aca="false">IF(K422="FUERA","Fuera del marco",IF(K422="N/A","Sin marco",IFERROR(INDEX(Catalogo_TIMSS!$C$5:$C$105,MATCH(K422,Catalogo_TIMSS!$A$5:$A$105,0)),"Pendiente de clasificar")))</f>
        <v>Ciencias de la Tierra</v>
      </c>
      <c r="N422" s="8" t="str">
        <f aca="false">IF(K422="FUERA","Fuera del marco",IF(K422="N/A","Sin marco",IFERROR(INDEX(Catalogo_TIMSS!$F$5:$F$105,MATCH(K422,Catalogo_TIMSS!$A$5:$A$105,0)),"Pendiente de clasificar")))</f>
        <v>Procesos, ciclos e historia de la Tierra</v>
      </c>
      <c r="O422" s="8" t="str">
        <f aca="false">IF(L422="","",IFERROR(INDEX(Catalogo_TIMSS!$C$5:$C$105,MATCH(L422,Catalogo_TIMSS!$A$5:$A$105,0)),"?"))</f>
        <v/>
      </c>
      <c r="P422" s="8" t="s">
        <v>460</v>
      </c>
      <c r="Q422" s="27" t="s">
        <v>2132</v>
      </c>
      <c r="R422" s="27" t="s">
        <v>1776</v>
      </c>
      <c r="S422" s="28" t="n">
        <f aca="false">IFERROR(ISNUMBER(SEARCH("Conocer",$R422))/(ISNUMBER(SEARCH("Conocer",$R422))+ISNUMBER(SEARCH("Aplicar",$R422))+ISNUMBER(SEARCH("Razonar",$R422))),0)</f>
        <v>1</v>
      </c>
      <c r="T422" s="28" t="n">
        <f aca="false">IFERROR(ISNUMBER(SEARCH("Aplicar",$R422))/(ISNUMBER(SEARCH("Conocer",$R422))+ISNUMBER(SEARCH("Aplicar",$R422))+ISNUMBER(SEARCH("Razonar",$R422))),0)</f>
        <v>0</v>
      </c>
      <c r="U422" s="28" t="n">
        <f aca="false">IFERROR(ISNUMBER(SEARCH("Razonar",$R422))/(ISNUMBER(SEARCH("Conocer",$R422))+ISNUMBER(SEARCH("Aplicar",$R422))+ISNUMBER(SEARCH("Razonar",$R422))),0)</f>
        <v>0</v>
      </c>
      <c r="V422" s="8" t="s">
        <v>51</v>
      </c>
      <c r="W422" s="8" t="s">
        <v>67</v>
      </c>
    </row>
    <row r="423" customFormat="false" ht="15" hidden="false" customHeight="false" outlineLevel="0" collapsed="false">
      <c r="A423" s="8" t="s">
        <v>2133</v>
      </c>
      <c r="B423" s="8" t="n">
        <v>7</v>
      </c>
      <c r="C423" s="8" t="s">
        <v>411</v>
      </c>
      <c r="D423" s="8" t="s">
        <v>1864</v>
      </c>
      <c r="E423" s="8" t="s">
        <v>2070</v>
      </c>
      <c r="F423" s="8" t="n">
        <v>20</v>
      </c>
      <c r="G423" s="8" t="s">
        <v>2071</v>
      </c>
      <c r="H423" s="8" t="s">
        <v>2119</v>
      </c>
      <c r="I423" s="27" t="s">
        <v>2134</v>
      </c>
      <c r="J423" s="8" t="s">
        <v>185</v>
      </c>
      <c r="K423" s="8" t="s">
        <v>278</v>
      </c>
      <c r="L423" s="8"/>
      <c r="M423" s="8" t="str">
        <f aca="false">IF(K423="FUERA","Fuera del marco",IF(K423="N/A","Sin marco",IFERROR(INDEX(Catalogo_TIMSS!$C$5:$C$105,MATCH(K423,Catalogo_TIMSS!$A$5:$A$105,0)),"Pendiente de clasificar")))</f>
        <v>Ciencias de la Tierra</v>
      </c>
      <c r="N423" s="8" t="str">
        <f aca="false">IF(K423="FUERA","Fuera del marco",IF(K423="N/A","Sin marco",IFERROR(INDEX(Catalogo_TIMSS!$F$5:$F$105,MATCH(K423,Catalogo_TIMSS!$A$5:$A$105,0)),"Pendiente de clasificar")))</f>
        <v>Procesos, ciclos e historia de la Tierra</v>
      </c>
      <c r="O423" s="8" t="str">
        <f aca="false">IF(L423="","",IFERROR(INDEX(Catalogo_TIMSS!$C$5:$C$105,MATCH(L423,Catalogo_TIMSS!$A$5:$A$105,0)),"?"))</f>
        <v/>
      </c>
      <c r="P423" s="8" t="s">
        <v>460</v>
      </c>
      <c r="Q423" s="27" t="s">
        <v>2135</v>
      </c>
      <c r="R423" s="27" t="s">
        <v>2136</v>
      </c>
      <c r="S423" s="28" t="n">
        <f aca="false">IFERROR(ISNUMBER(SEARCH("Conocer",$R423))/(ISNUMBER(SEARCH("Conocer",$R423))+ISNUMBER(SEARCH("Aplicar",$R423))+ISNUMBER(SEARCH("Razonar",$R423))),0)</f>
        <v>0</v>
      </c>
      <c r="T423" s="28" t="n">
        <f aca="false">IFERROR(ISNUMBER(SEARCH("Aplicar",$R423))/(ISNUMBER(SEARCH("Conocer",$R423))+ISNUMBER(SEARCH("Aplicar",$R423))+ISNUMBER(SEARCH("Razonar",$R423))),0)</f>
        <v>1</v>
      </c>
      <c r="U423" s="28" t="n">
        <f aca="false">IFERROR(ISNUMBER(SEARCH("Razonar",$R423))/(ISNUMBER(SEARCH("Conocer",$R423))+ISNUMBER(SEARCH("Aplicar",$R423))+ISNUMBER(SEARCH("Razonar",$R423))),0)</f>
        <v>0</v>
      </c>
      <c r="V423" s="8" t="s">
        <v>51</v>
      </c>
      <c r="W423" s="8" t="s">
        <v>67</v>
      </c>
    </row>
    <row r="424" customFormat="false" ht="15" hidden="false" customHeight="false" outlineLevel="0" collapsed="false">
      <c r="A424" s="8" t="s">
        <v>2137</v>
      </c>
      <c r="B424" s="8" t="n">
        <v>7</v>
      </c>
      <c r="C424" s="8" t="s">
        <v>411</v>
      </c>
      <c r="D424" s="8" t="s">
        <v>1864</v>
      </c>
      <c r="E424" s="8" t="s">
        <v>2138</v>
      </c>
      <c r="F424" s="8" t="n">
        <v>3</v>
      </c>
      <c r="G424" s="8" t="s">
        <v>2139</v>
      </c>
      <c r="H424" s="8" t="s">
        <v>2140</v>
      </c>
      <c r="I424" s="27" t="s">
        <v>2141</v>
      </c>
      <c r="J424" s="8" t="s">
        <v>185</v>
      </c>
      <c r="K424" s="8" t="s">
        <v>280</v>
      </c>
      <c r="L424" s="8"/>
      <c r="M424" s="8" t="str">
        <f aca="false">IF(K424="FUERA","Fuera del marco",IF(K424="N/A","Sin marco",IFERROR(INDEX(Catalogo_TIMSS!$C$5:$C$105,MATCH(K424,Catalogo_TIMSS!$A$5:$A$105,0)),"Pendiente de clasificar")))</f>
        <v>Ciencias de la Tierra</v>
      </c>
      <c r="N424" s="8" t="str">
        <f aca="false">IF(K424="FUERA","Fuera del marco",IF(K424="N/A","Sin marco",IFERROR(INDEX(Catalogo_TIMSS!$F$5:$F$105,MATCH(K424,Catalogo_TIMSS!$A$5:$A$105,0)),"Pendiente de clasificar")))</f>
        <v>Recursos de la Tierra, uso y conservación</v>
      </c>
      <c r="O424" s="8" t="str">
        <f aca="false">IF(L424="","",IFERROR(INDEX(Catalogo_TIMSS!$C$5:$C$105,MATCH(L424,Catalogo_TIMSS!$A$5:$A$105,0)),"?"))</f>
        <v/>
      </c>
      <c r="P424" s="8" t="s">
        <v>418</v>
      </c>
      <c r="Q424" s="27" t="s">
        <v>2142</v>
      </c>
      <c r="R424" s="27" t="s">
        <v>1032</v>
      </c>
      <c r="S424" s="28" t="n">
        <f aca="false">IFERROR(ISNUMBER(SEARCH("Conocer",$R424))/(ISNUMBER(SEARCH("Conocer",$R424))+ISNUMBER(SEARCH("Aplicar",$R424))+ISNUMBER(SEARCH("Razonar",$R424))),0)</f>
        <v>1</v>
      </c>
      <c r="T424" s="28" t="n">
        <f aca="false">IFERROR(ISNUMBER(SEARCH("Aplicar",$R424))/(ISNUMBER(SEARCH("Conocer",$R424))+ISNUMBER(SEARCH("Aplicar",$R424))+ISNUMBER(SEARCH("Razonar",$R424))),0)</f>
        <v>0</v>
      </c>
      <c r="U424" s="28" t="n">
        <f aca="false">IFERROR(ISNUMBER(SEARCH("Razonar",$R424))/(ISNUMBER(SEARCH("Conocer",$R424))+ISNUMBER(SEARCH("Aplicar",$R424))+ISNUMBER(SEARCH("Razonar",$R424))),0)</f>
        <v>0</v>
      </c>
      <c r="V424" s="8" t="s">
        <v>51</v>
      </c>
      <c r="W424" s="8" t="s">
        <v>67</v>
      </c>
    </row>
    <row r="425" customFormat="false" ht="15" hidden="false" customHeight="false" outlineLevel="0" collapsed="false">
      <c r="A425" s="8" t="s">
        <v>2143</v>
      </c>
      <c r="B425" s="8" t="n">
        <v>7</v>
      </c>
      <c r="C425" s="8" t="s">
        <v>411</v>
      </c>
      <c r="D425" s="8" t="s">
        <v>1864</v>
      </c>
      <c r="E425" s="8" t="s">
        <v>2138</v>
      </c>
      <c r="F425" s="8" t="n">
        <v>4</v>
      </c>
      <c r="G425" s="8" t="s">
        <v>2139</v>
      </c>
      <c r="H425" s="8" t="s">
        <v>2140</v>
      </c>
      <c r="I425" s="27" t="s">
        <v>2144</v>
      </c>
      <c r="J425" s="8" t="s">
        <v>185</v>
      </c>
      <c r="K425" s="8" t="s">
        <v>280</v>
      </c>
      <c r="L425" s="8" t="s">
        <v>247</v>
      </c>
      <c r="M425" s="8" t="str">
        <f aca="false">IF(K425="FUERA","Fuera del marco",IF(K425="N/A","Sin marco",IFERROR(INDEX(Catalogo_TIMSS!$C$5:$C$105,MATCH(K425,Catalogo_TIMSS!$A$5:$A$105,0)),"Pendiente de clasificar")))</f>
        <v>Ciencias de la Tierra</v>
      </c>
      <c r="N425" s="8" t="str">
        <f aca="false">IF(K425="FUERA","Fuera del marco",IF(K425="N/A","Sin marco",IFERROR(INDEX(Catalogo_TIMSS!$F$5:$F$105,MATCH(K425,Catalogo_TIMSS!$A$5:$A$105,0)),"Pendiente de clasificar")))</f>
        <v>Recursos de la Tierra, uso y conservación</v>
      </c>
      <c r="O425" s="8" t="str">
        <f aca="false">IF(L425="","",IFERROR(INDEX(Catalogo_TIMSS!$C$5:$C$105,MATCH(L425,Catalogo_TIMSS!$A$5:$A$105,0)),"?"))</f>
        <v>Física</v>
      </c>
      <c r="P425" s="8" t="s">
        <v>460</v>
      </c>
      <c r="Q425" s="27" t="s">
        <v>2145</v>
      </c>
      <c r="R425" s="27" t="s">
        <v>2146</v>
      </c>
      <c r="S425" s="28" t="n">
        <f aca="false">IFERROR(ISNUMBER(SEARCH("Conocer",$R425))/(ISNUMBER(SEARCH("Conocer",$R425))+ISNUMBER(SEARCH("Aplicar",$R425))+ISNUMBER(SEARCH("Razonar",$R425))),0)</f>
        <v>0</v>
      </c>
      <c r="T425" s="28" t="n">
        <f aca="false">IFERROR(ISNUMBER(SEARCH("Aplicar",$R425))/(ISNUMBER(SEARCH("Conocer",$R425))+ISNUMBER(SEARCH("Aplicar",$R425))+ISNUMBER(SEARCH("Razonar",$R425))),0)</f>
        <v>0</v>
      </c>
      <c r="U425" s="28" t="n">
        <f aca="false">IFERROR(ISNUMBER(SEARCH("Razonar",$R425))/(ISNUMBER(SEARCH("Conocer",$R425))+ISNUMBER(SEARCH("Aplicar",$R425))+ISNUMBER(SEARCH("Razonar",$R425))),0)</f>
        <v>1</v>
      </c>
      <c r="V425" s="8" t="s">
        <v>51</v>
      </c>
      <c r="W425" s="8" t="s">
        <v>67</v>
      </c>
    </row>
    <row r="426" customFormat="false" ht="15" hidden="false" customHeight="false" outlineLevel="0" collapsed="false">
      <c r="A426" s="8" t="s">
        <v>2147</v>
      </c>
      <c r="B426" s="8" t="n">
        <v>7</v>
      </c>
      <c r="C426" s="8" t="s">
        <v>411</v>
      </c>
      <c r="D426" s="8" t="s">
        <v>1864</v>
      </c>
      <c r="E426" s="8" t="s">
        <v>2138</v>
      </c>
      <c r="F426" s="8" t="n">
        <v>5</v>
      </c>
      <c r="G426" s="8" t="s">
        <v>2139</v>
      </c>
      <c r="H426" s="8" t="s">
        <v>2140</v>
      </c>
      <c r="I426" s="27" t="s">
        <v>2148</v>
      </c>
      <c r="J426" s="8" t="s">
        <v>185</v>
      </c>
      <c r="K426" s="8" t="s">
        <v>280</v>
      </c>
      <c r="L426" s="8"/>
      <c r="M426" s="8" t="str">
        <f aca="false">IF(K426="FUERA","Fuera del marco",IF(K426="N/A","Sin marco",IFERROR(INDEX(Catalogo_TIMSS!$C$5:$C$105,MATCH(K426,Catalogo_TIMSS!$A$5:$A$105,0)),"Pendiente de clasificar")))</f>
        <v>Ciencias de la Tierra</v>
      </c>
      <c r="N426" s="8" t="str">
        <f aca="false">IF(K426="FUERA","Fuera del marco",IF(K426="N/A","Sin marco",IFERROR(INDEX(Catalogo_TIMSS!$F$5:$F$105,MATCH(K426,Catalogo_TIMSS!$A$5:$A$105,0)),"Pendiente de clasificar")))</f>
        <v>Recursos de la Tierra, uso y conservación</v>
      </c>
      <c r="O426" s="8" t="str">
        <f aca="false">IF(L426="","",IFERROR(INDEX(Catalogo_TIMSS!$C$5:$C$105,MATCH(L426,Catalogo_TIMSS!$A$5:$A$105,0)),"?"))</f>
        <v/>
      </c>
      <c r="P426" s="8" t="s">
        <v>418</v>
      </c>
      <c r="Q426" s="27" t="s">
        <v>2149</v>
      </c>
      <c r="R426" s="27" t="s">
        <v>2150</v>
      </c>
      <c r="S426" s="28" t="n">
        <f aca="false">IFERROR(ISNUMBER(SEARCH("Conocer",$R426))/(ISNUMBER(SEARCH("Conocer",$R426))+ISNUMBER(SEARCH("Aplicar",$R426))+ISNUMBER(SEARCH("Razonar",$R426))),0)</f>
        <v>0</v>
      </c>
      <c r="T426" s="28" t="n">
        <f aca="false">IFERROR(ISNUMBER(SEARCH("Aplicar",$R426))/(ISNUMBER(SEARCH("Conocer",$R426))+ISNUMBER(SEARCH("Aplicar",$R426))+ISNUMBER(SEARCH("Razonar",$R426))),0)</f>
        <v>1</v>
      </c>
      <c r="U426" s="28" t="n">
        <f aca="false">IFERROR(ISNUMBER(SEARCH("Razonar",$R426))/(ISNUMBER(SEARCH("Conocer",$R426))+ISNUMBER(SEARCH("Aplicar",$R426))+ISNUMBER(SEARCH("Razonar",$R426))),0)</f>
        <v>0</v>
      </c>
      <c r="V426" s="8" t="s">
        <v>51</v>
      </c>
      <c r="W426" s="8" t="s">
        <v>67</v>
      </c>
    </row>
    <row r="427" customFormat="false" ht="15" hidden="false" customHeight="false" outlineLevel="0" collapsed="false">
      <c r="A427" s="8" t="s">
        <v>2151</v>
      </c>
      <c r="B427" s="8" t="n">
        <v>7</v>
      </c>
      <c r="C427" s="8" t="s">
        <v>411</v>
      </c>
      <c r="D427" s="8" t="s">
        <v>1864</v>
      </c>
      <c r="E427" s="8" t="s">
        <v>2138</v>
      </c>
      <c r="F427" s="8" t="n">
        <v>6</v>
      </c>
      <c r="G427" s="8" t="s">
        <v>2139</v>
      </c>
      <c r="H427" s="8" t="s">
        <v>2152</v>
      </c>
      <c r="I427" s="27" t="s">
        <v>2153</v>
      </c>
      <c r="J427" s="8" t="s">
        <v>185</v>
      </c>
      <c r="K427" s="8" t="s">
        <v>280</v>
      </c>
      <c r="L427" s="8"/>
      <c r="M427" s="8" t="str">
        <f aca="false">IF(K427="FUERA","Fuera del marco",IF(K427="N/A","Sin marco",IFERROR(INDEX(Catalogo_TIMSS!$C$5:$C$105,MATCH(K427,Catalogo_TIMSS!$A$5:$A$105,0)),"Pendiente de clasificar")))</f>
        <v>Ciencias de la Tierra</v>
      </c>
      <c r="N427" s="8" t="str">
        <f aca="false">IF(K427="FUERA","Fuera del marco",IF(K427="N/A","Sin marco",IFERROR(INDEX(Catalogo_TIMSS!$F$5:$F$105,MATCH(K427,Catalogo_TIMSS!$A$5:$A$105,0)),"Pendiente de clasificar")))</f>
        <v>Recursos de la Tierra, uso y conservación</v>
      </c>
      <c r="O427" s="8" t="str">
        <f aca="false">IF(L427="","",IFERROR(INDEX(Catalogo_TIMSS!$C$5:$C$105,MATCH(L427,Catalogo_TIMSS!$A$5:$A$105,0)),"?"))</f>
        <v/>
      </c>
      <c r="P427" s="8" t="s">
        <v>418</v>
      </c>
      <c r="Q427" s="27" t="s">
        <v>2154</v>
      </c>
      <c r="R427" s="27" t="s">
        <v>680</v>
      </c>
      <c r="S427" s="28" t="n">
        <f aca="false">IFERROR(ISNUMBER(SEARCH("Conocer",$R427))/(ISNUMBER(SEARCH("Conocer",$R427))+ISNUMBER(SEARCH("Aplicar",$R427))+ISNUMBER(SEARCH("Razonar",$R427))),0)</f>
        <v>1</v>
      </c>
      <c r="T427" s="28" t="n">
        <f aca="false">IFERROR(ISNUMBER(SEARCH("Aplicar",$R427))/(ISNUMBER(SEARCH("Conocer",$R427))+ISNUMBER(SEARCH("Aplicar",$R427))+ISNUMBER(SEARCH("Razonar",$R427))),0)</f>
        <v>0</v>
      </c>
      <c r="U427" s="28" t="n">
        <f aca="false">IFERROR(ISNUMBER(SEARCH("Razonar",$R427))/(ISNUMBER(SEARCH("Conocer",$R427))+ISNUMBER(SEARCH("Aplicar",$R427))+ISNUMBER(SEARCH("Razonar",$R427))),0)</f>
        <v>0</v>
      </c>
      <c r="V427" s="8" t="s">
        <v>51</v>
      </c>
      <c r="W427" s="8" t="s">
        <v>67</v>
      </c>
    </row>
    <row r="428" customFormat="false" ht="15" hidden="false" customHeight="false" outlineLevel="0" collapsed="false">
      <c r="A428" s="8" t="s">
        <v>2155</v>
      </c>
      <c r="B428" s="8" t="n">
        <v>7</v>
      </c>
      <c r="C428" s="8" t="s">
        <v>411</v>
      </c>
      <c r="D428" s="8" t="s">
        <v>1864</v>
      </c>
      <c r="E428" s="8" t="s">
        <v>2138</v>
      </c>
      <c r="F428" s="8" t="n">
        <v>7</v>
      </c>
      <c r="G428" s="8" t="s">
        <v>2139</v>
      </c>
      <c r="H428" s="8" t="s">
        <v>2152</v>
      </c>
      <c r="I428" s="27" t="s">
        <v>2156</v>
      </c>
      <c r="J428" s="8" t="s">
        <v>185</v>
      </c>
      <c r="K428" s="8" t="s">
        <v>247</v>
      </c>
      <c r="L428" s="8" t="s">
        <v>280</v>
      </c>
      <c r="M428" s="8" t="str">
        <f aca="false">IF(K428="FUERA","Fuera del marco",IF(K428="N/A","Sin marco",IFERROR(INDEX(Catalogo_TIMSS!$C$5:$C$105,MATCH(K428,Catalogo_TIMSS!$A$5:$A$105,0)),"Pendiente de clasificar")))</f>
        <v>Física</v>
      </c>
      <c r="N428" s="8" t="str">
        <f aca="false">IF(K428="FUERA","Fuera del marco",IF(K428="N/A","Sin marco",IFERROR(INDEX(Catalogo_TIMSS!$F$5:$F$105,MATCH(K428,Catalogo_TIMSS!$A$5:$A$105,0)),"Pendiente de clasificar")))</f>
        <v>Transformación y transferencia de energía</v>
      </c>
      <c r="O428" s="8" t="str">
        <f aca="false">IF(L428="","",IFERROR(INDEX(Catalogo_TIMSS!$C$5:$C$105,MATCH(L428,Catalogo_TIMSS!$A$5:$A$105,0)),"?"))</f>
        <v>Ciencias de la Tierra</v>
      </c>
      <c r="P428" s="8" t="s">
        <v>460</v>
      </c>
      <c r="Q428" s="27" t="s">
        <v>2157</v>
      </c>
      <c r="R428" s="27" t="s">
        <v>2158</v>
      </c>
      <c r="S428" s="28" t="n">
        <f aca="false">IFERROR(ISNUMBER(SEARCH("Conocer",$R428))/(ISNUMBER(SEARCH("Conocer",$R428))+ISNUMBER(SEARCH("Aplicar",$R428))+ISNUMBER(SEARCH("Razonar",$R428))),0)</f>
        <v>0</v>
      </c>
      <c r="T428" s="28" t="n">
        <f aca="false">IFERROR(ISNUMBER(SEARCH("Aplicar",$R428))/(ISNUMBER(SEARCH("Conocer",$R428))+ISNUMBER(SEARCH("Aplicar",$R428))+ISNUMBER(SEARCH("Razonar",$R428))),0)</f>
        <v>0</v>
      </c>
      <c r="U428" s="28" t="n">
        <f aca="false">IFERROR(ISNUMBER(SEARCH("Razonar",$R428))/(ISNUMBER(SEARCH("Conocer",$R428))+ISNUMBER(SEARCH("Aplicar",$R428))+ISNUMBER(SEARCH("Razonar",$R428))),0)</f>
        <v>1</v>
      </c>
      <c r="V428" s="8" t="s">
        <v>51</v>
      </c>
      <c r="W428" s="8" t="s">
        <v>67</v>
      </c>
    </row>
    <row r="429" customFormat="false" ht="15" hidden="false" customHeight="false" outlineLevel="0" collapsed="false">
      <c r="A429" s="8" t="s">
        <v>2159</v>
      </c>
      <c r="B429" s="8" t="n">
        <v>7</v>
      </c>
      <c r="C429" s="8" t="s">
        <v>411</v>
      </c>
      <c r="D429" s="8" t="s">
        <v>1864</v>
      </c>
      <c r="E429" s="8" t="s">
        <v>2138</v>
      </c>
      <c r="F429" s="8" t="n">
        <v>8</v>
      </c>
      <c r="G429" s="8" t="s">
        <v>2139</v>
      </c>
      <c r="H429" s="8" t="s">
        <v>2152</v>
      </c>
      <c r="I429" s="27" t="s">
        <v>2160</v>
      </c>
      <c r="J429" s="8" t="s">
        <v>185</v>
      </c>
      <c r="K429" s="8" t="s">
        <v>247</v>
      </c>
      <c r="L429" s="8" t="s">
        <v>280</v>
      </c>
      <c r="M429" s="8" t="str">
        <f aca="false">IF(K429="FUERA","Fuera del marco",IF(K429="N/A","Sin marco",IFERROR(INDEX(Catalogo_TIMSS!$C$5:$C$105,MATCH(K429,Catalogo_TIMSS!$A$5:$A$105,0)),"Pendiente de clasificar")))</f>
        <v>Física</v>
      </c>
      <c r="N429" s="8" t="str">
        <f aca="false">IF(K429="FUERA","Fuera del marco",IF(K429="N/A","Sin marco",IFERROR(INDEX(Catalogo_TIMSS!$F$5:$F$105,MATCH(K429,Catalogo_TIMSS!$A$5:$A$105,0)),"Pendiente de clasificar")))</f>
        <v>Transformación y transferencia de energía</v>
      </c>
      <c r="O429" s="8" t="str">
        <f aca="false">IF(L429="","",IFERROR(INDEX(Catalogo_TIMSS!$C$5:$C$105,MATCH(L429,Catalogo_TIMSS!$A$5:$A$105,0)),"?"))</f>
        <v>Ciencias de la Tierra</v>
      </c>
      <c r="P429" s="8" t="s">
        <v>418</v>
      </c>
      <c r="Q429" s="27" t="s">
        <v>2161</v>
      </c>
      <c r="R429" s="27" t="s">
        <v>2162</v>
      </c>
      <c r="S429" s="28" t="n">
        <f aca="false">IFERROR(ISNUMBER(SEARCH("Conocer",$R429))/(ISNUMBER(SEARCH("Conocer",$R429))+ISNUMBER(SEARCH("Aplicar",$R429))+ISNUMBER(SEARCH("Razonar",$R429))),0)</f>
        <v>0</v>
      </c>
      <c r="T429" s="28" t="n">
        <f aca="false">IFERROR(ISNUMBER(SEARCH("Aplicar",$R429))/(ISNUMBER(SEARCH("Conocer",$R429))+ISNUMBER(SEARCH("Aplicar",$R429))+ISNUMBER(SEARCH("Razonar",$R429))),0)</f>
        <v>1</v>
      </c>
      <c r="U429" s="28" t="n">
        <f aca="false">IFERROR(ISNUMBER(SEARCH("Razonar",$R429))/(ISNUMBER(SEARCH("Conocer",$R429))+ISNUMBER(SEARCH("Aplicar",$R429))+ISNUMBER(SEARCH("Razonar",$R429))),0)</f>
        <v>0</v>
      </c>
      <c r="V429" s="8" t="s">
        <v>51</v>
      </c>
      <c r="W429" s="8" t="s">
        <v>67</v>
      </c>
    </row>
    <row r="430" customFormat="false" ht="15" hidden="false" customHeight="false" outlineLevel="0" collapsed="false">
      <c r="A430" s="8" t="s">
        <v>2163</v>
      </c>
      <c r="B430" s="8" t="n">
        <v>7</v>
      </c>
      <c r="C430" s="8" t="s">
        <v>411</v>
      </c>
      <c r="D430" s="8" t="s">
        <v>1864</v>
      </c>
      <c r="E430" s="8" t="s">
        <v>2138</v>
      </c>
      <c r="F430" s="8" t="n">
        <v>9</v>
      </c>
      <c r="G430" s="8" t="s">
        <v>2139</v>
      </c>
      <c r="H430" s="8" t="s">
        <v>2164</v>
      </c>
      <c r="I430" s="27" t="s">
        <v>2165</v>
      </c>
      <c r="J430" s="8" t="s">
        <v>185</v>
      </c>
      <c r="K430" s="8" t="s">
        <v>280</v>
      </c>
      <c r="L430" s="8" t="s">
        <v>247</v>
      </c>
      <c r="M430" s="8" t="str">
        <f aca="false">IF(K430="FUERA","Fuera del marco",IF(K430="N/A","Sin marco",IFERROR(INDEX(Catalogo_TIMSS!$C$5:$C$105,MATCH(K430,Catalogo_TIMSS!$A$5:$A$105,0)),"Pendiente de clasificar")))</f>
        <v>Ciencias de la Tierra</v>
      </c>
      <c r="N430" s="8" t="str">
        <f aca="false">IF(K430="FUERA","Fuera del marco",IF(K430="N/A","Sin marco",IFERROR(INDEX(Catalogo_TIMSS!$F$5:$F$105,MATCH(K430,Catalogo_TIMSS!$A$5:$A$105,0)),"Pendiente de clasificar")))</f>
        <v>Recursos de la Tierra, uso y conservación</v>
      </c>
      <c r="O430" s="8" t="str">
        <f aca="false">IF(L430="","",IFERROR(INDEX(Catalogo_TIMSS!$C$5:$C$105,MATCH(L430,Catalogo_TIMSS!$A$5:$A$105,0)),"?"))</f>
        <v>Física</v>
      </c>
      <c r="P430" s="8" t="s">
        <v>418</v>
      </c>
      <c r="Q430" s="27" t="s">
        <v>2166</v>
      </c>
      <c r="R430" s="27" t="s">
        <v>680</v>
      </c>
      <c r="S430" s="28" t="n">
        <f aca="false">IFERROR(ISNUMBER(SEARCH("Conocer",$R430))/(ISNUMBER(SEARCH("Conocer",$R430))+ISNUMBER(SEARCH("Aplicar",$R430))+ISNUMBER(SEARCH("Razonar",$R430))),0)</f>
        <v>1</v>
      </c>
      <c r="T430" s="28" t="n">
        <f aca="false">IFERROR(ISNUMBER(SEARCH("Aplicar",$R430))/(ISNUMBER(SEARCH("Conocer",$R430))+ISNUMBER(SEARCH("Aplicar",$R430))+ISNUMBER(SEARCH("Razonar",$R430))),0)</f>
        <v>0</v>
      </c>
      <c r="U430" s="28" t="n">
        <f aca="false">IFERROR(ISNUMBER(SEARCH("Razonar",$R430))/(ISNUMBER(SEARCH("Conocer",$R430))+ISNUMBER(SEARCH("Aplicar",$R430))+ISNUMBER(SEARCH("Razonar",$R430))),0)</f>
        <v>0</v>
      </c>
      <c r="V430" s="8" t="s">
        <v>51</v>
      </c>
      <c r="W430" s="8" t="s">
        <v>67</v>
      </c>
    </row>
    <row r="431" customFormat="false" ht="15" hidden="false" customHeight="false" outlineLevel="0" collapsed="false">
      <c r="A431" s="8" t="s">
        <v>2167</v>
      </c>
      <c r="B431" s="8" t="n">
        <v>7</v>
      </c>
      <c r="C431" s="8" t="s">
        <v>411</v>
      </c>
      <c r="D431" s="8" t="s">
        <v>1864</v>
      </c>
      <c r="E431" s="8" t="s">
        <v>2138</v>
      </c>
      <c r="F431" s="8" t="n">
        <v>10</v>
      </c>
      <c r="G431" s="8" t="s">
        <v>2139</v>
      </c>
      <c r="H431" s="8" t="s">
        <v>2168</v>
      </c>
      <c r="I431" s="27" t="s">
        <v>2169</v>
      </c>
      <c r="J431" s="8" t="s">
        <v>185</v>
      </c>
      <c r="K431" s="8" t="s">
        <v>247</v>
      </c>
      <c r="L431" s="8" t="s">
        <v>280</v>
      </c>
      <c r="M431" s="8" t="str">
        <f aca="false">IF(K431="FUERA","Fuera del marco",IF(K431="N/A","Sin marco",IFERROR(INDEX(Catalogo_TIMSS!$C$5:$C$105,MATCH(K431,Catalogo_TIMSS!$A$5:$A$105,0)),"Pendiente de clasificar")))</f>
        <v>Física</v>
      </c>
      <c r="N431" s="8" t="str">
        <f aca="false">IF(K431="FUERA","Fuera del marco",IF(K431="N/A","Sin marco",IFERROR(INDEX(Catalogo_TIMSS!$F$5:$F$105,MATCH(K431,Catalogo_TIMSS!$A$5:$A$105,0)),"Pendiente de clasificar")))</f>
        <v>Transformación y transferencia de energía</v>
      </c>
      <c r="O431" s="8" t="str">
        <f aca="false">IF(L431="","",IFERROR(INDEX(Catalogo_TIMSS!$C$5:$C$105,MATCH(L431,Catalogo_TIMSS!$A$5:$A$105,0)),"?"))</f>
        <v>Ciencias de la Tierra</v>
      </c>
      <c r="P431" s="8" t="s">
        <v>460</v>
      </c>
      <c r="Q431" s="27" t="s">
        <v>2170</v>
      </c>
      <c r="R431" s="27" t="s">
        <v>2126</v>
      </c>
      <c r="S431" s="28" t="n">
        <f aca="false">IFERROR(ISNUMBER(SEARCH("Conocer",$R431))/(ISNUMBER(SEARCH("Conocer",$R431))+ISNUMBER(SEARCH("Aplicar",$R431))+ISNUMBER(SEARCH("Razonar",$R431))),0)</f>
        <v>0</v>
      </c>
      <c r="T431" s="28" t="n">
        <f aca="false">IFERROR(ISNUMBER(SEARCH("Aplicar",$R431))/(ISNUMBER(SEARCH("Conocer",$R431))+ISNUMBER(SEARCH("Aplicar",$R431))+ISNUMBER(SEARCH("Razonar",$R431))),0)</f>
        <v>0.5</v>
      </c>
      <c r="U431" s="28" t="n">
        <f aca="false">IFERROR(ISNUMBER(SEARCH("Razonar",$R431))/(ISNUMBER(SEARCH("Conocer",$R431))+ISNUMBER(SEARCH("Aplicar",$R431))+ISNUMBER(SEARCH("Razonar",$R431))),0)</f>
        <v>0.5</v>
      </c>
      <c r="V431" s="8" t="s">
        <v>51</v>
      </c>
      <c r="W431" s="8" t="s">
        <v>67</v>
      </c>
    </row>
    <row r="432" customFormat="false" ht="15" hidden="false" customHeight="false" outlineLevel="0" collapsed="false">
      <c r="A432" s="8" t="s">
        <v>2171</v>
      </c>
      <c r="B432" s="8" t="n">
        <v>7</v>
      </c>
      <c r="C432" s="8" t="s">
        <v>411</v>
      </c>
      <c r="D432" s="8" t="s">
        <v>1864</v>
      </c>
      <c r="E432" s="8" t="s">
        <v>2138</v>
      </c>
      <c r="F432" s="8" t="n">
        <v>11</v>
      </c>
      <c r="G432" s="8" t="s">
        <v>2139</v>
      </c>
      <c r="H432" s="8" t="s">
        <v>2168</v>
      </c>
      <c r="I432" s="27" t="s">
        <v>2172</v>
      </c>
      <c r="J432" s="8" t="s">
        <v>185</v>
      </c>
      <c r="K432" s="8" t="s">
        <v>280</v>
      </c>
      <c r="L432" s="8"/>
      <c r="M432" s="8" t="str">
        <f aca="false">IF(K432="FUERA","Fuera del marco",IF(K432="N/A","Sin marco",IFERROR(INDEX(Catalogo_TIMSS!$C$5:$C$105,MATCH(K432,Catalogo_TIMSS!$A$5:$A$105,0)),"Pendiente de clasificar")))</f>
        <v>Ciencias de la Tierra</v>
      </c>
      <c r="N432" s="8" t="str">
        <f aca="false">IF(K432="FUERA","Fuera del marco",IF(K432="N/A","Sin marco",IFERROR(INDEX(Catalogo_TIMSS!$F$5:$F$105,MATCH(K432,Catalogo_TIMSS!$A$5:$A$105,0)),"Pendiente de clasificar")))</f>
        <v>Recursos de la Tierra, uso y conservación</v>
      </c>
      <c r="O432" s="8" t="str">
        <f aca="false">IF(L432="","",IFERROR(INDEX(Catalogo_TIMSS!$C$5:$C$105,MATCH(L432,Catalogo_TIMSS!$A$5:$A$105,0)),"?"))</f>
        <v/>
      </c>
      <c r="P432" s="8" t="s">
        <v>418</v>
      </c>
      <c r="Q432" s="27" t="s">
        <v>2173</v>
      </c>
      <c r="R432" s="27" t="s">
        <v>2146</v>
      </c>
      <c r="S432" s="28" t="n">
        <f aca="false">IFERROR(ISNUMBER(SEARCH("Conocer",$R432))/(ISNUMBER(SEARCH("Conocer",$R432))+ISNUMBER(SEARCH("Aplicar",$R432))+ISNUMBER(SEARCH("Razonar",$R432))),0)</f>
        <v>0</v>
      </c>
      <c r="T432" s="28" t="n">
        <f aca="false">IFERROR(ISNUMBER(SEARCH("Aplicar",$R432))/(ISNUMBER(SEARCH("Conocer",$R432))+ISNUMBER(SEARCH("Aplicar",$R432))+ISNUMBER(SEARCH("Razonar",$R432))),0)</f>
        <v>0</v>
      </c>
      <c r="U432" s="28" t="n">
        <f aca="false">IFERROR(ISNUMBER(SEARCH("Razonar",$R432))/(ISNUMBER(SEARCH("Conocer",$R432))+ISNUMBER(SEARCH("Aplicar",$R432))+ISNUMBER(SEARCH("Razonar",$R432))),0)</f>
        <v>1</v>
      </c>
      <c r="V432" s="8" t="s">
        <v>51</v>
      </c>
      <c r="W432" s="8" t="s">
        <v>67</v>
      </c>
    </row>
    <row r="433" customFormat="false" ht="15" hidden="false" customHeight="false" outlineLevel="0" collapsed="false">
      <c r="A433" s="8" t="s">
        <v>2174</v>
      </c>
      <c r="B433" s="8" t="n">
        <v>7</v>
      </c>
      <c r="C433" s="8" t="s">
        <v>411</v>
      </c>
      <c r="D433" s="8" t="s">
        <v>1864</v>
      </c>
      <c r="E433" s="8" t="s">
        <v>2138</v>
      </c>
      <c r="F433" s="8" t="n">
        <v>12</v>
      </c>
      <c r="G433" s="8" t="s">
        <v>2139</v>
      </c>
      <c r="H433" s="8" t="s">
        <v>2175</v>
      </c>
      <c r="I433" s="27" t="s">
        <v>2176</v>
      </c>
      <c r="J433" s="8" t="s">
        <v>185</v>
      </c>
      <c r="K433" s="8" t="s">
        <v>213</v>
      </c>
      <c r="L433" s="8" t="s">
        <v>280</v>
      </c>
      <c r="M433" s="8" t="str">
        <f aca="false">IF(K433="FUERA","Fuera del marco",IF(K433="N/A","Sin marco",IFERROR(INDEX(Catalogo_TIMSS!$C$5:$C$105,MATCH(K433,Catalogo_TIMSS!$A$5:$A$105,0)),"Pendiente de clasificar")))</f>
        <v>Biología</v>
      </c>
      <c r="N433" s="8" t="str">
        <f aca="false">IF(K433="FUERA","Fuera del marco",IF(K433="N/A","Sin marco",IFERROR(INDEX(Catalogo_TIMSS!$F$5:$F$105,MATCH(K433,Catalogo_TIMSS!$A$5:$A$105,0)),"Pendiente de clasificar")))</f>
        <v>Ecosistemas</v>
      </c>
      <c r="O433" s="8" t="str">
        <f aca="false">IF(L433="","",IFERROR(INDEX(Catalogo_TIMSS!$C$5:$C$105,MATCH(L433,Catalogo_TIMSS!$A$5:$A$105,0)),"?"))</f>
        <v>Ciencias de la Tierra</v>
      </c>
      <c r="P433" s="8" t="s">
        <v>418</v>
      </c>
      <c r="Q433" s="27" t="s">
        <v>2177</v>
      </c>
      <c r="R433" s="27" t="s">
        <v>2178</v>
      </c>
      <c r="S433" s="28" t="n">
        <f aca="false">IFERROR(ISNUMBER(SEARCH("Conocer",$R433))/(ISNUMBER(SEARCH("Conocer",$R433))+ISNUMBER(SEARCH("Aplicar",$R433))+ISNUMBER(SEARCH("Razonar",$R433))),0)</f>
        <v>0</v>
      </c>
      <c r="T433" s="28" t="n">
        <f aca="false">IFERROR(ISNUMBER(SEARCH("Aplicar",$R433))/(ISNUMBER(SEARCH("Conocer",$R433))+ISNUMBER(SEARCH("Aplicar",$R433))+ISNUMBER(SEARCH("Razonar",$R433))),0)</f>
        <v>0</v>
      </c>
      <c r="U433" s="28" t="n">
        <f aca="false">IFERROR(ISNUMBER(SEARCH("Razonar",$R433))/(ISNUMBER(SEARCH("Conocer",$R433))+ISNUMBER(SEARCH("Aplicar",$R433))+ISNUMBER(SEARCH("Razonar",$R433))),0)</f>
        <v>1</v>
      </c>
      <c r="V433" s="8" t="s">
        <v>51</v>
      </c>
      <c r="W433" s="8" t="s">
        <v>67</v>
      </c>
    </row>
    <row r="434" customFormat="false" ht="15" hidden="false" customHeight="false" outlineLevel="0" collapsed="false">
      <c r="A434" s="8" t="s">
        <v>2179</v>
      </c>
      <c r="B434" s="8" t="n">
        <v>7</v>
      </c>
      <c r="C434" s="8" t="s">
        <v>411</v>
      </c>
      <c r="D434" s="8" t="s">
        <v>1864</v>
      </c>
      <c r="E434" s="8" t="s">
        <v>2138</v>
      </c>
      <c r="F434" s="8" t="n">
        <v>13</v>
      </c>
      <c r="G434" s="8" t="s">
        <v>2139</v>
      </c>
      <c r="H434" s="8" t="s">
        <v>2175</v>
      </c>
      <c r="I434" s="27" t="s">
        <v>2180</v>
      </c>
      <c r="J434" s="8" t="s">
        <v>185</v>
      </c>
      <c r="K434" s="8" t="s">
        <v>213</v>
      </c>
      <c r="L434" s="8"/>
      <c r="M434" s="8" t="str">
        <f aca="false">IF(K434="FUERA","Fuera del marco",IF(K434="N/A","Sin marco",IFERROR(INDEX(Catalogo_TIMSS!$C$5:$C$105,MATCH(K434,Catalogo_TIMSS!$A$5:$A$105,0)),"Pendiente de clasificar")))</f>
        <v>Biología</v>
      </c>
      <c r="N434" s="8" t="str">
        <f aca="false">IF(K434="FUERA","Fuera del marco",IF(K434="N/A","Sin marco",IFERROR(INDEX(Catalogo_TIMSS!$F$5:$F$105,MATCH(K434,Catalogo_TIMSS!$A$5:$A$105,0)),"Pendiente de clasificar")))</f>
        <v>Ecosistemas</v>
      </c>
      <c r="O434" s="8" t="str">
        <f aca="false">IF(L434="","",IFERROR(INDEX(Catalogo_TIMSS!$C$5:$C$105,MATCH(L434,Catalogo_TIMSS!$A$5:$A$105,0)),"?"))</f>
        <v/>
      </c>
      <c r="P434" s="8" t="s">
        <v>418</v>
      </c>
      <c r="Q434" s="27" t="s">
        <v>2181</v>
      </c>
      <c r="R434" s="27" t="s">
        <v>1718</v>
      </c>
      <c r="S434" s="28" t="n">
        <f aca="false">IFERROR(ISNUMBER(SEARCH("Conocer",$R434))/(ISNUMBER(SEARCH("Conocer",$R434))+ISNUMBER(SEARCH("Aplicar",$R434))+ISNUMBER(SEARCH("Razonar",$R434))),0)</f>
        <v>1</v>
      </c>
      <c r="T434" s="28" t="n">
        <f aca="false">IFERROR(ISNUMBER(SEARCH("Aplicar",$R434))/(ISNUMBER(SEARCH("Conocer",$R434))+ISNUMBER(SEARCH("Aplicar",$R434))+ISNUMBER(SEARCH("Razonar",$R434))),0)</f>
        <v>0</v>
      </c>
      <c r="U434" s="28" t="n">
        <f aca="false">IFERROR(ISNUMBER(SEARCH("Razonar",$R434))/(ISNUMBER(SEARCH("Conocer",$R434))+ISNUMBER(SEARCH("Aplicar",$R434))+ISNUMBER(SEARCH("Razonar",$R434))),0)</f>
        <v>0</v>
      </c>
      <c r="V434" s="8" t="s">
        <v>51</v>
      </c>
      <c r="W434" s="8" t="s">
        <v>67</v>
      </c>
    </row>
    <row r="435" customFormat="false" ht="15" hidden="false" customHeight="false" outlineLevel="0" collapsed="false">
      <c r="A435" s="8" t="s">
        <v>2182</v>
      </c>
      <c r="B435" s="8" t="n">
        <v>7</v>
      </c>
      <c r="C435" s="8" t="s">
        <v>411</v>
      </c>
      <c r="D435" s="8" t="s">
        <v>1864</v>
      </c>
      <c r="E435" s="8" t="s">
        <v>2138</v>
      </c>
      <c r="F435" s="8" t="n">
        <v>14</v>
      </c>
      <c r="G435" s="8" t="s">
        <v>2139</v>
      </c>
      <c r="H435" s="8" t="s">
        <v>2175</v>
      </c>
      <c r="I435" s="27" t="s">
        <v>2183</v>
      </c>
      <c r="J435" s="8" t="s">
        <v>185</v>
      </c>
      <c r="K435" s="8" t="s">
        <v>213</v>
      </c>
      <c r="L435" s="8"/>
      <c r="M435" s="8" t="str">
        <f aca="false">IF(K435="FUERA","Fuera del marco",IF(K435="N/A","Sin marco",IFERROR(INDEX(Catalogo_TIMSS!$C$5:$C$105,MATCH(K435,Catalogo_TIMSS!$A$5:$A$105,0)),"Pendiente de clasificar")))</f>
        <v>Biología</v>
      </c>
      <c r="N435" s="8" t="str">
        <f aca="false">IF(K435="FUERA","Fuera del marco",IF(K435="N/A","Sin marco",IFERROR(INDEX(Catalogo_TIMSS!$F$5:$F$105,MATCH(K435,Catalogo_TIMSS!$A$5:$A$105,0)),"Pendiente de clasificar")))</f>
        <v>Ecosistemas</v>
      </c>
      <c r="O435" s="8" t="str">
        <f aca="false">IF(L435="","",IFERROR(INDEX(Catalogo_TIMSS!$C$5:$C$105,MATCH(L435,Catalogo_TIMSS!$A$5:$A$105,0)),"?"))</f>
        <v/>
      </c>
      <c r="P435" s="8" t="s">
        <v>460</v>
      </c>
      <c r="Q435" s="27" t="s">
        <v>2184</v>
      </c>
      <c r="R435" s="27" t="s">
        <v>2185</v>
      </c>
      <c r="S435" s="28" t="n">
        <f aca="false">IFERROR(ISNUMBER(SEARCH("Conocer",$R435))/(ISNUMBER(SEARCH("Conocer",$R435))+ISNUMBER(SEARCH("Aplicar",$R435))+ISNUMBER(SEARCH("Razonar",$R435))),0)</f>
        <v>0</v>
      </c>
      <c r="T435" s="28" t="n">
        <f aca="false">IFERROR(ISNUMBER(SEARCH("Aplicar",$R435))/(ISNUMBER(SEARCH("Conocer",$R435))+ISNUMBER(SEARCH("Aplicar",$R435))+ISNUMBER(SEARCH("Razonar",$R435))),0)</f>
        <v>1</v>
      </c>
      <c r="U435" s="28" t="n">
        <f aca="false">IFERROR(ISNUMBER(SEARCH("Razonar",$R435))/(ISNUMBER(SEARCH("Conocer",$R435))+ISNUMBER(SEARCH("Aplicar",$R435))+ISNUMBER(SEARCH("Razonar",$R435))),0)</f>
        <v>0</v>
      </c>
      <c r="V435" s="8" t="s">
        <v>51</v>
      </c>
      <c r="W435" s="8" t="s">
        <v>67</v>
      </c>
    </row>
    <row r="436" customFormat="false" ht="15" hidden="false" customHeight="false" outlineLevel="0" collapsed="false">
      <c r="A436" s="8" t="s">
        <v>2186</v>
      </c>
      <c r="B436" s="8" t="n">
        <v>7</v>
      </c>
      <c r="C436" s="8" t="s">
        <v>411</v>
      </c>
      <c r="D436" s="8" t="s">
        <v>1864</v>
      </c>
      <c r="E436" s="8" t="s">
        <v>2138</v>
      </c>
      <c r="F436" s="8" t="n">
        <v>15</v>
      </c>
      <c r="G436" s="8" t="s">
        <v>2139</v>
      </c>
      <c r="H436" s="8" t="s">
        <v>2187</v>
      </c>
      <c r="I436" s="27" t="s">
        <v>2188</v>
      </c>
      <c r="J436" s="8" t="s">
        <v>185</v>
      </c>
      <c r="K436" s="8" t="s">
        <v>278</v>
      </c>
      <c r="L436" s="8" t="s">
        <v>213</v>
      </c>
      <c r="M436" s="8" t="str">
        <f aca="false">IF(K436="FUERA","Fuera del marco",IF(K436="N/A","Sin marco",IFERROR(INDEX(Catalogo_TIMSS!$C$5:$C$105,MATCH(K436,Catalogo_TIMSS!$A$5:$A$105,0)),"Pendiente de clasificar")))</f>
        <v>Ciencias de la Tierra</v>
      </c>
      <c r="N436" s="8" t="str">
        <f aca="false">IF(K436="FUERA","Fuera del marco",IF(K436="N/A","Sin marco",IFERROR(INDEX(Catalogo_TIMSS!$F$5:$F$105,MATCH(K436,Catalogo_TIMSS!$A$5:$A$105,0)),"Pendiente de clasificar")))</f>
        <v>Procesos, ciclos e historia de la Tierra</v>
      </c>
      <c r="O436" s="8" t="str">
        <f aca="false">IF(L436="","",IFERROR(INDEX(Catalogo_TIMSS!$C$5:$C$105,MATCH(L436,Catalogo_TIMSS!$A$5:$A$105,0)),"?"))</f>
        <v>Biología</v>
      </c>
      <c r="P436" s="8" t="s">
        <v>460</v>
      </c>
      <c r="Q436" s="27" t="s">
        <v>2189</v>
      </c>
      <c r="R436" s="27" t="s">
        <v>2190</v>
      </c>
      <c r="S436" s="28" t="n">
        <f aca="false">IFERROR(ISNUMBER(SEARCH("Conocer",$R436))/(ISNUMBER(SEARCH("Conocer",$R436))+ISNUMBER(SEARCH("Aplicar",$R436))+ISNUMBER(SEARCH("Razonar",$R436))),0)</f>
        <v>0</v>
      </c>
      <c r="T436" s="28" t="n">
        <f aca="false">IFERROR(ISNUMBER(SEARCH("Aplicar",$R436))/(ISNUMBER(SEARCH("Conocer",$R436))+ISNUMBER(SEARCH("Aplicar",$R436))+ISNUMBER(SEARCH("Razonar",$R436))),0)</f>
        <v>0.5</v>
      </c>
      <c r="U436" s="28" t="n">
        <f aca="false">IFERROR(ISNUMBER(SEARCH("Razonar",$R436))/(ISNUMBER(SEARCH("Conocer",$R436))+ISNUMBER(SEARCH("Aplicar",$R436))+ISNUMBER(SEARCH("Razonar",$R436))),0)</f>
        <v>0.5</v>
      </c>
      <c r="V436" s="8" t="s">
        <v>51</v>
      </c>
      <c r="W436" s="8" t="s">
        <v>67</v>
      </c>
    </row>
    <row r="437" customFormat="false" ht="15" hidden="false" customHeight="false" outlineLevel="0" collapsed="false">
      <c r="A437" s="8" t="s">
        <v>2191</v>
      </c>
      <c r="B437" s="8" t="n">
        <v>7</v>
      </c>
      <c r="C437" s="8" t="s">
        <v>411</v>
      </c>
      <c r="D437" s="8" t="s">
        <v>1864</v>
      </c>
      <c r="E437" s="8" t="s">
        <v>2138</v>
      </c>
      <c r="F437" s="8" t="n">
        <v>16</v>
      </c>
      <c r="G437" s="8" t="s">
        <v>2139</v>
      </c>
      <c r="H437" s="8" t="s">
        <v>2187</v>
      </c>
      <c r="I437" s="27" t="s">
        <v>2192</v>
      </c>
      <c r="J437" s="8" t="s">
        <v>185</v>
      </c>
      <c r="K437" s="8" t="s">
        <v>213</v>
      </c>
      <c r="L437" s="8" t="s">
        <v>278</v>
      </c>
      <c r="M437" s="8" t="str">
        <f aca="false">IF(K437="FUERA","Fuera del marco",IF(K437="N/A","Sin marco",IFERROR(INDEX(Catalogo_TIMSS!$C$5:$C$105,MATCH(K437,Catalogo_TIMSS!$A$5:$A$105,0)),"Pendiente de clasificar")))</f>
        <v>Biología</v>
      </c>
      <c r="N437" s="8" t="str">
        <f aca="false">IF(K437="FUERA","Fuera del marco",IF(K437="N/A","Sin marco",IFERROR(INDEX(Catalogo_TIMSS!$F$5:$F$105,MATCH(K437,Catalogo_TIMSS!$A$5:$A$105,0)),"Pendiente de clasificar")))</f>
        <v>Ecosistemas</v>
      </c>
      <c r="O437" s="8" t="str">
        <f aca="false">IF(L437="","",IFERROR(INDEX(Catalogo_TIMSS!$C$5:$C$105,MATCH(L437,Catalogo_TIMSS!$A$5:$A$105,0)),"?"))</f>
        <v>Ciencias de la Tierra</v>
      </c>
      <c r="P437" s="8" t="s">
        <v>460</v>
      </c>
      <c r="Q437" s="27" t="s">
        <v>2193</v>
      </c>
      <c r="R437" s="27" t="s">
        <v>2158</v>
      </c>
      <c r="S437" s="28" t="n">
        <f aca="false">IFERROR(ISNUMBER(SEARCH("Conocer",$R437))/(ISNUMBER(SEARCH("Conocer",$R437))+ISNUMBER(SEARCH("Aplicar",$R437))+ISNUMBER(SEARCH("Razonar",$R437))),0)</f>
        <v>0</v>
      </c>
      <c r="T437" s="28" t="n">
        <f aca="false">IFERROR(ISNUMBER(SEARCH("Aplicar",$R437))/(ISNUMBER(SEARCH("Conocer",$R437))+ISNUMBER(SEARCH("Aplicar",$R437))+ISNUMBER(SEARCH("Razonar",$R437))),0)</f>
        <v>0</v>
      </c>
      <c r="U437" s="28" t="n">
        <f aca="false">IFERROR(ISNUMBER(SEARCH("Razonar",$R437))/(ISNUMBER(SEARCH("Conocer",$R437))+ISNUMBER(SEARCH("Aplicar",$R437))+ISNUMBER(SEARCH("Razonar",$R437))),0)</f>
        <v>1</v>
      </c>
      <c r="V437" s="8" t="s">
        <v>51</v>
      </c>
      <c r="W437" s="8" t="s">
        <v>67</v>
      </c>
    </row>
    <row r="438" customFormat="false" ht="15" hidden="false" customHeight="false" outlineLevel="0" collapsed="false">
      <c r="A438" s="8" t="s">
        <v>2194</v>
      </c>
      <c r="B438" s="8" t="n">
        <v>7</v>
      </c>
      <c r="C438" s="8" t="s">
        <v>411</v>
      </c>
      <c r="D438" s="8" t="s">
        <v>1864</v>
      </c>
      <c r="E438" s="8" t="s">
        <v>2138</v>
      </c>
      <c r="F438" s="8" t="n">
        <v>17</v>
      </c>
      <c r="G438" s="8" t="s">
        <v>2139</v>
      </c>
      <c r="H438" s="8" t="s">
        <v>2187</v>
      </c>
      <c r="I438" s="27" t="s">
        <v>2195</v>
      </c>
      <c r="J438" s="8" t="s">
        <v>185</v>
      </c>
      <c r="K438" s="8" t="s">
        <v>278</v>
      </c>
      <c r="L438" s="8" t="s">
        <v>213</v>
      </c>
      <c r="M438" s="8" t="str">
        <f aca="false">IF(K438="FUERA","Fuera del marco",IF(K438="N/A","Sin marco",IFERROR(INDEX(Catalogo_TIMSS!$C$5:$C$105,MATCH(K438,Catalogo_TIMSS!$A$5:$A$105,0)),"Pendiente de clasificar")))</f>
        <v>Ciencias de la Tierra</v>
      </c>
      <c r="N438" s="8" t="str">
        <f aca="false">IF(K438="FUERA","Fuera del marco",IF(K438="N/A","Sin marco",IFERROR(INDEX(Catalogo_TIMSS!$F$5:$F$105,MATCH(K438,Catalogo_TIMSS!$A$5:$A$105,0)),"Pendiente de clasificar")))</f>
        <v>Procesos, ciclos e historia de la Tierra</v>
      </c>
      <c r="O438" s="8" t="str">
        <f aca="false">IF(L438="","",IFERROR(INDEX(Catalogo_TIMSS!$C$5:$C$105,MATCH(L438,Catalogo_TIMSS!$A$5:$A$105,0)),"?"))</f>
        <v>Biología</v>
      </c>
      <c r="P438" s="8" t="s">
        <v>460</v>
      </c>
      <c r="Q438" s="27" t="s">
        <v>2196</v>
      </c>
      <c r="R438" s="27" t="s">
        <v>1940</v>
      </c>
      <c r="S438" s="28" t="n">
        <f aca="false">IFERROR(ISNUMBER(SEARCH("Conocer",$R438))/(ISNUMBER(SEARCH("Conocer",$R438))+ISNUMBER(SEARCH("Aplicar",$R438))+ISNUMBER(SEARCH("Razonar",$R438))),0)</f>
        <v>0</v>
      </c>
      <c r="T438" s="28" t="n">
        <f aca="false">IFERROR(ISNUMBER(SEARCH("Aplicar",$R438))/(ISNUMBER(SEARCH("Conocer",$R438))+ISNUMBER(SEARCH("Aplicar",$R438))+ISNUMBER(SEARCH("Razonar",$R438))),0)</f>
        <v>0</v>
      </c>
      <c r="U438" s="28" t="n">
        <f aca="false">IFERROR(ISNUMBER(SEARCH("Razonar",$R438))/(ISNUMBER(SEARCH("Conocer",$R438))+ISNUMBER(SEARCH("Aplicar",$R438))+ISNUMBER(SEARCH("Razonar",$R438))),0)</f>
        <v>1</v>
      </c>
      <c r="V438" s="8" t="s">
        <v>51</v>
      </c>
      <c r="W438" s="8" t="s">
        <v>67</v>
      </c>
    </row>
    <row r="439" customFormat="false" ht="15" hidden="false" customHeight="false" outlineLevel="0" collapsed="false">
      <c r="A439" s="8" t="s">
        <v>2197</v>
      </c>
      <c r="B439" s="8" t="n">
        <v>7</v>
      </c>
      <c r="C439" s="8" t="s">
        <v>411</v>
      </c>
      <c r="D439" s="8" t="s">
        <v>1864</v>
      </c>
      <c r="E439" s="8" t="s">
        <v>2138</v>
      </c>
      <c r="F439" s="8" t="n">
        <v>18</v>
      </c>
      <c r="G439" s="8" t="s">
        <v>2139</v>
      </c>
      <c r="H439" s="8" t="s">
        <v>2198</v>
      </c>
      <c r="I439" s="27" t="s">
        <v>2199</v>
      </c>
      <c r="J439" s="8" t="s">
        <v>185</v>
      </c>
      <c r="K439" s="8" t="s">
        <v>283</v>
      </c>
      <c r="L439" s="8"/>
      <c r="M439" s="8" t="str">
        <f aca="false">IF(K439="FUERA","Fuera del marco",IF(K439="N/A","Sin marco",IFERROR(INDEX(Catalogo_TIMSS!$C$5:$C$105,MATCH(K439,Catalogo_TIMSS!$A$5:$A$105,0)),"Pendiente de clasificar")))</f>
        <v>Ciencias de la Tierra</v>
      </c>
      <c r="N439" s="8" t="str">
        <f aca="false">IF(K439="FUERA","Fuera del marco",IF(K439="N/A","Sin marco",IFERROR(INDEX(Catalogo_TIMSS!$F$5:$F$105,MATCH(K439,Catalogo_TIMSS!$A$5:$A$105,0)),"Pendiente de clasificar")))</f>
        <v>Recursos de la Tierra, uso y conservación</v>
      </c>
      <c r="O439" s="8" t="str">
        <f aca="false">IF(L439="","",IFERROR(INDEX(Catalogo_TIMSS!$C$5:$C$105,MATCH(L439,Catalogo_TIMSS!$A$5:$A$105,0)),"?"))</f>
        <v/>
      </c>
      <c r="P439" s="8" t="s">
        <v>418</v>
      </c>
      <c r="Q439" s="27" t="s">
        <v>2200</v>
      </c>
      <c r="R439" s="27" t="s">
        <v>2201</v>
      </c>
      <c r="S439" s="28" t="n">
        <f aca="false">IFERROR(ISNUMBER(SEARCH("Conocer",$R439))/(ISNUMBER(SEARCH("Conocer",$R439))+ISNUMBER(SEARCH("Aplicar",$R439))+ISNUMBER(SEARCH("Razonar",$R439))),0)</f>
        <v>0</v>
      </c>
      <c r="T439" s="28" t="n">
        <f aca="false">IFERROR(ISNUMBER(SEARCH("Aplicar",$R439))/(ISNUMBER(SEARCH("Conocer",$R439))+ISNUMBER(SEARCH("Aplicar",$R439))+ISNUMBER(SEARCH("Razonar",$R439))),0)</f>
        <v>0.5</v>
      </c>
      <c r="U439" s="28" t="n">
        <f aca="false">IFERROR(ISNUMBER(SEARCH("Razonar",$R439))/(ISNUMBER(SEARCH("Conocer",$R439))+ISNUMBER(SEARCH("Aplicar",$R439))+ISNUMBER(SEARCH("Razonar",$R439))),0)</f>
        <v>0.5</v>
      </c>
      <c r="V439" s="8" t="s">
        <v>51</v>
      </c>
      <c r="W439" s="8" t="s">
        <v>67</v>
      </c>
    </row>
    <row r="440" customFormat="false" ht="15" hidden="false" customHeight="false" outlineLevel="0" collapsed="false">
      <c r="A440" s="8" t="s">
        <v>2202</v>
      </c>
      <c r="B440" s="8" t="n">
        <v>7</v>
      </c>
      <c r="C440" s="8" t="s">
        <v>411</v>
      </c>
      <c r="D440" s="8" t="s">
        <v>1864</v>
      </c>
      <c r="E440" s="8" t="s">
        <v>2138</v>
      </c>
      <c r="F440" s="8" t="n">
        <v>19</v>
      </c>
      <c r="G440" s="8" t="s">
        <v>2139</v>
      </c>
      <c r="H440" s="8" t="s">
        <v>2198</v>
      </c>
      <c r="I440" s="27" t="s">
        <v>2203</v>
      </c>
      <c r="J440" s="8" t="s">
        <v>185</v>
      </c>
      <c r="K440" s="8" t="s">
        <v>217</v>
      </c>
      <c r="L440" s="8" t="s">
        <v>283</v>
      </c>
      <c r="M440" s="8" t="str">
        <f aca="false">IF(K440="FUERA","Fuera del marco",IF(K440="N/A","Sin marco",IFERROR(INDEX(Catalogo_TIMSS!$C$5:$C$105,MATCH(K440,Catalogo_TIMSS!$A$5:$A$105,0)),"Pendiente de clasificar")))</f>
        <v>Biología</v>
      </c>
      <c r="N440" s="8" t="str">
        <f aca="false">IF(K440="FUERA","Fuera del marco",IF(K440="N/A","Sin marco",IFERROR(INDEX(Catalogo_TIMSS!$F$5:$F$105,MATCH(K440,Catalogo_TIMSS!$A$5:$A$105,0)),"Pendiente de clasificar")))</f>
        <v>Salud humana</v>
      </c>
      <c r="O440" s="8" t="str">
        <f aca="false">IF(L440="","",IFERROR(INDEX(Catalogo_TIMSS!$C$5:$C$105,MATCH(L440,Catalogo_TIMSS!$A$5:$A$105,0)),"?"))</f>
        <v>Ciencias de la Tierra</v>
      </c>
      <c r="P440" s="8" t="s">
        <v>513</v>
      </c>
      <c r="Q440" s="27" t="s">
        <v>2204</v>
      </c>
      <c r="R440" s="27" t="s">
        <v>2205</v>
      </c>
      <c r="S440" s="28" t="n">
        <f aca="false">IFERROR(ISNUMBER(SEARCH("Conocer",$R440))/(ISNUMBER(SEARCH("Conocer",$R440))+ISNUMBER(SEARCH("Aplicar",$R440))+ISNUMBER(SEARCH("Razonar",$R440))),0)</f>
        <v>0</v>
      </c>
      <c r="T440" s="28" t="n">
        <f aca="false">IFERROR(ISNUMBER(SEARCH("Aplicar",$R440))/(ISNUMBER(SEARCH("Conocer",$R440))+ISNUMBER(SEARCH("Aplicar",$R440))+ISNUMBER(SEARCH("Razonar",$R440))),0)</f>
        <v>0.5</v>
      </c>
      <c r="U440" s="28" t="n">
        <f aca="false">IFERROR(ISNUMBER(SEARCH("Razonar",$R440))/(ISNUMBER(SEARCH("Conocer",$R440))+ISNUMBER(SEARCH("Aplicar",$R440))+ISNUMBER(SEARCH("Razonar",$R440))),0)</f>
        <v>0.5</v>
      </c>
      <c r="V440" s="8" t="s">
        <v>51</v>
      </c>
      <c r="W440" s="8" t="s">
        <v>67</v>
      </c>
    </row>
    <row r="441" customFormat="false" ht="15" hidden="false" customHeight="false" outlineLevel="0" collapsed="false">
      <c r="A441" s="8" t="s">
        <v>2206</v>
      </c>
      <c r="B441" s="8" t="n">
        <v>7</v>
      </c>
      <c r="C441" s="8" t="s">
        <v>411</v>
      </c>
      <c r="D441" s="8" t="s">
        <v>1864</v>
      </c>
      <c r="E441" s="8" t="s">
        <v>2138</v>
      </c>
      <c r="F441" s="8" t="n">
        <v>20</v>
      </c>
      <c r="G441" s="8" t="s">
        <v>2139</v>
      </c>
      <c r="H441" s="8" t="s">
        <v>2198</v>
      </c>
      <c r="I441" s="27" t="s">
        <v>2207</v>
      </c>
      <c r="J441" s="8" t="s">
        <v>185</v>
      </c>
      <c r="K441" s="8" t="s">
        <v>417</v>
      </c>
      <c r="L441" s="8"/>
      <c r="M441" s="8" t="str">
        <f aca="false">IF(K441="FUERA","Fuera del marco",IF(K441="N/A","Sin marco",IFERROR(INDEX(Catalogo_TIMSS!$C$5:$C$105,MATCH(K441,Catalogo_TIMSS!$A$5:$A$105,0)),"Pendiente de clasificar")))</f>
        <v>Fuera del marco</v>
      </c>
      <c r="N441" s="8" t="str">
        <f aca="false">IF(K441="FUERA","Fuera del marco",IF(K441="N/A","Sin marco",IFERROR(INDEX(Catalogo_TIMSS!$F$5:$F$105,MATCH(K441,Catalogo_TIMSS!$A$5:$A$105,0)),"Pendiente de clasificar")))</f>
        <v>Fuera del marco</v>
      </c>
      <c r="O441" s="8" t="str">
        <f aca="false">IF(L441="","",IFERROR(INDEX(Catalogo_TIMSS!$C$5:$C$105,MATCH(L441,Catalogo_TIMSS!$A$5:$A$105,0)),"?"))</f>
        <v/>
      </c>
      <c r="P441" s="8" t="s">
        <v>460</v>
      </c>
      <c r="Q441" s="27" t="s">
        <v>2208</v>
      </c>
      <c r="R441" s="27" t="s">
        <v>2162</v>
      </c>
      <c r="S441" s="28" t="n">
        <f aca="false">IFERROR(ISNUMBER(SEARCH("Conocer",$R441))/(ISNUMBER(SEARCH("Conocer",$R441))+ISNUMBER(SEARCH("Aplicar",$R441))+ISNUMBER(SEARCH("Razonar",$R441))),0)</f>
        <v>0</v>
      </c>
      <c r="T441" s="28" t="n">
        <f aca="false">IFERROR(ISNUMBER(SEARCH("Aplicar",$R441))/(ISNUMBER(SEARCH("Conocer",$R441))+ISNUMBER(SEARCH("Aplicar",$R441))+ISNUMBER(SEARCH("Razonar",$R441))),0)</f>
        <v>1</v>
      </c>
      <c r="U441" s="28" t="n">
        <f aca="false">IFERROR(ISNUMBER(SEARCH("Razonar",$R441))/(ISNUMBER(SEARCH("Conocer",$R441))+ISNUMBER(SEARCH("Aplicar",$R441))+ISNUMBER(SEARCH("Razonar",$R441))),0)</f>
        <v>0</v>
      </c>
      <c r="V441" s="8" t="s">
        <v>51</v>
      </c>
      <c r="W441" s="8" t="s">
        <v>67</v>
      </c>
    </row>
    <row r="442" customFormat="false" ht="15" hidden="false" customHeight="false" outlineLevel="0" collapsed="false">
      <c r="A442" s="8" t="s">
        <v>2209</v>
      </c>
      <c r="B442" s="8" t="n">
        <v>7</v>
      </c>
      <c r="C442" s="8" t="s">
        <v>411</v>
      </c>
      <c r="D442" s="8" t="s">
        <v>1864</v>
      </c>
      <c r="E442" s="8" t="s">
        <v>2138</v>
      </c>
      <c r="F442" s="8" t="n">
        <v>21</v>
      </c>
      <c r="G442" s="8" t="s">
        <v>2139</v>
      </c>
      <c r="H442" s="8" t="s">
        <v>2210</v>
      </c>
      <c r="I442" s="27" t="s">
        <v>2211</v>
      </c>
      <c r="J442" s="8" t="s">
        <v>185</v>
      </c>
      <c r="K442" s="8" t="s">
        <v>280</v>
      </c>
      <c r="L442" s="8" t="s">
        <v>213</v>
      </c>
      <c r="M442" s="8" t="str">
        <f aca="false">IF(K442="FUERA","Fuera del marco",IF(K442="N/A","Sin marco",IFERROR(INDEX(Catalogo_TIMSS!$C$5:$C$105,MATCH(K442,Catalogo_TIMSS!$A$5:$A$105,0)),"Pendiente de clasificar")))</f>
        <v>Ciencias de la Tierra</v>
      </c>
      <c r="N442" s="8" t="str">
        <f aca="false">IF(K442="FUERA","Fuera del marco",IF(K442="N/A","Sin marco",IFERROR(INDEX(Catalogo_TIMSS!$F$5:$F$105,MATCH(K442,Catalogo_TIMSS!$A$5:$A$105,0)),"Pendiente de clasificar")))</f>
        <v>Recursos de la Tierra, uso y conservación</v>
      </c>
      <c r="O442" s="8" t="str">
        <f aca="false">IF(L442="","",IFERROR(INDEX(Catalogo_TIMSS!$C$5:$C$105,MATCH(L442,Catalogo_TIMSS!$A$5:$A$105,0)),"?"))</f>
        <v>Biología</v>
      </c>
      <c r="P442" s="8" t="s">
        <v>513</v>
      </c>
      <c r="Q442" s="27" t="s">
        <v>2212</v>
      </c>
      <c r="R442" s="27" t="s">
        <v>1032</v>
      </c>
      <c r="S442" s="28" t="n">
        <f aca="false">IFERROR(ISNUMBER(SEARCH("Conocer",$R442))/(ISNUMBER(SEARCH("Conocer",$R442))+ISNUMBER(SEARCH("Aplicar",$R442))+ISNUMBER(SEARCH("Razonar",$R442))),0)</f>
        <v>1</v>
      </c>
      <c r="T442" s="28" t="n">
        <f aca="false">IFERROR(ISNUMBER(SEARCH("Aplicar",$R442))/(ISNUMBER(SEARCH("Conocer",$R442))+ISNUMBER(SEARCH("Aplicar",$R442))+ISNUMBER(SEARCH("Razonar",$R442))),0)</f>
        <v>0</v>
      </c>
      <c r="U442" s="28" t="n">
        <f aca="false">IFERROR(ISNUMBER(SEARCH("Razonar",$R442))/(ISNUMBER(SEARCH("Conocer",$R442))+ISNUMBER(SEARCH("Aplicar",$R442))+ISNUMBER(SEARCH("Razonar",$R442))),0)</f>
        <v>0</v>
      </c>
      <c r="V442" s="8" t="s">
        <v>51</v>
      </c>
      <c r="W442" s="8" t="s">
        <v>67</v>
      </c>
    </row>
    <row r="443" customFormat="false" ht="15" hidden="false" customHeight="false" outlineLevel="0" collapsed="false">
      <c r="A443" s="8" t="s">
        <v>2213</v>
      </c>
      <c r="B443" s="8" t="n">
        <v>7</v>
      </c>
      <c r="C443" s="8" t="s">
        <v>411</v>
      </c>
      <c r="D443" s="8" t="s">
        <v>1864</v>
      </c>
      <c r="E443" s="8" t="s">
        <v>2138</v>
      </c>
      <c r="F443" s="8" t="n">
        <v>22</v>
      </c>
      <c r="G443" s="8" t="s">
        <v>2139</v>
      </c>
      <c r="H443" s="8" t="s">
        <v>2210</v>
      </c>
      <c r="I443" s="27" t="s">
        <v>2214</v>
      </c>
      <c r="J443" s="8" t="s">
        <v>185</v>
      </c>
      <c r="K443" s="8" t="s">
        <v>213</v>
      </c>
      <c r="L443" s="8" t="s">
        <v>280</v>
      </c>
      <c r="M443" s="8" t="str">
        <f aca="false">IF(K443="FUERA","Fuera del marco",IF(K443="N/A","Sin marco",IFERROR(INDEX(Catalogo_TIMSS!$C$5:$C$105,MATCH(K443,Catalogo_TIMSS!$A$5:$A$105,0)),"Pendiente de clasificar")))</f>
        <v>Biología</v>
      </c>
      <c r="N443" s="8" t="str">
        <f aca="false">IF(K443="FUERA","Fuera del marco",IF(K443="N/A","Sin marco",IFERROR(INDEX(Catalogo_TIMSS!$F$5:$F$105,MATCH(K443,Catalogo_TIMSS!$A$5:$A$105,0)),"Pendiente de clasificar")))</f>
        <v>Ecosistemas</v>
      </c>
      <c r="O443" s="8" t="str">
        <f aca="false">IF(L443="","",IFERROR(INDEX(Catalogo_TIMSS!$C$5:$C$105,MATCH(L443,Catalogo_TIMSS!$A$5:$A$105,0)),"?"))</f>
        <v>Ciencias de la Tierra</v>
      </c>
      <c r="P443" s="8" t="s">
        <v>460</v>
      </c>
      <c r="Q443" s="27" t="s">
        <v>2215</v>
      </c>
      <c r="R443" s="27" t="s">
        <v>2216</v>
      </c>
      <c r="S443" s="28" t="n">
        <f aca="false">IFERROR(ISNUMBER(SEARCH("Conocer",$R443))/(ISNUMBER(SEARCH("Conocer",$R443))+ISNUMBER(SEARCH("Aplicar",$R443))+ISNUMBER(SEARCH("Razonar",$R443))),0)</f>
        <v>0</v>
      </c>
      <c r="T443" s="28" t="n">
        <f aca="false">IFERROR(ISNUMBER(SEARCH("Aplicar",$R443))/(ISNUMBER(SEARCH("Conocer",$R443))+ISNUMBER(SEARCH("Aplicar",$R443))+ISNUMBER(SEARCH("Razonar",$R443))),0)</f>
        <v>0</v>
      </c>
      <c r="U443" s="28" t="n">
        <f aca="false">IFERROR(ISNUMBER(SEARCH("Razonar",$R443))/(ISNUMBER(SEARCH("Conocer",$R443))+ISNUMBER(SEARCH("Aplicar",$R443))+ISNUMBER(SEARCH("Razonar",$R443))),0)</f>
        <v>1</v>
      </c>
      <c r="V443" s="8" t="s">
        <v>51</v>
      </c>
      <c r="W443" s="8" t="s">
        <v>67</v>
      </c>
    </row>
    <row r="444" customFormat="false" ht="15" hidden="false" customHeight="false" outlineLevel="0" collapsed="false">
      <c r="A444" s="8" t="s">
        <v>2217</v>
      </c>
      <c r="B444" s="8" t="n">
        <v>8</v>
      </c>
      <c r="C444" s="8" t="s">
        <v>411</v>
      </c>
      <c r="D444" s="8" t="s">
        <v>2218</v>
      </c>
      <c r="E444" s="8" t="s">
        <v>2219</v>
      </c>
      <c r="F444" s="8" t="n">
        <v>3</v>
      </c>
      <c r="G444" s="8" t="s">
        <v>2220</v>
      </c>
      <c r="H444" s="8" t="s">
        <v>2221</v>
      </c>
      <c r="I444" s="27" t="s">
        <v>2222</v>
      </c>
      <c r="J444" s="8" t="s">
        <v>185</v>
      </c>
      <c r="K444" s="8" t="s">
        <v>264</v>
      </c>
      <c r="L444" s="8"/>
      <c r="M444" s="8" t="str">
        <f aca="false">IF(K444="FUERA","Fuera del marco",IF(K444="N/A","Sin marco",IFERROR(INDEX(Catalogo_TIMSS!$C$5:$C$105,MATCH(K444,Catalogo_TIMSS!$A$5:$A$105,0)),"Pendiente de clasificar")))</f>
        <v>Física</v>
      </c>
      <c r="N444" s="8" t="str">
        <f aca="false">IF(K444="FUERA","Fuera del marco",IF(K444="N/A","Sin marco",IFERROR(INDEX(Catalogo_TIMSS!$F$5:$F$105,MATCH(K444,Catalogo_TIMSS!$A$5:$A$105,0)),"Pendiente de clasificar")))</f>
        <v>Movimiento y fuerzas</v>
      </c>
      <c r="O444" s="8" t="str">
        <f aca="false">IF(L444="","",IFERROR(INDEX(Catalogo_TIMSS!$C$5:$C$105,MATCH(L444,Catalogo_TIMSS!$A$5:$A$105,0)),"?"))</f>
        <v/>
      </c>
      <c r="P444" s="8" t="s">
        <v>513</v>
      </c>
      <c r="Q444" s="27" t="s">
        <v>2223</v>
      </c>
      <c r="R444" s="27" t="s">
        <v>2224</v>
      </c>
      <c r="S444" s="28" t="n">
        <f aca="false">IFERROR(ISNUMBER(SEARCH("Conocer",$R444))/(ISNUMBER(SEARCH("Conocer",$R444))+ISNUMBER(SEARCH("Aplicar",$R444))+ISNUMBER(SEARCH("Razonar",$R444))),0)</f>
        <v>0</v>
      </c>
      <c r="T444" s="28" t="n">
        <f aca="false">IFERROR(ISNUMBER(SEARCH("Aplicar",$R444))/(ISNUMBER(SEARCH("Conocer",$R444))+ISNUMBER(SEARCH("Aplicar",$R444))+ISNUMBER(SEARCH("Razonar",$R444))),0)</f>
        <v>0.5</v>
      </c>
      <c r="U444" s="28" t="n">
        <f aca="false">IFERROR(ISNUMBER(SEARCH("Razonar",$R444))/(ISNUMBER(SEARCH("Conocer",$R444))+ISNUMBER(SEARCH("Aplicar",$R444))+ISNUMBER(SEARCH("Razonar",$R444))),0)</f>
        <v>0.5</v>
      </c>
      <c r="V444" s="8" t="s">
        <v>52</v>
      </c>
      <c r="W444" s="8" t="s">
        <v>67</v>
      </c>
    </row>
    <row r="445" customFormat="false" ht="15" hidden="false" customHeight="false" outlineLevel="0" collapsed="false">
      <c r="A445" s="8" t="s">
        <v>2225</v>
      </c>
      <c r="B445" s="8" t="n">
        <v>8</v>
      </c>
      <c r="C445" s="8" t="s">
        <v>411</v>
      </c>
      <c r="D445" s="8" t="s">
        <v>2218</v>
      </c>
      <c r="E445" s="8" t="s">
        <v>2219</v>
      </c>
      <c r="F445" s="8" t="n">
        <v>4</v>
      </c>
      <c r="G445" s="8" t="s">
        <v>2220</v>
      </c>
      <c r="H445" s="8" t="s">
        <v>2221</v>
      </c>
      <c r="I445" s="27" t="s">
        <v>2226</v>
      </c>
      <c r="J445" s="8" t="s">
        <v>185</v>
      </c>
      <c r="K445" s="8" t="s">
        <v>417</v>
      </c>
      <c r="L445" s="8"/>
      <c r="M445" s="8" t="str">
        <f aca="false">IF(K445="FUERA","Fuera del marco",IF(K445="N/A","Sin marco",IFERROR(INDEX(Catalogo_TIMSS!$C$5:$C$105,MATCH(K445,Catalogo_TIMSS!$A$5:$A$105,0)),"Pendiente de clasificar")))</f>
        <v>Fuera del marco</v>
      </c>
      <c r="N445" s="8" t="str">
        <f aca="false">IF(K445="FUERA","Fuera del marco",IF(K445="N/A","Sin marco",IFERROR(INDEX(Catalogo_TIMSS!$F$5:$F$105,MATCH(K445,Catalogo_TIMSS!$A$5:$A$105,0)),"Pendiente de clasificar")))</f>
        <v>Fuera del marco</v>
      </c>
      <c r="O445" s="8" t="str">
        <f aca="false">IF(L445="","",IFERROR(INDEX(Catalogo_TIMSS!$C$5:$C$105,MATCH(L445,Catalogo_TIMSS!$A$5:$A$105,0)),"?"))</f>
        <v/>
      </c>
      <c r="P445" s="8" t="s">
        <v>460</v>
      </c>
      <c r="Q445" s="27" t="s">
        <v>2227</v>
      </c>
      <c r="R445" s="27" t="s">
        <v>2228</v>
      </c>
      <c r="S445" s="28" t="n">
        <f aca="false">IFERROR(ISNUMBER(SEARCH("Conocer",$R445))/(ISNUMBER(SEARCH("Conocer",$R445))+ISNUMBER(SEARCH("Aplicar",$R445))+ISNUMBER(SEARCH("Razonar",$R445))),0)</f>
        <v>0</v>
      </c>
      <c r="T445" s="28" t="n">
        <f aca="false">IFERROR(ISNUMBER(SEARCH("Aplicar",$R445))/(ISNUMBER(SEARCH("Conocer",$R445))+ISNUMBER(SEARCH("Aplicar",$R445))+ISNUMBER(SEARCH("Razonar",$R445))),0)</f>
        <v>0.5</v>
      </c>
      <c r="U445" s="28" t="n">
        <f aca="false">IFERROR(ISNUMBER(SEARCH("Razonar",$R445))/(ISNUMBER(SEARCH("Conocer",$R445))+ISNUMBER(SEARCH("Aplicar",$R445))+ISNUMBER(SEARCH("Razonar",$R445))),0)</f>
        <v>0.5</v>
      </c>
      <c r="V445" s="8" t="s">
        <v>52</v>
      </c>
      <c r="W445" s="8" t="s">
        <v>67</v>
      </c>
    </row>
    <row r="446" customFormat="false" ht="15" hidden="false" customHeight="false" outlineLevel="0" collapsed="false">
      <c r="A446" s="8" t="s">
        <v>2229</v>
      </c>
      <c r="B446" s="8" t="n">
        <v>8</v>
      </c>
      <c r="C446" s="8" t="s">
        <v>411</v>
      </c>
      <c r="D446" s="8" t="s">
        <v>2218</v>
      </c>
      <c r="E446" s="8" t="s">
        <v>2219</v>
      </c>
      <c r="F446" s="8" t="n">
        <v>5</v>
      </c>
      <c r="G446" s="8" t="s">
        <v>2220</v>
      </c>
      <c r="H446" s="8" t="s">
        <v>2221</v>
      </c>
      <c r="I446" s="27" t="s">
        <v>2230</v>
      </c>
      <c r="J446" s="8" t="s">
        <v>185</v>
      </c>
      <c r="K446" s="8" t="s">
        <v>417</v>
      </c>
      <c r="L446" s="8"/>
      <c r="M446" s="8" t="str">
        <f aca="false">IF(K446="FUERA","Fuera del marco",IF(K446="N/A","Sin marco",IFERROR(INDEX(Catalogo_TIMSS!$C$5:$C$105,MATCH(K446,Catalogo_TIMSS!$A$5:$A$105,0)),"Pendiente de clasificar")))</f>
        <v>Fuera del marco</v>
      </c>
      <c r="N446" s="8" t="str">
        <f aca="false">IF(K446="FUERA","Fuera del marco",IF(K446="N/A","Sin marco",IFERROR(INDEX(Catalogo_TIMSS!$F$5:$F$105,MATCH(K446,Catalogo_TIMSS!$A$5:$A$105,0)),"Pendiente de clasificar")))</f>
        <v>Fuera del marco</v>
      </c>
      <c r="O446" s="8" t="str">
        <f aca="false">IF(L446="","",IFERROR(INDEX(Catalogo_TIMSS!$C$5:$C$105,MATCH(L446,Catalogo_TIMSS!$A$5:$A$105,0)),"?"))</f>
        <v/>
      </c>
      <c r="P446" s="8" t="s">
        <v>460</v>
      </c>
      <c r="Q446" s="27" t="s">
        <v>2231</v>
      </c>
      <c r="R446" s="27" t="s">
        <v>1126</v>
      </c>
      <c r="S446" s="28" t="n">
        <f aca="false">IFERROR(ISNUMBER(SEARCH("Conocer",$R446))/(ISNUMBER(SEARCH("Conocer",$R446))+ISNUMBER(SEARCH("Aplicar",$R446))+ISNUMBER(SEARCH("Razonar",$R446))),0)</f>
        <v>0</v>
      </c>
      <c r="T446" s="28" t="n">
        <f aca="false">IFERROR(ISNUMBER(SEARCH("Aplicar",$R446))/(ISNUMBER(SEARCH("Conocer",$R446))+ISNUMBER(SEARCH("Aplicar",$R446))+ISNUMBER(SEARCH("Razonar",$R446))),0)</f>
        <v>1</v>
      </c>
      <c r="U446" s="28" t="n">
        <f aca="false">IFERROR(ISNUMBER(SEARCH("Razonar",$R446))/(ISNUMBER(SEARCH("Conocer",$R446))+ISNUMBER(SEARCH("Aplicar",$R446))+ISNUMBER(SEARCH("Razonar",$R446))),0)</f>
        <v>0</v>
      </c>
      <c r="V446" s="8" t="s">
        <v>52</v>
      </c>
      <c r="W446" s="8" t="s">
        <v>67</v>
      </c>
    </row>
    <row r="447" customFormat="false" ht="15" hidden="false" customHeight="false" outlineLevel="0" collapsed="false">
      <c r="A447" s="8" t="s">
        <v>2232</v>
      </c>
      <c r="B447" s="8" t="n">
        <v>8</v>
      </c>
      <c r="C447" s="8" t="s">
        <v>411</v>
      </c>
      <c r="D447" s="8" t="s">
        <v>2218</v>
      </c>
      <c r="E447" s="8" t="s">
        <v>2219</v>
      </c>
      <c r="F447" s="8" t="n">
        <v>6</v>
      </c>
      <c r="G447" s="8" t="s">
        <v>2220</v>
      </c>
      <c r="H447" s="8" t="s">
        <v>2233</v>
      </c>
      <c r="I447" s="27" t="s">
        <v>2234</v>
      </c>
      <c r="J447" s="8" t="s">
        <v>185</v>
      </c>
      <c r="K447" s="8" t="s">
        <v>264</v>
      </c>
      <c r="L447" s="8"/>
      <c r="M447" s="8" t="str">
        <f aca="false">IF(K447="FUERA","Fuera del marco",IF(K447="N/A","Sin marco",IFERROR(INDEX(Catalogo_TIMSS!$C$5:$C$105,MATCH(K447,Catalogo_TIMSS!$A$5:$A$105,0)),"Pendiente de clasificar")))</f>
        <v>Física</v>
      </c>
      <c r="N447" s="8" t="str">
        <f aca="false">IF(K447="FUERA","Fuera del marco",IF(K447="N/A","Sin marco",IFERROR(INDEX(Catalogo_TIMSS!$F$5:$F$105,MATCH(K447,Catalogo_TIMSS!$A$5:$A$105,0)),"Pendiente de clasificar")))</f>
        <v>Movimiento y fuerzas</v>
      </c>
      <c r="O447" s="8" t="str">
        <f aca="false">IF(L447="","",IFERROR(INDEX(Catalogo_TIMSS!$C$5:$C$105,MATCH(L447,Catalogo_TIMSS!$A$5:$A$105,0)),"?"))</f>
        <v/>
      </c>
      <c r="P447" s="8" t="s">
        <v>513</v>
      </c>
      <c r="Q447" s="27" t="s">
        <v>2235</v>
      </c>
      <c r="R447" s="27" t="s">
        <v>1340</v>
      </c>
      <c r="S447" s="28" t="n">
        <f aca="false">IFERROR(ISNUMBER(SEARCH("Conocer",$R447))/(ISNUMBER(SEARCH("Conocer",$R447))+ISNUMBER(SEARCH("Aplicar",$R447))+ISNUMBER(SEARCH("Razonar",$R447))),0)</f>
        <v>0</v>
      </c>
      <c r="T447" s="28" t="n">
        <f aca="false">IFERROR(ISNUMBER(SEARCH("Aplicar",$R447))/(ISNUMBER(SEARCH("Conocer",$R447))+ISNUMBER(SEARCH("Aplicar",$R447))+ISNUMBER(SEARCH("Razonar",$R447))),0)</f>
        <v>1</v>
      </c>
      <c r="U447" s="28" t="n">
        <f aca="false">IFERROR(ISNUMBER(SEARCH("Razonar",$R447))/(ISNUMBER(SEARCH("Conocer",$R447))+ISNUMBER(SEARCH("Aplicar",$R447))+ISNUMBER(SEARCH("Razonar",$R447))),0)</f>
        <v>0</v>
      </c>
      <c r="V447" s="8" t="s">
        <v>52</v>
      </c>
      <c r="W447" s="8" t="s">
        <v>67</v>
      </c>
    </row>
    <row r="448" customFormat="false" ht="15" hidden="false" customHeight="false" outlineLevel="0" collapsed="false">
      <c r="A448" s="8" t="s">
        <v>2236</v>
      </c>
      <c r="B448" s="8" t="n">
        <v>8</v>
      </c>
      <c r="C448" s="8" t="s">
        <v>411</v>
      </c>
      <c r="D448" s="8" t="s">
        <v>2218</v>
      </c>
      <c r="E448" s="8" t="s">
        <v>2219</v>
      </c>
      <c r="F448" s="8" t="n">
        <v>7</v>
      </c>
      <c r="G448" s="8" t="s">
        <v>2220</v>
      </c>
      <c r="H448" s="8" t="s">
        <v>2233</v>
      </c>
      <c r="I448" s="27" t="s">
        <v>2237</v>
      </c>
      <c r="J448" s="8" t="s">
        <v>185</v>
      </c>
      <c r="K448" s="8" t="s">
        <v>264</v>
      </c>
      <c r="L448" s="8"/>
      <c r="M448" s="8" t="str">
        <f aca="false">IF(K448="FUERA","Fuera del marco",IF(K448="N/A","Sin marco",IFERROR(INDEX(Catalogo_TIMSS!$C$5:$C$105,MATCH(K448,Catalogo_TIMSS!$A$5:$A$105,0)),"Pendiente de clasificar")))</f>
        <v>Física</v>
      </c>
      <c r="N448" s="8" t="str">
        <f aca="false">IF(K448="FUERA","Fuera del marco",IF(K448="N/A","Sin marco",IFERROR(INDEX(Catalogo_TIMSS!$F$5:$F$105,MATCH(K448,Catalogo_TIMSS!$A$5:$A$105,0)),"Pendiente de clasificar")))</f>
        <v>Movimiento y fuerzas</v>
      </c>
      <c r="O448" s="8" t="str">
        <f aca="false">IF(L448="","",IFERROR(INDEX(Catalogo_TIMSS!$C$5:$C$105,MATCH(L448,Catalogo_TIMSS!$A$5:$A$105,0)),"?"))</f>
        <v/>
      </c>
      <c r="P448" s="8" t="s">
        <v>513</v>
      </c>
      <c r="Q448" s="27" t="s">
        <v>2238</v>
      </c>
      <c r="R448" s="27" t="s">
        <v>2239</v>
      </c>
      <c r="S448" s="28" t="n">
        <f aca="false">IFERROR(ISNUMBER(SEARCH("Conocer",$R448))/(ISNUMBER(SEARCH("Conocer",$R448))+ISNUMBER(SEARCH("Aplicar",$R448))+ISNUMBER(SEARCH("Razonar",$R448))),0)</f>
        <v>0</v>
      </c>
      <c r="T448" s="28" t="n">
        <f aca="false">IFERROR(ISNUMBER(SEARCH("Aplicar",$R448))/(ISNUMBER(SEARCH("Conocer",$R448))+ISNUMBER(SEARCH("Aplicar",$R448))+ISNUMBER(SEARCH("Razonar",$R448))),0)</f>
        <v>1</v>
      </c>
      <c r="U448" s="28" t="n">
        <f aca="false">IFERROR(ISNUMBER(SEARCH("Razonar",$R448))/(ISNUMBER(SEARCH("Conocer",$R448))+ISNUMBER(SEARCH("Aplicar",$R448))+ISNUMBER(SEARCH("Razonar",$R448))),0)</f>
        <v>0</v>
      </c>
      <c r="V448" s="8" t="s">
        <v>52</v>
      </c>
      <c r="W448" s="8" t="s">
        <v>67</v>
      </c>
    </row>
    <row r="449" customFormat="false" ht="15" hidden="false" customHeight="false" outlineLevel="0" collapsed="false">
      <c r="A449" s="8" t="s">
        <v>2240</v>
      </c>
      <c r="B449" s="8" t="n">
        <v>8</v>
      </c>
      <c r="C449" s="8" t="s">
        <v>411</v>
      </c>
      <c r="D449" s="8" t="s">
        <v>2218</v>
      </c>
      <c r="E449" s="8" t="s">
        <v>2219</v>
      </c>
      <c r="F449" s="8" t="n">
        <v>8</v>
      </c>
      <c r="G449" s="8" t="s">
        <v>2220</v>
      </c>
      <c r="H449" s="8" t="s">
        <v>2233</v>
      </c>
      <c r="I449" s="27" t="s">
        <v>2241</v>
      </c>
      <c r="J449" s="8" t="s">
        <v>185</v>
      </c>
      <c r="K449" s="8" t="s">
        <v>264</v>
      </c>
      <c r="L449" s="8"/>
      <c r="M449" s="8" t="str">
        <f aca="false">IF(K449="FUERA","Fuera del marco",IF(K449="N/A","Sin marco",IFERROR(INDEX(Catalogo_TIMSS!$C$5:$C$105,MATCH(K449,Catalogo_TIMSS!$A$5:$A$105,0)),"Pendiente de clasificar")))</f>
        <v>Física</v>
      </c>
      <c r="N449" s="8" t="str">
        <f aca="false">IF(K449="FUERA","Fuera del marco",IF(K449="N/A","Sin marco",IFERROR(INDEX(Catalogo_TIMSS!$F$5:$F$105,MATCH(K449,Catalogo_TIMSS!$A$5:$A$105,0)),"Pendiente de clasificar")))</f>
        <v>Movimiento y fuerzas</v>
      </c>
      <c r="O449" s="8" t="str">
        <f aca="false">IF(L449="","",IFERROR(INDEX(Catalogo_TIMSS!$C$5:$C$105,MATCH(L449,Catalogo_TIMSS!$A$5:$A$105,0)),"?"))</f>
        <v/>
      </c>
      <c r="P449" s="8" t="s">
        <v>418</v>
      </c>
      <c r="Q449" s="27" t="s">
        <v>2242</v>
      </c>
      <c r="R449" s="27" t="s">
        <v>1265</v>
      </c>
      <c r="S449" s="28" t="n">
        <f aca="false">IFERROR(ISNUMBER(SEARCH("Conocer",$R449))/(ISNUMBER(SEARCH("Conocer",$R449))+ISNUMBER(SEARCH("Aplicar",$R449))+ISNUMBER(SEARCH("Razonar",$R449))),0)</f>
        <v>0</v>
      </c>
      <c r="T449" s="28" t="n">
        <f aca="false">IFERROR(ISNUMBER(SEARCH("Aplicar",$R449))/(ISNUMBER(SEARCH("Conocer",$R449))+ISNUMBER(SEARCH("Aplicar",$R449))+ISNUMBER(SEARCH("Razonar",$R449))),0)</f>
        <v>1</v>
      </c>
      <c r="U449" s="28" t="n">
        <f aca="false">IFERROR(ISNUMBER(SEARCH("Razonar",$R449))/(ISNUMBER(SEARCH("Conocer",$R449))+ISNUMBER(SEARCH("Aplicar",$R449))+ISNUMBER(SEARCH("Razonar",$R449))),0)</f>
        <v>0</v>
      </c>
      <c r="V449" s="8" t="s">
        <v>52</v>
      </c>
      <c r="W449" s="8" t="s">
        <v>67</v>
      </c>
    </row>
    <row r="450" customFormat="false" ht="15" hidden="false" customHeight="false" outlineLevel="0" collapsed="false">
      <c r="A450" s="8" t="s">
        <v>2243</v>
      </c>
      <c r="B450" s="8" t="n">
        <v>8</v>
      </c>
      <c r="C450" s="8" t="s">
        <v>411</v>
      </c>
      <c r="D450" s="8" t="s">
        <v>2218</v>
      </c>
      <c r="E450" s="8" t="s">
        <v>2219</v>
      </c>
      <c r="F450" s="8" t="n">
        <v>9</v>
      </c>
      <c r="G450" s="8" t="s">
        <v>2220</v>
      </c>
      <c r="H450" s="8" t="s">
        <v>2244</v>
      </c>
      <c r="I450" s="27" t="s">
        <v>2245</v>
      </c>
      <c r="J450" s="8" t="s">
        <v>185</v>
      </c>
      <c r="K450" s="8" t="s">
        <v>266</v>
      </c>
      <c r="L450" s="8" t="s">
        <v>264</v>
      </c>
      <c r="M450" s="8" t="str">
        <f aca="false">IF(K450="FUERA","Fuera del marco",IF(K450="N/A","Sin marco",IFERROR(INDEX(Catalogo_TIMSS!$C$5:$C$105,MATCH(K450,Catalogo_TIMSS!$A$5:$A$105,0)),"Pendiente de clasificar")))</f>
        <v>Física</v>
      </c>
      <c r="N450" s="8" t="str">
        <f aca="false">IF(K450="FUERA","Fuera del marco",IF(K450="N/A","Sin marco",IFERROR(INDEX(Catalogo_TIMSS!$F$5:$F$105,MATCH(K450,Catalogo_TIMSS!$A$5:$A$105,0)),"Pendiente de clasificar")))</f>
        <v>Movimiento y fuerzas</v>
      </c>
      <c r="O450" s="8" t="str">
        <f aca="false">IF(L450="","",IFERROR(INDEX(Catalogo_TIMSS!$C$5:$C$105,MATCH(L450,Catalogo_TIMSS!$A$5:$A$105,0)),"?"))</f>
        <v>Física</v>
      </c>
      <c r="P450" s="8" t="s">
        <v>418</v>
      </c>
      <c r="Q450" s="27" t="s">
        <v>2246</v>
      </c>
      <c r="R450" s="27" t="s">
        <v>2239</v>
      </c>
      <c r="S450" s="28" t="n">
        <f aca="false">IFERROR(ISNUMBER(SEARCH("Conocer",$R450))/(ISNUMBER(SEARCH("Conocer",$R450))+ISNUMBER(SEARCH("Aplicar",$R450))+ISNUMBER(SEARCH("Razonar",$R450))),0)</f>
        <v>0</v>
      </c>
      <c r="T450" s="28" t="n">
        <f aca="false">IFERROR(ISNUMBER(SEARCH("Aplicar",$R450))/(ISNUMBER(SEARCH("Conocer",$R450))+ISNUMBER(SEARCH("Aplicar",$R450))+ISNUMBER(SEARCH("Razonar",$R450))),0)</f>
        <v>1</v>
      </c>
      <c r="U450" s="28" t="n">
        <f aca="false">IFERROR(ISNUMBER(SEARCH("Razonar",$R450))/(ISNUMBER(SEARCH("Conocer",$R450))+ISNUMBER(SEARCH("Aplicar",$R450))+ISNUMBER(SEARCH("Razonar",$R450))),0)</f>
        <v>0</v>
      </c>
      <c r="V450" s="8" t="s">
        <v>52</v>
      </c>
      <c r="W450" s="8" t="s">
        <v>67</v>
      </c>
    </row>
    <row r="451" customFormat="false" ht="15" hidden="false" customHeight="false" outlineLevel="0" collapsed="false">
      <c r="A451" s="8" t="s">
        <v>2247</v>
      </c>
      <c r="B451" s="8" t="n">
        <v>8</v>
      </c>
      <c r="C451" s="8" t="s">
        <v>411</v>
      </c>
      <c r="D451" s="8" t="s">
        <v>2218</v>
      </c>
      <c r="E451" s="8" t="s">
        <v>2219</v>
      </c>
      <c r="F451" s="8" t="n">
        <v>10</v>
      </c>
      <c r="G451" s="8" t="s">
        <v>2220</v>
      </c>
      <c r="H451" s="8" t="s">
        <v>2244</v>
      </c>
      <c r="I451" s="27" t="s">
        <v>2248</v>
      </c>
      <c r="J451" s="8" t="s">
        <v>185</v>
      </c>
      <c r="K451" s="8" t="s">
        <v>261</v>
      </c>
      <c r="L451" s="8"/>
      <c r="M451" s="8" t="str">
        <f aca="false">IF(K451="FUERA","Fuera del marco",IF(K451="N/A","Sin marco",IFERROR(INDEX(Catalogo_TIMSS!$C$5:$C$105,MATCH(K451,Catalogo_TIMSS!$A$5:$A$105,0)),"Pendiente de clasificar")))</f>
        <v>Física</v>
      </c>
      <c r="N451" s="8" t="str">
        <f aca="false">IF(K451="FUERA","Fuera del marco",IF(K451="N/A","Sin marco",IFERROR(INDEX(Catalogo_TIMSS!$F$5:$F$105,MATCH(K451,Catalogo_TIMSS!$A$5:$A$105,0)),"Pendiente de clasificar")))</f>
        <v>Movimiento y fuerzas</v>
      </c>
      <c r="O451" s="8" t="str">
        <f aca="false">IF(L451="","",IFERROR(INDEX(Catalogo_TIMSS!$C$5:$C$105,MATCH(L451,Catalogo_TIMSS!$A$5:$A$105,0)),"?"))</f>
        <v/>
      </c>
      <c r="P451" s="8" t="s">
        <v>418</v>
      </c>
      <c r="Q451" s="27" t="s">
        <v>2249</v>
      </c>
      <c r="R451" s="27" t="s">
        <v>2250</v>
      </c>
      <c r="S451" s="28" t="n">
        <f aca="false">IFERROR(ISNUMBER(SEARCH("Conocer",$R451))/(ISNUMBER(SEARCH("Conocer",$R451))+ISNUMBER(SEARCH("Aplicar",$R451))+ISNUMBER(SEARCH("Razonar",$R451))),0)</f>
        <v>0</v>
      </c>
      <c r="T451" s="28" t="n">
        <f aca="false">IFERROR(ISNUMBER(SEARCH("Aplicar",$R451))/(ISNUMBER(SEARCH("Conocer",$R451))+ISNUMBER(SEARCH("Aplicar",$R451))+ISNUMBER(SEARCH("Razonar",$R451))),0)</f>
        <v>1</v>
      </c>
      <c r="U451" s="28" t="n">
        <f aca="false">IFERROR(ISNUMBER(SEARCH("Razonar",$R451))/(ISNUMBER(SEARCH("Conocer",$R451))+ISNUMBER(SEARCH("Aplicar",$R451))+ISNUMBER(SEARCH("Razonar",$R451))),0)</f>
        <v>0</v>
      </c>
      <c r="V451" s="8" t="s">
        <v>52</v>
      </c>
      <c r="W451" s="8" t="s">
        <v>67</v>
      </c>
    </row>
    <row r="452" customFormat="false" ht="15" hidden="false" customHeight="false" outlineLevel="0" collapsed="false">
      <c r="A452" s="8" t="s">
        <v>2251</v>
      </c>
      <c r="B452" s="8" t="n">
        <v>8</v>
      </c>
      <c r="C452" s="8" t="s">
        <v>411</v>
      </c>
      <c r="D452" s="8" t="s">
        <v>2218</v>
      </c>
      <c r="E452" s="8" t="s">
        <v>2219</v>
      </c>
      <c r="F452" s="8" t="n">
        <v>11</v>
      </c>
      <c r="G452" s="8" t="s">
        <v>2220</v>
      </c>
      <c r="H452" s="8" t="s">
        <v>2244</v>
      </c>
      <c r="I452" s="27" t="s">
        <v>2252</v>
      </c>
      <c r="J452" s="8" t="s">
        <v>185</v>
      </c>
      <c r="K452" s="8" t="s">
        <v>261</v>
      </c>
      <c r="L452" s="8"/>
      <c r="M452" s="8" t="str">
        <f aca="false">IF(K452="FUERA","Fuera del marco",IF(K452="N/A","Sin marco",IFERROR(INDEX(Catalogo_TIMSS!$C$5:$C$105,MATCH(K452,Catalogo_TIMSS!$A$5:$A$105,0)),"Pendiente de clasificar")))</f>
        <v>Física</v>
      </c>
      <c r="N452" s="8" t="str">
        <f aca="false">IF(K452="FUERA","Fuera del marco",IF(K452="N/A","Sin marco",IFERROR(INDEX(Catalogo_TIMSS!$F$5:$F$105,MATCH(K452,Catalogo_TIMSS!$A$5:$A$105,0)),"Pendiente de clasificar")))</f>
        <v>Movimiento y fuerzas</v>
      </c>
      <c r="O452" s="8" t="str">
        <f aca="false">IF(L452="","",IFERROR(INDEX(Catalogo_TIMSS!$C$5:$C$105,MATCH(L452,Catalogo_TIMSS!$A$5:$A$105,0)),"?"))</f>
        <v/>
      </c>
      <c r="P452" s="8" t="s">
        <v>460</v>
      </c>
      <c r="Q452" s="27" t="s">
        <v>2253</v>
      </c>
      <c r="R452" s="27" t="s">
        <v>462</v>
      </c>
      <c r="S452" s="28" t="n">
        <f aca="false">IFERROR(ISNUMBER(SEARCH("Conocer",$R452))/(ISNUMBER(SEARCH("Conocer",$R452))+ISNUMBER(SEARCH("Aplicar",$R452))+ISNUMBER(SEARCH("Razonar",$R452))),0)</f>
        <v>0</v>
      </c>
      <c r="T452" s="28" t="n">
        <f aca="false">IFERROR(ISNUMBER(SEARCH("Aplicar",$R452))/(ISNUMBER(SEARCH("Conocer",$R452))+ISNUMBER(SEARCH("Aplicar",$R452))+ISNUMBER(SEARCH("Razonar",$R452))),0)</f>
        <v>0</v>
      </c>
      <c r="U452" s="28" t="n">
        <f aca="false">IFERROR(ISNUMBER(SEARCH("Razonar",$R452))/(ISNUMBER(SEARCH("Conocer",$R452))+ISNUMBER(SEARCH("Aplicar",$R452))+ISNUMBER(SEARCH("Razonar",$R452))),0)</f>
        <v>1</v>
      </c>
      <c r="V452" s="8" t="s">
        <v>52</v>
      </c>
      <c r="W452" s="8" t="s">
        <v>67</v>
      </c>
    </row>
    <row r="453" customFormat="false" ht="15" hidden="false" customHeight="false" outlineLevel="0" collapsed="false">
      <c r="A453" s="8" t="s">
        <v>2254</v>
      </c>
      <c r="B453" s="8" t="n">
        <v>8</v>
      </c>
      <c r="C453" s="8" t="s">
        <v>411</v>
      </c>
      <c r="D453" s="8" t="s">
        <v>2218</v>
      </c>
      <c r="E453" s="8" t="s">
        <v>2219</v>
      </c>
      <c r="F453" s="8" t="n">
        <v>12</v>
      </c>
      <c r="G453" s="8" t="s">
        <v>2220</v>
      </c>
      <c r="H453" s="8" t="s">
        <v>2255</v>
      </c>
      <c r="I453" s="27" t="s">
        <v>2256</v>
      </c>
      <c r="J453" s="8" t="s">
        <v>185</v>
      </c>
      <c r="K453" s="8" t="s">
        <v>266</v>
      </c>
      <c r="L453" s="8"/>
      <c r="M453" s="8" t="str">
        <f aca="false">IF(K453="FUERA","Fuera del marco",IF(K453="N/A","Sin marco",IFERROR(INDEX(Catalogo_TIMSS!$C$5:$C$105,MATCH(K453,Catalogo_TIMSS!$A$5:$A$105,0)),"Pendiente de clasificar")))</f>
        <v>Física</v>
      </c>
      <c r="N453" s="8" t="str">
        <f aca="false">IF(K453="FUERA","Fuera del marco",IF(K453="N/A","Sin marco",IFERROR(INDEX(Catalogo_TIMSS!$F$5:$F$105,MATCH(K453,Catalogo_TIMSS!$A$5:$A$105,0)),"Pendiente de clasificar")))</f>
        <v>Movimiento y fuerzas</v>
      </c>
      <c r="O453" s="8" t="str">
        <f aca="false">IF(L453="","",IFERROR(INDEX(Catalogo_TIMSS!$C$5:$C$105,MATCH(L453,Catalogo_TIMSS!$A$5:$A$105,0)),"?"))</f>
        <v/>
      </c>
      <c r="P453" s="8" t="s">
        <v>460</v>
      </c>
      <c r="Q453" s="27" t="s">
        <v>2257</v>
      </c>
      <c r="R453" s="27" t="s">
        <v>2258</v>
      </c>
      <c r="S453" s="28" t="n">
        <f aca="false">IFERROR(ISNUMBER(SEARCH("Conocer",$R453))/(ISNUMBER(SEARCH("Conocer",$R453))+ISNUMBER(SEARCH("Aplicar",$R453))+ISNUMBER(SEARCH("Razonar",$R453))),0)</f>
        <v>0</v>
      </c>
      <c r="T453" s="28" t="n">
        <f aca="false">IFERROR(ISNUMBER(SEARCH("Aplicar",$R453))/(ISNUMBER(SEARCH("Conocer",$R453))+ISNUMBER(SEARCH("Aplicar",$R453))+ISNUMBER(SEARCH("Razonar",$R453))),0)</f>
        <v>0.5</v>
      </c>
      <c r="U453" s="28" t="n">
        <f aca="false">IFERROR(ISNUMBER(SEARCH("Razonar",$R453))/(ISNUMBER(SEARCH("Conocer",$R453))+ISNUMBER(SEARCH("Aplicar",$R453))+ISNUMBER(SEARCH("Razonar",$R453))),0)</f>
        <v>0.5</v>
      </c>
      <c r="V453" s="8" t="s">
        <v>52</v>
      </c>
      <c r="W453" s="8" t="s">
        <v>67</v>
      </c>
    </row>
    <row r="454" customFormat="false" ht="15" hidden="false" customHeight="false" outlineLevel="0" collapsed="false">
      <c r="A454" s="8" t="s">
        <v>2259</v>
      </c>
      <c r="B454" s="8" t="n">
        <v>8</v>
      </c>
      <c r="C454" s="8" t="s">
        <v>411</v>
      </c>
      <c r="D454" s="8" t="s">
        <v>2218</v>
      </c>
      <c r="E454" s="8" t="s">
        <v>2219</v>
      </c>
      <c r="F454" s="8" t="n">
        <v>13</v>
      </c>
      <c r="G454" s="8" t="s">
        <v>2220</v>
      </c>
      <c r="H454" s="8" t="s">
        <v>2255</v>
      </c>
      <c r="I454" s="27" t="s">
        <v>2260</v>
      </c>
      <c r="J454" s="8" t="s">
        <v>185</v>
      </c>
      <c r="K454" s="8" t="s">
        <v>261</v>
      </c>
      <c r="L454" s="8"/>
      <c r="M454" s="8" t="str">
        <f aca="false">IF(K454="FUERA","Fuera del marco",IF(K454="N/A","Sin marco",IFERROR(INDEX(Catalogo_TIMSS!$C$5:$C$105,MATCH(K454,Catalogo_TIMSS!$A$5:$A$105,0)),"Pendiente de clasificar")))</f>
        <v>Física</v>
      </c>
      <c r="N454" s="8" t="str">
        <f aca="false">IF(K454="FUERA","Fuera del marco",IF(K454="N/A","Sin marco",IFERROR(INDEX(Catalogo_TIMSS!$F$5:$F$105,MATCH(K454,Catalogo_TIMSS!$A$5:$A$105,0)),"Pendiente de clasificar")))</f>
        <v>Movimiento y fuerzas</v>
      </c>
      <c r="O454" s="8" t="str">
        <f aca="false">IF(L454="","",IFERROR(INDEX(Catalogo_TIMSS!$C$5:$C$105,MATCH(L454,Catalogo_TIMSS!$A$5:$A$105,0)),"?"))</f>
        <v/>
      </c>
      <c r="P454" s="8" t="s">
        <v>460</v>
      </c>
      <c r="Q454" s="27" t="s">
        <v>2261</v>
      </c>
      <c r="R454" s="27" t="s">
        <v>1347</v>
      </c>
      <c r="S454" s="28" t="n">
        <f aca="false">IFERROR(ISNUMBER(SEARCH("Conocer",$R454))/(ISNUMBER(SEARCH("Conocer",$R454))+ISNUMBER(SEARCH("Aplicar",$R454))+ISNUMBER(SEARCH("Razonar",$R454))),0)</f>
        <v>0</v>
      </c>
      <c r="T454" s="28" t="n">
        <f aca="false">IFERROR(ISNUMBER(SEARCH("Aplicar",$R454))/(ISNUMBER(SEARCH("Conocer",$R454))+ISNUMBER(SEARCH("Aplicar",$R454))+ISNUMBER(SEARCH("Razonar",$R454))),0)</f>
        <v>1</v>
      </c>
      <c r="U454" s="28" t="n">
        <f aca="false">IFERROR(ISNUMBER(SEARCH("Razonar",$R454))/(ISNUMBER(SEARCH("Conocer",$R454))+ISNUMBER(SEARCH("Aplicar",$R454))+ISNUMBER(SEARCH("Razonar",$R454))),0)</f>
        <v>0</v>
      </c>
      <c r="V454" s="8" t="s">
        <v>52</v>
      </c>
      <c r="W454" s="8" t="s">
        <v>67</v>
      </c>
    </row>
    <row r="455" customFormat="false" ht="15" hidden="false" customHeight="false" outlineLevel="0" collapsed="false">
      <c r="A455" s="8" t="s">
        <v>2262</v>
      </c>
      <c r="B455" s="8" t="n">
        <v>8</v>
      </c>
      <c r="C455" s="8" t="s">
        <v>411</v>
      </c>
      <c r="D455" s="8" t="s">
        <v>2218</v>
      </c>
      <c r="E455" s="8" t="s">
        <v>2219</v>
      </c>
      <c r="F455" s="8" t="n">
        <v>14</v>
      </c>
      <c r="G455" s="8" t="s">
        <v>2220</v>
      </c>
      <c r="H455" s="8" t="s">
        <v>2263</v>
      </c>
      <c r="I455" s="27" t="s">
        <v>2264</v>
      </c>
      <c r="J455" s="8" t="s">
        <v>185</v>
      </c>
      <c r="K455" s="8" t="s">
        <v>266</v>
      </c>
      <c r="L455" s="8" t="s">
        <v>264</v>
      </c>
      <c r="M455" s="8" t="str">
        <f aca="false">IF(K455="FUERA","Fuera del marco",IF(K455="N/A","Sin marco",IFERROR(INDEX(Catalogo_TIMSS!$C$5:$C$105,MATCH(K455,Catalogo_TIMSS!$A$5:$A$105,0)),"Pendiente de clasificar")))</f>
        <v>Física</v>
      </c>
      <c r="N455" s="8" t="str">
        <f aca="false">IF(K455="FUERA","Fuera del marco",IF(K455="N/A","Sin marco",IFERROR(INDEX(Catalogo_TIMSS!$F$5:$F$105,MATCH(K455,Catalogo_TIMSS!$A$5:$A$105,0)),"Pendiente de clasificar")))</f>
        <v>Movimiento y fuerzas</v>
      </c>
      <c r="O455" s="8" t="str">
        <f aca="false">IF(L455="","",IFERROR(INDEX(Catalogo_TIMSS!$C$5:$C$105,MATCH(L455,Catalogo_TIMSS!$A$5:$A$105,0)),"?"))</f>
        <v>Física</v>
      </c>
      <c r="P455" s="8" t="s">
        <v>460</v>
      </c>
      <c r="Q455" s="27" t="s">
        <v>2265</v>
      </c>
      <c r="R455" s="27" t="s">
        <v>1718</v>
      </c>
      <c r="S455" s="28" t="n">
        <f aca="false">IFERROR(ISNUMBER(SEARCH("Conocer",$R455))/(ISNUMBER(SEARCH("Conocer",$R455))+ISNUMBER(SEARCH("Aplicar",$R455))+ISNUMBER(SEARCH("Razonar",$R455))),0)</f>
        <v>1</v>
      </c>
      <c r="T455" s="28" t="n">
        <f aca="false">IFERROR(ISNUMBER(SEARCH("Aplicar",$R455))/(ISNUMBER(SEARCH("Conocer",$R455))+ISNUMBER(SEARCH("Aplicar",$R455))+ISNUMBER(SEARCH("Razonar",$R455))),0)</f>
        <v>0</v>
      </c>
      <c r="U455" s="28" t="n">
        <f aca="false">IFERROR(ISNUMBER(SEARCH("Razonar",$R455))/(ISNUMBER(SEARCH("Conocer",$R455))+ISNUMBER(SEARCH("Aplicar",$R455))+ISNUMBER(SEARCH("Razonar",$R455))),0)</f>
        <v>0</v>
      </c>
      <c r="V455" s="8" t="s">
        <v>52</v>
      </c>
      <c r="W455" s="8" t="s">
        <v>67</v>
      </c>
    </row>
    <row r="456" customFormat="false" ht="15" hidden="false" customHeight="false" outlineLevel="0" collapsed="false">
      <c r="A456" s="8" t="s">
        <v>2266</v>
      </c>
      <c r="B456" s="8" t="n">
        <v>8</v>
      </c>
      <c r="C456" s="8" t="s">
        <v>411</v>
      </c>
      <c r="D456" s="8" t="s">
        <v>2218</v>
      </c>
      <c r="E456" s="8" t="s">
        <v>2219</v>
      </c>
      <c r="F456" s="8" t="n">
        <v>15</v>
      </c>
      <c r="G456" s="8" t="s">
        <v>2220</v>
      </c>
      <c r="H456" s="8" t="s">
        <v>2263</v>
      </c>
      <c r="I456" s="27" t="s">
        <v>2267</v>
      </c>
      <c r="J456" s="8" t="s">
        <v>185</v>
      </c>
      <c r="K456" s="8" t="s">
        <v>266</v>
      </c>
      <c r="L456" s="8"/>
      <c r="M456" s="8" t="str">
        <f aca="false">IF(K456="FUERA","Fuera del marco",IF(K456="N/A","Sin marco",IFERROR(INDEX(Catalogo_TIMSS!$C$5:$C$105,MATCH(K456,Catalogo_TIMSS!$A$5:$A$105,0)),"Pendiente de clasificar")))</f>
        <v>Física</v>
      </c>
      <c r="N456" s="8" t="str">
        <f aca="false">IF(K456="FUERA","Fuera del marco",IF(K456="N/A","Sin marco",IFERROR(INDEX(Catalogo_TIMSS!$F$5:$F$105,MATCH(K456,Catalogo_TIMSS!$A$5:$A$105,0)),"Pendiente de clasificar")))</f>
        <v>Movimiento y fuerzas</v>
      </c>
      <c r="O456" s="8" t="str">
        <f aca="false">IF(L456="","",IFERROR(INDEX(Catalogo_TIMSS!$C$5:$C$105,MATCH(L456,Catalogo_TIMSS!$A$5:$A$105,0)),"?"))</f>
        <v/>
      </c>
      <c r="P456" s="8" t="s">
        <v>460</v>
      </c>
      <c r="Q456" s="27" t="s">
        <v>2268</v>
      </c>
      <c r="R456" s="27" t="s">
        <v>661</v>
      </c>
      <c r="S456" s="28" t="n">
        <f aca="false">IFERROR(ISNUMBER(SEARCH("Conocer",$R456))/(ISNUMBER(SEARCH("Conocer",$R456))+ISNUMBER(SEARCH("Aplicar",$R456))+ISNUMBER(SEARCH("Razonar",$R456))),0)</f>
        <v>0</v>
      </c>
      <c r="T456" s="28" t="n">
        <f aca="false">IFERROR(ISNUMBER(SEARCH("Aplicar",$R456))/(ISNUMBER(SEARCH("Conocer",$R456))+ISNUMBER(SEARCH("Aplicar",$R456))+ISNUMBER(SEARCH("Razonar",$R456))),0)</f>
        <v>0</v>
      </c>
      <c r="U456" s="28" t="n">
        <f aca="false">IFERROR(ISNUMBER(SEARCH("Razonar",$R456))/(ISNUMBER(SEARCH("Conocer",$R456))+ISNUMBER(SEARCH("Aplicar",$R456))+ISNUMBER(SEARCH("Razonar",$R456))),0)</f>
        <v>1</v>
      </c>
      <c r="V456" s="8" t="s">
        <v>52</v>
      </c>
      <c r="W456" s="8" t="s">
        <v>67</v>
      </c>
    </row>
    <row r="457" customFormat="false" ht="15" hidden="false" customHeight="false" outlineLevel="0" collapsed="false">
      <c r="A457" s="8" t="s">
        <v>2269</v>
      </c>
      <c r="B457" s="8" t="n">
        <v>8</v>
      </c>
      <c r="C457" s="8" t="s">
        <v>411</v>
      </c>
      <c r="D457" s="8" t="s">
        <v>2218</v>
      </c>
      <c r="E457" s="8" t="s">
        <v>2219</v>
      </c>
      <c r="F457" s="8" t="n">
        <v>16</v>
      </c>
      <c r="G457" s="8" t="s">
        <v>2220</v>
      </c>
      <c r="H457" s="8" t="s">
        <v>2263</v>
      </c>
      <c r="I457" s="27" t="s">
        <v>2270</v>
      </c>
      <c r="J457" s="8" t="s">
        <v>185</v>
      </c>
      <c r="K457" s="8" t="s">
        <v>266</v>
      </c>
      <c r="L457" s="8"/>
      <c r="M457" s="8" t="str">
        <f aca="false">IF(K457="FUERA","Fuera del marco",IF(K457="N/A","Sin marco",IFERROR(INDEX(Catalogo_TIMSS!$C$5:$C$105,MATCH(K457,Catalogo_TIMSS!$A$5:$A$105,0)),"Pendiente de clasificar")))</f>
        <v>Física</v>
      </c>
      <c r="N457" s="8" t="str">
        <f aca="false">IF(K457="FUERA","Fuera del marco",IF(K457="N/A","Sin marco",IFERROR(INDEX(Catalogo_TIMSS!$F$5:$F$105,MATCH(K457,Catalogo_TIMSS!$A$5:$A$105,0)),"Pendiente de clasificar")))</f>
        <v>Movimiento y fuerzas</v>
      </c>
      <c r="O457" s="8" t="str">
        <f aca="false">IF(L457="","",IFERROR(INDEX(Catalogo_TIMSS!$C$5:$C$105,MATCH(L457,Catalogo_TIMSS!$A$5:$A$105,0)),"?"))</f>
        <v/>
      </c>
      <c r="P457" s="8" t="s">
        <v>513</v>
      </c>
      <c r="Q457" s="27" t="s">
        <v>2271</v>
      </c>
      <c r="R457" s="27" t="s">
        <v>1408</v>
      </c>
      <c r="S457" s="28" t="n">
        <f aca="false">IFERROR(ISNUMBER(SEARCH("Conocer",$R457))/(ISNUMBER(SEARCH("Conocer",$R457))+ISNUMBER(SEARCH("Aplicar",$R457))+ISNUMBER(SEARCH("Razonar",$R457))),0)</f>
        <v>0</v>
      </c>
      <c r="T457" s="28" t="n">
        <f aca="false">IFERROR(ISNUMBER(SEARCH("Aplicar",$R457))/(ISNUMBER(SEARCH("Conocer",$R457))+ISNUMBER(SEARCH("Aplicar",$R457))+ISNUMBER(SEARCH("Razonar",$R457))),0)</f>
        <v>1</v>
      </c>
      <c r="U457" s="28" t="n">
        <f aca="false">IFERROR(ISNUMBER(SEARCH("Razonar",$R457))/(ISNUMBER(SEARCH("Conocer",$R457))+ISNUMBER(SEARCH("Aplicar",$R457))+ISNUMBER(SEARCH("Razonar",$R457))),0)</f>
        <v>0</v>
      </c>
      <c r="V457" s="8" t="s">
        <v>52</v>
      </c>
      <c r="W457" s="8" t="s">
        <v>67</v>
      </c>
    </row>
    <row r="458" customFormat="false" ht="15" hidden="false" customHeight="false" outlineLevel="0" collapsed="false">
      <c r="A458" s="8" t="s">
        <v>2272</v>
      </c>
      <c r="B458" s="8" t="n">
        <v>8</v>
      </c>
      <c r="C458" s="8" t="s">
        <v>411</v>
      </c>
      <c r="D458" s="8" t="s">
        <v>2218</v>
      </c>
      <c r="E458" s="8" t="s">
        <v>469</v>
      </c>
      <c r="F458" s="8" t="n">
        <v>3</v>
      </c>
      <c r="G458" s="8" t="s">
        <v>2273</v>
      </c>
      <c r="H458" s="8" t="s">
        <v>2274</v>
      </c>
      <c r="I458" s="27" t="s">
        <v>2275</v>
      </c>
      <c r="J458" s="8" t="s">
        <v>185</v>
      </c>
      <c r="K458" s="8" t="s">
        <v>266</v>
      </c>
      <c r="L458" s="8" t="s">
        <v>247</v>
      </c>
      <c r="M458" s="8" t="str">
        <f aca="false">IF(K458="FUERA","Fuera del marco",IF(K458="N/A","Sin marco",IFERROR(INDEX(Catalogo_TIMSS!$C$5:$C$105,MATCH(K458,Catalogo_TIMSS!$A$5:$A$105,0)),"Pendiente de clasificar")))</f>
        <v>Física</v>
      </c>
      <c r="N458" s="8" t="str">
        <f aca="false">IF(K458="FUERA","Fuera del marco",IF(K458="N/A","Sin marco",IFERROR(INDEX(Catalogo_TIMSS!$F$5:$F$105,MATCH(K458,Catalogo_TIMSS!$A$5:$A$105,0)),"Pendiente de clasificar")))</f>
        <v>Movimiento y fuerzas</v>
      </c>
      <c r="O458" s="8" t="str">
        <f aca="false">IF(L458="","",IFERROR(INDEX(Catalogo_TIMSS!$C$5:$C$105,MATCH(L458,Catalogo_TIMSS!$A$5:$A$105,0)),"?"))</f>
        <v>Física</v>
      </c>
      <c r="P458" s="8" t="s">
        <v>418</v>
      </c>
      <c r="Q458" s="27" t="s">
        <v>2276</v>
      </c>
      <c r="R458" s="27" t="s">
        <v>2277</v>
      </c>
      <c r="S458" s="28" t="n">
        <f aca="false">IFERROR(ISNUMBER(SEARCH("Conocer",$R458))/(ISNUMBER(SEARCH("Conocer",$R458))+ISNUMBER(SEARCH("Aplicar",$R458))+ISNUMBER(SEARCH("Razonar",$R458))),0)</f>
        <v>0.5</v>
      </c>
      <c r="T458" s="28" t="n">
        <f aca="false">IFERROR(ISNUMBER(SEARCH("Aplicar",$R458))/(ISNUMBER(SEARCH("Conocer",$R458))+ISNUMBER(SEARCH("Aplicar",$R458))+ISNUMBER(SEARCH("Razonar",$R458))),0)</f>
        <v>0.5</v>
      </c>
      <c r="U458" s="28" t="n">
        <f aca="false">IFERROR(ISNUMBER(SEARCH("Razonar",$R458))/(ISNUMBER(SEARCH("Conocer",$R458))+ISNUMBER(SEARCH("Aplicar",$R458))+ISNUMBER(SEARCH("Razonar",$R458))),0)</f>
        <v>0</v>
      </c>
      <c r="V458" s="8" t="s">
        <v>52</v>
      </c>
      <c r="W458" s="8" t="s">
        <v>67</v>
      </c>
    </row>
    <row r="459" customFormat="false" ht="15" hidden="false" customHeight="false" outlineLevel="0" collapsed="false">
      <c r="A459" s="8" t="s">
        <v>2278</v>
      </c>
      <c r="B459" s="8" t="n">
        <v>8</v>
      </c>
      <c r="C459" s="8" t="s">
        <v>411</v>
      </c>
      <c r="D459" s="8" t="s">
        <v>2218</v>
      </c>
      <c r="E459" s="8" t="s">
        <v>469</v>
      </c>
      <c r="F459" s="8" t="n">
        <v>4</v>
      </c>
      <c r="G459" s="8" t="s">
        <v>2273</v>
      </c>
      <c r="H459" s="8" t="s">
        <v>2274</v>
      </c>
      <c r="I459" s="27" t="s">
        <v>2279</v>
      </c>
      <c r="J459" s="8" t="s">
        <v>185</v>
      </c>
      <c r="K459" s="8" t="s">
        <v>247</v>
      </c>
      <c r="L459" s="8"/>
      <c r="M459" s="8" t="str">
        <f aca="false">IF(K459="FUERA","Fuera del marco",IF(K459="N/A","Sin marco",IFERROR(INDEX(Catalogo_TIMSS!$C$5:$C$105,MATCH(K459,Catalogo_TIMSS!$A$5:$A$105,0)),"Pendiente de clasificar")))</f>
        <v>Física</v>
      </c>
      <c r="N459" s="8" t="str">
        <f aca="false">IF(K459="FUERA","Fuera del marco",IF(K459="N/A","Sin marco",IFERROR(INDEX(Catalogo_TIMSS!$F$5:$F$105,MATCH(K459,Catalogo_TIMSS!$A$5:$A$105,0)),"Pendiente de clasificar")))</f>
        <v>Transformación y transferencia de energía</v>
      </c>
      <c r="O459" s="8" t="str">
        <f aca="false">IF(L459="","",IFERROR(INDEX(Catalogo_TIMSS!$C$5:$C$105,MATCH(L459,Catalogo_TIMSS!$A$5:$A$105,0)),"?"))</f>
        <v/>
      </c>
      <c r="P459" s="8" t="s">
        <v>460</v>
      </c>
      <c r="Q459" s="27" t="s">
        <v>2280</v>
      </c>
      <c r="R459" s="27" t="s">
        <v>2239</v>
      </c>
      <c r="S459" s="28" t="n">
        <f aca="false">IFERROR(ISNUMBER(SEARCH("Conocer",$R459))/(ISNUMBER(SEARCH("Conocer",$R459))+ISNUMBER(SEARCH("Aplicar",$R459))+ISNUMBER(SEARCH("Razonar",$R459))),0)</f>
        <v>0</v>
      </c>
      <c r="T459" s="28" t="n">
        <f aca="false">IFERROR(ISNUMBER(SEARCH("Aplicar",$R459))/(ISNUMBER(SEARCH("Conocer",$R459))+ISNUMBER(SEARCH("Aplicar",$R459))+ISNUMBER(SEARCH("Razonar",$R459))),0)</f>
        <v>1</v>
      </c>
      <c r="U459" s="28" t="n">
        <f aca="false">IFERROR(ISNUMBER(SEARCH("Razonar",$R459))/(ISNUMBER(SEARCH("Conocer",$R459))+ISNUMBER(SEARCH("Aplicar",$R459))+ISNUMBER(SEARCH("Razonar",$R459))),0)</f>
        <v>0</v>
      </c>
      <c r="V459" s="8" t="s">
        <v>52</v>
      </c>
      <c r="W459" s="8" t="s">
        <v>67</v>
      </c>
    </row>
    <row r="460" customFormat="false" ht="15" hidden="false" customHeight="false" outlineLevel="0" collapsed="false">
      <c r="A460" s="8" t="s">
        <v>2281</v>
      </c>
      <c r="B460" s="8" t="n">
        <v>8</v>
      </c>
      <c r="C460" s="8" t="s">
        <v>411</v>
      </c>
      <c r="D460" s="8" t="s">
        <v>2218</v>
      </c>
      <c r="E460" s="8" t="s">
        <v>469</v>
      </c>
      <c r="F460" s="8" t="n">
        <v>5</v>
      </c>
      <c r="G460" s="8" t="s">
        <v>2273</v>
      </c>
      <c r="H460" s="8" t="s">
        <v>2274</v>
      </c>
      <c r="I460" s="27" t="s">
        <v>2282</v>
      </c>
      <c r="J460" s="8" t="s">
        <v>185</v>
      </c>
      <c r="K460" s="8" t="s">
        <v>247</v>
      </c>
      <c r="L460" s="8"/>
      <c r="M460" s="8" t="str">
        <f aca="false">IF(K460="FUERA","Fuera del marco",IF(K460="N/A","Sin marco",IFERROR(INDEX(Catalogo_TIMSS!$C$5:$C$105,MATCH(K460,Catalogo_TIMSS!$A$5:$A$105,0)),"Pendiente de clasificar")))</f>
        <v>Física</v>
      </c>
      <c r="N460" s="8" t="str">
        <f aca="false">IF(K460="FUERA","Fuera del marco",IF(K460="N/A","Sin marco",IFERROR(INDEX(Catalogo_TIMSS!$F$5:$F$105,MATCH(K460,Catalogo_TIMSS!$A$5:$A$105,0)),"Pendiente de clasificar")))</f>
        <v>Transformación y transferencia de energía</v>
      </c>
      <c r="O460" s="8" t="str">
        <f aca="false">IF(L460="","",IFERROR(INDEX(Catalogo_TIMSS!$C$5:$C$105,MATCH(L460,Catalogo_TIMSS!$A$5:$A$105,0)),"?"))</f>
        <v/>
      </c>
      <c r="P460" s="8" t="s">
        <v>460</v>
      </c>
      <c r="Q460" s="27" t="s">
        <v>2283</v>
      </c>
      <c r="R460" s="27" t="s">
        <v>2284</v>
      </c>
      <c r="S460" s="28" t="n">
        <f aca="false">IFERROR(ISNUMBER(SEARCH("Conocer",$R460))/(ISNUMBER(SEARCH("Conocer",$R460))+ISNUMBER(SEARCH("Aplicar",$R460))+ISNUMBER(SEARCH("Razonar",$R460))),0)</f>
        <v>0</v>
      </c>
      <c r="T460" s="28" t="n">
        <f aca="false">IFERROR(ISNUMBER(SEARCH("Aplicar",$R460))/(ISNUMBER(SEARCH("Conocer",$R460))+ISNUMBER(SEARCH("Aplicar",$R460))+ISNUMBER(SEARCH("Razonar",$R460))),0)</f>
        <v>1</v>
      </c>
      <c r="U460" s="28" t="n">
        <f aca="false">IFERROR(ISNUMBER(SEARCH("Razonar",$R460))/(ISNUMBER(SEARCH("Conocer",$R460))+ISNUMBER(SEARCH("Aplicar",$R460))+ISNUMBER(SEARCH("Razonar",$R460))),0)</f>
        <v>0</v>
      </c>
      <c r="V460" s="8" t="s">
        <v>52</v>
      </c>
      <c r="W460" s="8" t="s">
        <v>67</v>
      </c>
    </row>
    <row r="461" customFormat="false" ht="15" hidden="false" customHeight="false" outlineLevel="0" collapsed="false">
      <c r="A461" s="8" t="s">
        <v>2285</v>
      </c>
      <c r="B461" s="8" t="n">
        <v>8</v>
      </c>
      <c r="C461" s="8" t="s">
        <v>411</v>
      </c>
      <c r="D461" s="8" t="s">
        <v>2218</v>
      </c>
      <c r="E461" s="8" t="s">
        <v>469</v>
      </c>
      <c r="F461" s="8" t="n">
        <v>6</v>
      </c>
      <c r="G461" s="8" t="s">
        <v>2273</v>
      </c>
      <c r="H461" s="8" t="s">
        <v>2286</v>
      </c>
      <c r="I461" s="27" t="s">
        <v>2287</v>
      </c>
      <c r="J461" s="8" t="s">
        <v>185</v>
      </c>
      <c r="K461" s="8" t="s">
        <v>247</v>
      </c>
      <c r="L461" s="8"/>
      <c r="M461" s="8" t="str">
        <f aca="false">IF(K461="FUERA","Fuera del marco",IF(K461="N/A","Sin marco",IFERROR(INDEX(Catalogo_TIMSS!$C$5:$C$105,MATCH(K461,Catalogo_TIMSS!$A$5:$A$105,0)),"Pendiente de clasificar")))</f>
        <v>Física</v>
      </c>
      <c r="N461" s="8" t="str">
        <f aca="false">IF(K461="FUERA","Fuera del marco",IF(K461="N/A","Sin marco",IFERROR(INDEX(Catalogo_TIMSS!$F$5:$F$105,MATCH(K461,Catalogo_TIMSS!$A$5:$A$105,0)),"Pendiente de clasificar")))</f>
        <v>Transformación y transferencia de energía</v>
      </c>
      <c r="O461" s="8" t="str">
        <f aca="false">IF(L461="","",IFERROR(INDEX(Catalogo_TIMSS!$C$5:$C$105,MATCH(L461,Catalogo_TIMSS!$A$5:$A$105,0)),"?"))</f>
        <v/>
      </c>
      <c r="P461" s="8" t="s">
        <v>513</v>
      </c>
      <c r="Q461" s="27" t="s">
        <v>2288</v>
      </c>
      <c r="R461" s="27" t="s">
        <v>2289</v>
      </c>
      <c r="S461" s="28" t="n">
        <f aca="false">IFERROR(ISNUMBER(SEARCH("Conocer",$R461))/(ISNUMBER(SEARCH("Conocer",$R461))+ISNUMBER(SEARCH("Aplicar",$R461))+ISNUMBER(SEARCH("Razonar",$R461))),0)</f>
        <v>1</v>
      </c>
      <c r="T461" s="28" t="n">
        <f aca="false">IFERROR(ISNUMBER(SEARCH("Aplicar",$R461))/(ISNUMBER(SEARCH("Conocer",$R461))+ISNUMBER(SEARCH("Aplicar",$R461))+ISNUMBER(SEARCH("Razonar",$R461))),0)</f>
        <v>0</v>
      </c>
      <c r="U461" s="28" t="n">
        <f aca="false">IFERROR(ISNUMBER(SEARCH("Razonar",$R461))/(ISNUMBER(SEARCH("Conocer",$R461))+ISNUMBER(SEARCH("Aplicar",$R461))+ISNUMBER(SEARCH("Razonar",$R461))),0)</f>
        <v>0</v>
      </c>
      <c r="V461" s="8" t="s">
        <v>52</v>
      </c>
      <c r="W461" s="8" t="s">
        <v>67</v>
      </c>
    </row>
    <row r="462" customFormat="false" ht="15" hidden="false" customHeight="false" outlineLevel="0" collapsed="false">
      <c r="A462" s="8" t="s">
        <v>2290</v>
      </c>
      <c r="B462" s="8" t="n">
        <v>8</v>
      </c>
      <c r="C462" s="8" t="s">
        <v>411</v>
      </c>
      <c r="D462" s="8" t="s">
        <v>2218</v>
      </c>
      <c r="E462" s="8" t="s">
        <v>469</v>
      </c>
      <c r="F462" s="8" t="n">
        <v>7</v>
      </c>
      <c r="G462" s="8" t="s">
        <v>2273</v>
      </c>
      <c r="H462" s="8" t="s">
        <v>2286</v>
      </c>
      <c r="I462" s="27" t="s">
        <v>2291</v>
      </c>
      <c r="J462" s="8" t="s">
        <v>185</v>
      </c>
      <c r="K462" s="8" t="s">
        <v>266</v>
      </c>
      <c r="L462" s="8"/>
      <c r="M462" s="8" t="str">
        <f aca="false">IF(K462="FUERA","Fuera del marco",IF(K462="N/A","Sin marco",IFERROR(INDEX(Catalogo_TIMSS!$C$5:$C$105,MATCH(K462,Catalogo_TIMSS!$A$5:$A$105,0)),"Pendiente de clasificar")))</f>
        <v>Física</v>
      </c>
      <c r="N462" s="8" t="str">
        <f aca="false">IF(K462="FUERA","Fuera del marco",IF(K462="N/A","Sin marco",IFERROR(INDEX(Catalogo_TIMSS!$F$5:$F$105,MATCH(K462,Catalogo_TIMSS!$A$5:$A$105,0)),"Pendiente de clasificar")))</f>
        <v>Movimiento y fuerzas</v>
      </c>
      <c r="O462" s="8" t="str">
        <f aca="false">IF(L462="","",IFERROR(INDEX(Catalogo_TIMSS!$C$5:$C$105,MATCH(L462,Catalogo_TIMSS!$A$5:$A$105,0)),"?"))</f>
        <v/>
      </c>
      <c r="P462" s="8" t="s">
        <v>513</v>
      </c>
      <c r="Q462" s="27" t="s">
        <v>2292</v>
      </c>
      <c r="R462" s="27" t="s">
        <v>462</v>
      </c>
      <c r="S462" s="28" t="n">
        <f aca="false">IFERROR(ISNUMBER(SEARCH("Conocer",$R462))/(ISNUMBER(SEARCH("Conocer",$R462))+ISNUMBER(SEARCH("Aplicar",$R462))+ISNUMBER(SEARCH("Razonar",$R462))),0)</f>
        <v>0</v>
      </c>
      <c r="T462" s="28" t="n">
        <f aca="false">IFERROR(ISNUMBER(SEARCH("Aplicar",$R462))/(ISNUMBER(SEARCH("Conocer",$R462))+ISNUMBER(SEARCH("Aplicar",$R462))+ISNUMBER(SEARCH("Razonar",$R462))),0)</f>
        <v>0</v>
      </c>
      <c r="U462" s="28" t="n">
        <f aca="false">IFERROR(ISNUMBER(SEARCH("Razonar",$R462))/(ISNUMBER(SEARCH("Conocer",$R462))+ISNUMBER(SEARCH("Aplicar",$R462))+ISNUMBER(SEARCH("Razonar",$R462))),0)</f>
        <v>1</v>
      </c>
      <c r="V462" s="8" t="s">
        <v>52</v>
      </c>
      <c r="W462" s="8" t="s">
        <v>67</v>
      </c>
    </row>
    <row r="463" customFormat="false" ht="15" hidden="false" customHeight="false" outlineLevel="0" collapsed="false">
      <c r="A463" s="8" t="s">
        <v>2293</v>
      </c>
      <c r="B463" s="8" t="n">
        <v>8</v>
      </c>
      <c r="C463" s="8" t="s">
        <v>411</v>
      </c>
      <c r="D463" s="8" t="s">
        <v>2218</v>
      </c>
      <c r="E463" s="8" t="s">
        <v>469</v>
      </c>
      <c r="F463" s="8" t="n">
        <v>8</v>
      </c>
      <c r="G463" s="8" t="s">
        <v>2273</v>
      </c>
      <c r="H463" s="8" t="s">
        <v>2286</v>
      </c>
      <c r="I463" s="27" t="s">
        <v>2294</v>
      </c>
      <c r="J463" s="8" t="s">
        <v>185</v>
      </c>
      <c r="K463" s="8" t="s">
        <v>247</v>
      </c>
      <c r="L463" s="8"/>
      <c r="M463" s="8" t="str">
        <f aca="false">IF(K463="FUERA","Fuera del marco",IF(K463="N/A","Sin marco",IFERROR(INDEX(Catalogo_TIMSS!$C$5:$C$105,MATCH(K463,Catalogo_TIMSS!$A$5:$A$105,0)),"Pendiente de clasificar")))</f>
        <v>Física</v>
      </c>
      <c r="N463" s="8" t="str">
        <f aca="false">IF(K463="FUERA","Fuera del marco",IF(K463="N/A","Sin marco",IFERROR(INDEX(Catalogo_TIMSS!$F$5:$F$105,MATCH(K463,Catalogo_TIMSS!$A$5:$A$105,0)),"Pendiente de clasificar")))</f>
        <v>Transformación y transferencia de energía</v>
      </c>
      <c r="O463" s="8" t="str">
        <f aca="false">IF(L463="","",IFERROR(INDEX(Catalogo_TIMSS!$C$5:$C$105,MATCH(L463,Catalogo_TIMSS!$A$5:$A$105,0)),"?"))</f>
        <v/>
      </c>
      <c r="P463" s="8" t="s">
        <v>418</v>
      </c>
      <c r="Q463" s="27" t="s">
        <v>2295</v>
      </c>
      <c r="R463" s="27" t="s">
        <v>1408</v>
      </c>
      <c r="S463" s="28" t="n">
        <f aca="false">IFERROR(ISNUMBER(SEARCH("Conocer",$R463))/(ISNUMBER(SEARCH("Conocer",$R463))+ISNUMBER(SEARCH("Aplicar",$R463))+ISNUMBER(SEARCH("Razonar",$R463))),0)</f>
        <v>0</v>
      </c>
      <c r="T463" s="28" t="n">
        <f aca="false">IFERROR(ISNUMBER(SEARCH("Aplicar",$R463))/(ISNUMBER(SEARCH("Conocer",$R463))+ISNUMBER(SEARCH("Aplicar",$R463))+ISNUMBER(SEARCH("Razonar",$R463))),0)</f>
        <v>1</v>
      </c>
      <c r="U463" s="28" t="n">
        <f aca="false">IFERROR(ISNUMBER(SEARCH("Razonar",$R463))/(ISNUMBER(SEARCH("Conocer",$R463))+ISNUMBER(SEARCH("Aplicar",$R463))+ISNUMBER(SEARCH("Razonar",$R463))),0)</f>
        <v>0</v>
      </c>
      <c r="V463" s="8" t="s">
        <v>52</v>
      </c>
      <c r="W463" s="8" t="s">
        <v>67</v>
      </c>
    </row>
    <row r="464" customFormat="false" ht="15" hidden="false" customHeight="false" outlineLevel="0" collapsed="false">
      <c r="A464" s="8" t="s">
        <v>2296</v>
      </c>
      <c r="B464" s="8" t="n">
        <v>8</v>
      </c>
      <c r="C464" s="8" t="s">
        <v>411</v>
      </c>
      <c r="D464" s="8" t="s">
        <v>2218</v>
      </c>
      <c r="E464" s="8" t="s">
        <v>469</v>
      </c>
      <c r="F464" s="8" t="n">
        <v>9</v>
      </c>
      <c r="G464" s="8" t="s">
        <v>2273</v>
      </c>
      <c r="H464" s="8" t="s">
        <v>2297</v>
      </c>
      <c r="I464" s="27" t="s">
        <v>2298</v>
      </c>
      <c r="J464" s="8" t="s">
        <v>185</v>
      </c>
      <c r="K464" s="8" t="s">
        <v>247</v>
      </c>
      <c r="L464" s="8"/>
      <c r="M464" s="8" t="str">
        <f aca="false">IF(K464="FUERA","Fuera del marco",IF(K464="N/A","Sin marco",IFERROR(INDEX(Catalogo_TIMSS!$C$5:$C$105,MATCH(K464,Catalogo_TIMSS!$A$5:$A$105,0)),"Pendiente de clasificar")))</f>
        <v>Física</v>
      </c>
      <c r="N464" s="8" t="str">
        <f aca="false">IF(K464="FUERA","Fuera del marco",IF(K464="N/A","Sin marco",IFERROR(INDEX(Catalogo_TIMSS!$F$5:$F$105,MATCH(K464,Catalogo_TIMSS!$A$5:$A$105,0)),"Pendiente de clasificar")))</f>
        <v>Transformación y transferencia de energía</v>
      </c>
      <c r="O464" s="8" t="str">
        <f aca="false">IF(L464="","",IFERROR(INDEX(Catalogo_TIMSS!$C$5:$C$105,MATCH(L464,Catalogo_TIMSS!$A$5:$A$105,0)),"?"))</f>
        <v/>
      </c>
      <c r="P464" s="8" t="s">
        <v>418</v>
      </c>
      <c r="Q464" s="27" t="s">
        <v>301</v>
      </c>
      <c r="R464" s="27" t="s">
        <v>2299</v>
      </c>
      <c r="S464" s="28" t="n">
        <f aca="false">IFERROR(ISNUMBER(SEARCH("Conocer",$R464))/(ISNUMBER(SEARCH("Conocer",$R464))+ISNUMBER(SEARCH("Aplicar",$R464))+ISNUMBER(SEARCH("Razonar",$R464))),0)</f>
        <v>0</v>
      </c>
      <c r="T464" s="28" t="n">
        <f aca="false">IFERROR(ISNUMBER(SEARCH("Aplicar",$R464))/(ISNUMBER(SEARCH("Conocer",$R464))+ISNUMBER(SEARCH("Aplicar",$R464))+ISNUMBER(SEARCH("Razonar",$R464))),0)</f>
        <v>0</v>
      </c>
      <c r="U464" s="28" t="n">
        <f aca="false">IFERROR(ISNUMBER(SEARCH("Razonar",$R464))/(ISNUMBER(SEARCH("Conocer",$R464))+ISNUMBER(SEARCH("Aplicar",$R464))+ISNUMBER(SEARCH("Razonar",$R464))),0)</f>
        <v>1</v>
      </c>
      <c r="V464" s="8" t="s">
        <v>52</v>
      </c>
      <c r="W464" s="8" t="s">
        <v>67</v>
      </c>
    </row>
    <row r="465" customFormat="false" ht="15" hidden="false" customHeight="false" outlineLevel="0" collapsed="false">
      <c r="A465" s="8" t="s">
        <v>2300</v>
      </c>
      <c r="B465" s="8" t="n">
        <v>8</v>
      </c>
      <c r="C465" s="8" t="s">
        <v>411</v>
      </c>
      <c r="D465" s="8" t="s">
        <v>2218</v>
      </c>
      <c r="E465" s="8" t="s">
        <v>469</v>
      </c>
      <c r="F465" s="8" t="n">
        <v>10</v>
      </c>
      <c r="G465" s="8" t="s">
        <v>2273</v>
      </c>
      <c r="H465" s="8" t="s">
        <v>2297</v>
      </c>
      <c r="I465" s="27" t="s">
        <v>2301</v>
      </c>
      <c r="J465" s="8" t="s">
        <v>185</v>
      </c>
      <c r="K465" s="8" t="s">
        <v>247</v>
      </c>
      <c r="L465" s="8"/>
      <c r="M465" s="8" t="str">
        <f aca="false">IF(K465="FUERA","Fuera del marco",IF(K465="N/A","Sin marco",IFERROR(INDEX(Catalogo_TIMSS!$C$5:$C$105,MATCH(K465,Catalogo_TIMSS!$A$5:$A$105,0)),"Pendiente de clasificar")))</f>
        <v>Física</v>
      </c>
      <c r="N465" s="8" t="str">
        <f aca="false">IF(K465="FUERA","Fuera del marco",IF(K465="N/A","Sin marco",IFERROR(INDEX(Catalogo_TIMSS!$F$5:$F$105,MATCH(K465,Catalogo_TIMSS!$A$5:$A$105,0)),"Pendiente de clasificar")))</f>
        <v>Transformación y transferencia de energía</v>
      </c>
      <c r="O465" s="8" t="str">
        <f aca="false">IF(L465="","",IFERROR(INDEX(Catalogo_TIMSS!$C$5:$C$105,MATCH(L465,Catalogo_TIMSS!$A$5:$A$105,0)),"?"))</f>
        <v/>
      </c>
      <c r="P465" s="8" t="s">
        <v>418</v>
      </c>
      <c r="Q465" s="27" t="s">
        <v>2302</v>
      </c>
      <c r="R465" s="27" t="s">
        <v>1126</v>
      </c>
      <c r="S465" s="28" t="n">
        <f aca="false">IFERROR(ISNUMBER(SEARCH("Conocer",$R465))/(ISNUMBER(SEARCH("Conocer",$R465))+ISNUMBER(SEARCH("Aplicar",$R465))+ISNUMBER(SEARCH("Razonar",$R465))),0)</f>
        <v>0</v>
      </c>
      <c r="T465" s="28" t="n">
        <f aca="false">IFERROR(ISNUMBER(SEARCH("Aplicar",$R465))/(ISNUMBER(SEARCH("Conocer",$R465))+ISNUMBER(SEARCH("Aplicar",$R465))+ISNUMBER(SEARCH("Razonar",$R465))),0)</f>
        <v>1</v>
      </c>
      <c r="U465" s="28" t="n">
        <f aca="false">IFERROR(ISNUMBER(SEARCH("Razonar",$R465))/(ISNUMBER(SEARCH("Conocer",$R465))+ISNUMBER(SEARCH("Aplicar",$R465))+ISNUMBER(SEARCH("Razonar",$R465))),0)</f>
        <v>0</v>
      </c>
      <c r="V465" s="8" t="s">
        <v>52</v>
      </c>
      <c r="W465" s="8" t="s">
        <v>67</v>
      </c>
    </row>
    <row r="466" customFormat="false" ht="15" hidden="false" customHeight="false" outlineLevel="0" collapsed="false">
      <c r="A466" s="8" t="s">
        <v>2303</v>
      </c>
      <c r="B466" s="8" t="n">
        <v>8</v>
      </c>
      <c r="C466" s="8" t="s">
        <v>411</v>
      </c>
      <c r="D466" s="8" t="s">
        <v>2218</v>
      </c>
      <c r="E466" s="8" t="s">
        <v>469</v>
      </c>
      <c r="F466" s="8" t="n">
        <v>11</v>
      </c>
      <c r="G466" s="8" t="s">
        <v>2273</v>
      </c>
      <c r="H466" s="8" t="s">
        <v>2304</v>
      </c>
      <c r="I466" s="27" t="s">
        <v>2305</v>
      </c>
      <c r="J466" s="8" t="s">
        <v>185</v>
      </c>
      <c r="K466" s="8" t="s">
        <v>247</v>
      </c>
      <c r="L466" s="8" t="s">
        <v>266</v>
      </c>
      <c r="M466" s="8" t="str">
        <f aca="false">IF(K466="FUERA","Fuera del marco",IF(K466="N/A","Sin marco",IFERROR(INDEX(Catalogo_TIMSS!$C$5:$C$105,MATCH(K466,Catalogo_TIMSS!$A$5:$A$105,0)),"Pendiente de clasificar")))</f>
        <v>Física</v>
      </c>
      <c r="N466" s="8" t="str">
        <f aca="false">IF(K466="FUERA","Fuera del marco",IF(K466="N/A","Sin marco",IFERROR(INDEX(Catalogo_TIMSS!$F$5:$F$105,MATCH(K466,Catalogo_TIMSS!$A$5:$A$105,0)),"Pendiente de clasificar")))</f>
        <v>Transformación y transferencia de energía</v>
      </c>
      <c r="O466" s="8" t="str">
        <f aca="false">IF(L466="","",IFERROR(INDEX(Catalogo_TIMSS!$C$5:$C$105,MATCH(L466,Catalogo_TIMSS!$A$5:$A$105,0)),"?"))</f>
        <v>Física</v>
      </c>
      <c r="P466" s="8" t="s">
        <v>460</v>
      </c>
      <c r="Q466" s="27" t="s">
        <v>2306</v>
      </c>
      <c r="R466" s="27" t="s">
        <v>2307</v>
      </c>
      <c r="S466" s="28" t="n">
        <f aca="false">IFERROR(ISNUMBER(SEARCH("Conocer",$R466))/(ISNUMBER(SEARCH("Conocer",$R466))+ISNUMBER(SEARCH("Aplicar",$R466))+ISNUMBER(SEARCH("Razonar",$R466))),0)</f>
        <v>0.5</v>
      </c>
      <c r="T466" s="28" t="n">
        <f aca="false">IFERROR(ISNUMBER(SEARCH("Aplicar",$R466))/(ISNUMBER(SEARCH("Conocer",$R466))+ISNUMBER(SEARCH("Aplicar",$R466))+ISNUMBER(SEARCH("Razonar",$R466))),0)</f>
        <v>0.5</v>
      </c>
      <c r="U466" s="28" t="n">
        <f aca="false">IFERROR(ISNUMBER(SEARCH("Razonar",$R466))/(ISNUMBER(SEARCH("Conocer",$R466))+ISNUMBER(SEARCH("Aplicar",$R466))+ISNUMBER(SEARCH("Razonar",$R466))),0)</f>
        <v>0</v>
      </c>
      <c r="V466" s="8" t="s">
        <v>52</v>
      </c>
      <c r="W466" s="8" t="s">
        <v>67</v>
      </c>
    </row>
    <row r="467" customFormat="false" ht="15" hidden="false" customHeight="false" outlineLevel="0" collapsed="false">
      <c r="A467" s="8" t="s">
        <v>2308</v>
      </c>
      <c r="B467" s="8" t="n">
        <v>8</v>
      </c>
      <c r="C467" s="8" t="s">
        <v>411</v>
      </c>
      <c r="D467" s="8" t="s">
        <v>2218</v>
      </c>
      <c r="E467" s="8" t="s">
        <v>469</v>
      </c>
      <c r="F467" s="8" t="n">
        <v>12</v>
      </c>
      <c r="G467" s="8" t="s">
        <v>2273</v>
      </c>
      <c r="H467" s="8" t="s">
        <v>2304</v>
      </c>
      <c r="I467" s="27" t="s">
        <v>2309</v>
      </c>
      <c r="J467" s="8" t="s">
        <v>185</v>
      </c>
      <c r="K467" s="8" t="s">
        <v>247</v>
      </c>
      <c r="L467" s="8"/>
      <c r="M467" s="8" t="str">
        <f aca="false">IF(K467="FUERA","Fuera del marco",IF(K467="N/A","Sin marco",IFERROR(INDEX(Catalogo_TIMSS!$C$5:$C$105,MATCH(K467,Catalogo_TIMSS!$A$5:$A$105,0)),"Pendiente de clasificar")))</f>
        <v>Física</v>
      </c>
      <c r="N467" s="8" t="str">
        <f aca="false">IF(K467="FUERA","Fuera del marco",IF(K467="N/A","Sin marco",IFERROR(INDEX(Catalogo_TIMSS!$F$5:$F$105,MATCH(K467,Catalogo_TIMSS!$A$5:$A$105,0)),"Pendiente de clasificar")))</f>
        <v>Transformación y transferencia de energía</v>
      </c>
      <c r="O467" s="8" t="str">
        <f aca="false">IF(L467="","",IFERROR(INDEX(Catalogo_TIMSS!$C$5:$C$105,MATCH(L467,Catalogo_TIMSS!$A$5:$A$105,0)),"?"))</f>
        <v/>
      </c>
      <c r="P467" s="8" t="s">
        <v>513</v>
      </c>
      <c r="Q467" s="27" t="s">
        <v>2310</v>
      </c>
      <c r="R467" s="27" t="s">
        <v>1347</v>
      </c>
      <c r="S467" s="28" t="n">
        <f aca="false">IFERROR(ISNUMBER(SEARCH("Conocer",$R467))/(ISNUMBER(SEARCH("Conocer",$R467))+ISNUMBER(SEARCH("Aplicar",$R467))+ISNUMBER(SEARCH("Razonar",$R467))),0)</f>
        <v>0</v>
      </c>
      <c r="T467" s="28" t="n">
        <f aca="false">IFERROR(ISNUMBER(SEARCH("Aplicar",$R467))/(ISNUMBER(SEARCH("Conocer",$R467))+ISNUMBER(SEARCH("Aplicar",$R467))+ISNUMBER(SEARCH("Razonar",$R467))),0)</f>
        <v>1</v>
      </c>
      <c r="U467" s="28" t="n">
        <f aca="false">IFERROR(ISNUMBER(SEARCH("Razonar",$R467))/(ISNUMBER(SEARCH("Conocer",$R467))+ISNUMBER(SEARCH("Aplicar",$R467))+ISNUMBER(SEARCH("Razonar",$R467))),0)</f>
        <v>0</v>
      </c>
      <c r="V467" s="8" t="s">
        <v>52</v>
      </c>
      <c r="W467" s="8" t="s">
        <v>67</v>
      </c>
    </row>
    <row r="468" customFormat="false" ht="15" hidden="false" customHeight="false" outlineLevel="0" collapsed="false">
      <c r="A468" s="8" t="s">
        <v>2311</v>
      </c>
      <c r="B468" s="8" t="n">
        <v>8</v>
      </c>
      <c r="C468" s="8" t="s">
        <v>411</v>
      </c>
      <c r="D468" s="8" t="s">
        <v>2218</v>
      </c>
      <c r="E468" s="8" t="s">
        <v>469</v>
      </c>
      <c r="F468" s="8" t="n">
        <v>13</v>
      </c>
      <c r="G468" s="8" t="s">
        <v>2273</v>
      </c>
      <c r="H468" s="8" t="s">
        <v>2304</v>
      </c>
      <c r="I468" s="27" t="s">
        <v>2312</v>
      </c>
      <c r="J468" s="8" t="s">
        <v>185</v>
      </c>
      <c r="K468" s="8" t="s">
        <v>247</v>
      </c>
      <c r="L468" s="8"/>
      <c r="M468" s="8" t="str">
        <f aca="false">IF(K468="FUERA","Fuera del marco",IF(K468="N/A","Sin marco",IFERROR(INDEX(Catalogo_TIMSS!$C$5:$C$105,MATCH(K468,Catalogo_TIMSS!$A$5:$A$105,0)),"Pendiente de clasificar")))</f>
        <v>Física</v>
      </c>
      <c r="N468" s="8" t="str">
        <f aca="false">IF(K468="FUERA","Fuera del marco",IF(K468="N/A","Sin marco",IFERROR(INDEX(Catalogo_TIMSS!$F$5:$F$105,MATCH(K468,Catalogo_TIMSS!$A$5:$A$105,0)),"Pendiente de clasificar")))</f>
        <v>Transformación y transferencia de energía</v>
      </c>
      <c r="O468" s="8" t="str">
        <f aca="false">IF(L468="","",IFERROR(INDEX(Catalogo_TIMSS!$C$5:$C$105,MATCH(L468,Catalogo_TIMSS!$A$5:$A$105,0)),"?"))</f>
        <v/>
      </c>
      <c r="P468" s="8" t="s">
        <v>513</v>
      </c>
      <c r="Q468" s="27" t="s">
        <v>2313</v>
      </c>
      <c r="R468" s="27" t="s">
        <v>2239</v>
      </c>
      <c r="S468" s="28" t="n">
        <f aca="false">IFERROR(ISNUMBER(SEARCH("Conocer",$R468))/(ISNUMBER(SEARCH("Conocer",$R468))+ISNUMBER(SEARCH("Aplicar",$R468))+ISNUMBER(SEARCH("Razonar",$R468))),0)</f>
        <v>0</v>
      </c>
      <c r="T468" s="28" t="n">
        <f aca="false">IFERROR(ISNUMBER(SEARCH("Aplicar",$R468))/(ISNUMBER(SEARCH("Conocer",$R468))+ISNUMBER(SEARCH("Aplicar",$R468))+ISNUMBER(SEARCH("Razonar",$R468))),0)</f>
        <v>1</v>
      </c>
      <c r="U468" s="28" t="n">
        <f aca="false">IFERROR(ISNUMBER(SEARCH("Razonar",$R468))/(ISNUMBER(SEARCH("Conocer",$R468))+ISNUMBER(SEARCH("Aplicar",$R468))+ISNUMBER(SEARCH("Razonar",$R468))),0)</f>
        <v>0</v>
      </c>
      <c r="V468" s="8" t="s">
        <v>52</v>
      </c>
      <c r="W468" s="8" t="s">
        <v>67</v>
      </c>
    </row>
    <row r="469" customFormat="false" ht="15" hidden="false" customHeight="false" outlineLevel="0" collapsed="false">
      <c r="A469" s="8" t="s">
        <v>2314</v>
      </c>
      <c r="B469" s="8" t="n">
        <v>8</v>
      </c>
      <c r="C469" s="8" t="s">
        <v>411</v>
      </c>
      <c r="D469" s="8" t="s">
        <v>2218</v>
      </c>
      <c r="E469" s="8" t="s">
        <v>2315</v>
      </c>
      <c r="F469" s="8" t="n">
        <v>3</v>
      </c>
      <c r="G469" s="8" t="s">
        <v>2316</v>
      </c>
      <c r="H469" s="8" t="s">
        <v>2317</v>
      </c>
      <c r="I469" s="27" t="s">
        <v>2318</v>
      </c>
      <c r="J469" s="8" t="s">
        <v>185</v>
      </c>
      <c r="K469" s="8" t="s">
        <v>264</v>
      </c>
      <c r="L469" s="8" t="s">
        <v>247</v>
      </c>
      <c r="M469" s="8" t="str">
        <f aca="false">IF(K469="FUERA","Fuera del marco",IF(K469="N/A","Sin marco",IFERROR(INDEX(Catalogo_TIMSS!$C$5:$C$105,MATCH(K469,Catalogo_TIMSS!$A$5:$A$105,0)),"Pendiente de clasificar")))</f>
        <v>Física</v>
      </c>
      <c r="N469" s="8" t="str">
        <f aca="false">IF(K469="FUERA","Fuera del marco",IF(K469="N/A","Sin marco",IFERROR(INDEX(Catalogo_TIMSS!$F$5:$F$105,MATCH(K469,Catalogo_TIMSS!$A$5:$A$105,0)),"Pendiente de clasificar")))</f>
        <v>Movimiento y fuerzas</v>
      </c>
      <c r="O469" s="8" t="str">
        <f aca="false">IF(L469="","",IFERROR(INDEX(Catalogo_TIMSS!$C$5:$C$105,MATCH(L469,Catalogo_TIMSS!$A$5:$A$105,0)),"?"))</f>
        <v>Física</v>
      </c>
      <c r="P469" s="8" t="s">
        <v>460</v>
      </c>
      <c r="Q469" s="27" t="s">
        <v>2319</v>
      </c>
      <c r="R469" s="27" t="s">
        <v>2320</v>
      </c>
      <c r="S469" s="28" t="n">
        <f aca="false">IFERROR(ISNUMBER(SEARCH("Conocer",$R469))/(ISNUMBER(SEARCH("Conocer",$R469))+ISNUMBER(SEARCH("Aplicar",$R469))+ISNUMBER(SEARCH("Razonar",$R469))),0)</f>
        <v>0</v>
      </c>
      <c r="T469" s="28" t="n">
        <f aca="false">IFERROR(ISNUMBER(SEARCH("Aplicar",$R469))/(ISNUMBER(SEARCH("Conocer",$R469))+ISNUMBER(SEARCH("Aplicar",$R469))+ISNUMBER(SEARCH("Razonar",$R469))),0)</f>
        <v>1</v>
      </c>
      <c r="U469" s="28" t="n">
        <f aca="false">IFERROR(ISNUMBER(SEARCH("Razonar",$R469))/(ISNUMBER(SEARCH("Conocer",$R469))+ISNUMBER(SEARCH("Aplicar",$R469))+ISNUMBER(SEARCH("Razonar",$R469))),0)</f>
        <v>0</v>
      </c>
      <c r="V469" s="8" t="s">
        <v>52</v>
      </c>
      <c r="W469" s="8" t="s">
        <v>67</v>
      </c>
    </row>
    <row r="470" customFormat="false" ht="15" hidden="false" customHeight="false" outlineLevel="0" collapsed="false">
      <c r="A470" s="8" t="s">
        <v>2321</v>
      </c>
      <c r="B470" s="8" t="n">
        <v>8</v>
      </c>
      <c r="C470" s="8" t="s">
        <v>411</v>
      </c>
      <c r="D470" s="8" t="s">
        <v>2218</v>
      </c>
      <c r="E470" s="8" t="s">
        <v>2315</v>
      </c>
      <c r="F470" s="8" t="n">
        <v>4</v>
      </c>
      <c r="G470" s="8" t="s">
        <v>2316</v>
      </c>
      <c r="H470" s="8" t="s">
        <v>2317</v>
      </c>
      <c r="I470" s="27" t="s">
        <v>2322</v>
      </c>
      <c r="J470" s="8" t="s">
        <v>185</v>
      </c>
      <c r="K470" s="8" t="s">
        <v>247</v>
      </c>
      <c r="L470" s="8"/>
      <c r="M470" s="8" t="str">
        <f aca="false">IF(K470="FUERA","Fuera del marco",IF(K470="N/A","Sin marco",IFERROR(INDEX(Catalogo_TIMSS!$C$5:$C$105,MATCH(K470,Catalogo_TIMSS!$A$5:$A$105,0)),"Pendiente de clasificar")))</f>
        <v>Física</v>
      </c>
      <c r="N470" s="8" t="str">
        <f aca="false">IF(K470="FUERA","Fuera del marco",IF(K470="N/A","Sin marco",IFERROR(INDEX(Catalogo_TIMSS!$F$5:$F$105,MATCH(K470,Catalogo_TIMSS!$A$5:$A$105,0)),"Pendiente de clasificar")))</f>
        <v>Transformación y transferencia de energía</v>
      </c>
      <c r="O470" s="8" t="str">
        <f aca="false">IF(L470="","",IFERROR(INDEX(Catalogo_TIMSS!$C$5:$C$105,MATCH(L470,Catalogo_TIMSS!$A$5:$A$105,0)),"?"))</f>
        <v/>
      </c>
      <c r="P470" s="8" t="s">
        <v>418</v>
      </c>
      <c r="Q470" s="27" t="s">
        <v>2323</v>
      </c>
      <c r="R470" s="27" t="s">
        <v>1759</v>
      </c>
      <c r="S470" s="28" t="n">
        <f aca="false">IFERROR(ISNUMBER(SEARCH("Conocer",$R470))/(ISNUMBER(SEARCH("Conocer",$R470))+ISNUMBER(SEARCH("Aplicar",$R470))+ISNUMBER(SEARCH("Razonar",$R470))),0)</f>
        <v>0</v>
      </c>
      <c r="T470" s="28" t="n">
        <f aca="false">IFERROR(ISNUMBER(SEARCH("Aplicar",$R470))/(ISNUMBER(SEARCH("Conocer",$R470))+ISNUMBER(SEARCH("Aplicar",$R470))+ISNUMBER(SEARCH("Razonar",$R470))),0)</f>
        <v>0.5</v>
      </c>
      <c r="U470" s="28" t="n">
        <f aca="false">IFERROR(ISNUMBER(SEARCH("Razonar",$R470))/(ISNUMBER(SEARCH("Conocer",$R470))+ISNUMBER(SEARCH("Aplicar",$R470))+ISNUMBER(SEARCH("Razonar",$R470))),0)</f>
        <v>0.5</v>
      </c>
      <c r="V470" s="8" t="s">
        <v>52</v>
      </c>
      <c r="W470" s="8" t="s">
        <v>67</v>
      </c>
    </row>
    <row r="471" customFormat="false" ht="15" hidden="false" customHeight="false" outlineLevel="0" collapsed="false">
      <c r="A471" s="8" t="s">
        <v>2324</v>
      </c>
      <c r="B471" s="8" t="n">
        <v>8</v>
      </c>
      <c r="C471" s="8" t="s">
        <v>411</v>
      </c>
      <c r="D471" s="8" t="s">
        <v>2218</v>
      </c>
      <c r="E471" s="8" t="s">
        <v>2315</v>
      </c>
      <c r="F471" s="8" t="n">
        <v>5</v>
      </c>
      <c r="G471" s="8" t="s">
        <v>2316</v>
      </c>
      <c r="H471" s="8" t="s">
        <v>2317</v>
      </c>
      <c r="I471" s="27" t="s">
        <v>2325</v>
      </c>
      <c r="J471" s="8" t="s">
        <v>185</v>
      </c>
      <c r="K471" s="8" t="s">
        <v>247</v>
      </c>
      <c r="L471" s="8"/>
      <c r="M471" s="8" t="str">
        <f aca="false">IF(K471="FUERA","Fuera del marco",IF(K471="N/A","Sin marco",IFERROR(INDEX(Catalogo_TIMSS!$C$5:$C$105,MATCH(K471,Catalogo_TIMSS!$A$5:$A$105,0)),"Pendiente de clasificar")))</f>
        <v>Física</v>
      </c>
      <c r="N471" s="8" t="str">
        <f aca="false">IF(K471="FUERA","Fuera del marco",IF(K471="N/A","Sin marco",IFERROR(INDEX(Catalogo_TIMSS!$F$5:$F$105,MATCH(K471,Catalogo_TIMSS!$A$5:$A$105,0)),"Pendiente de clasificar")))</f>
        <v>Transformación y transferencia de energía</v>
      </c>
      <c r="O471" s="8" t="str">
        <f aca="false">IF(L471="","",IFERROR(INDEX(Catalogo_TIMSS!$C$5:$C$105,MATCH(L471,Catalogo_TIMSS!$A$5:$A$105,0)),"?"))</f>
        <v/>
      </c>
      <c r="P471" s="8" t="s">
        <v>418</v>
      </c>
      <c r="Q471" s="27" t="s">
        <v>2326</v>
      </c>
      <c r="R471" s="27" t="s">
        <v>1126</v>
      </c>
      <c r="S471" s="28" t="n">
        <f aca="false">IFERROR(ISNUMBER(SEARCH("Conocer",$R471))/(ISNUMBER(SEARCH("Conocer",$R471))+ISNUMBER(SEARCH("Aplicar",$R471))+ISNUMBER(SEARCH("Razonar",$R471))),0)</f>
        <v>0</v>
      </c>
      <c r="T471" s="28" t="n">
        <f aca="false">IFERROR(ISNUMBER(SEARCH("Aplicar",$R471))/(ISNUMBER(SEARCH("Conocer",$R471))+ISNUMBER(SEARCH("Aplicar",$R471))+ISNUMBER(SEARCH("Razonar",$R471))),0)</f>
        <v>1</v>
      </c>
      <c r="U471" s="28" t="n">
        <f aca="false">IFERROR(ISNUMBER(SEARCH("Razonar",$R471))/(ISNUMBER(SEARCH("Conocer",$R471))+ISNUMBER(SEARCH("Aplicar",$R471))+ISNUMBER(SEARCH("Razonar",$R471))),0)</f>
        <v>0</v>
      </c>
      <c r="V471" s="8" t="s">
        <v>52</v>
      </c>
      <c r="W471" s="8" t="s">
        <v>67</v>
      </c>
    </row>
    <row r="472" customFormat="false" ht="15" hidden="false" customHeight="false" outlineLevel="0" collapsed="false">
      <c r="A472" s="8" t="s">
        <v>2327</v>
      </c>
      <c r="B472" s="8" t="n">
        <v>8</v>
      </c>
      <c r="C472" s="8" t="s">
        <v>411</v>
      </c>
      <c r="D472" s="8" t="s">
        <v>2218</v>
      </c>
      <c r="E472" s="8" t="s">
        <v>2315</v>
      </c>
      <c r="F472" s="8" t="n">
        <v>6</v>
      </c>
      <c r="G472" s="8" t="s">
        <v>2316</v>
      </c>
      <c r="H472" s="8" t="s">
        <v>2328</v>
      </c>
      <c r="I472" s="27" t="s">
        <v>2329</v>
      </c>
      <c r="J472" s="8" t="s">
        <v>185</v>
      </c>
      <c r="K472" s="8" t="s">
        <v>261</v>
      </c>
      <c r="L472" s="8"/>
      <c r="M472" s="8" t="str">
        <f aca="false">IF(K472="FUERA","Fuera del marco",IF(K472="N/A","Sin marco",IFERROR(INDEX(Catalogo_TIMSS!$C$5:$C$105,MATCH(K472,Catalogo_TIMSS!$A$5:$A$105,0)),"Pendiente de clasificar")))</f>
        <v>Física</v>
      </c>
      <c r="N472" s="8" t="str">
        <f aca="false">IF(K472="FUERA","Fuera del marco",IF(K472="N/A","Sin marco",IFERROR(INDEX(Catalogo_TIMSS!$F$5:$F$105,MATCH(K472,Catalogo_TIMSS!$A$5:$A$105,0)),"Pendiente de clasificar")))</f>
        <v>Movimiento y fuerzas</v>
      </c>
      <c r="O472" s="8" t="str">
        <f aca="false">IF(L472="","",IFERROR(INDEX(Catalogo_TIMSS!$C$5:$C$105,MATCH(L472,Catalogo_TIMSS!$A$5:$A$105,0)),"?"))</f>
        <v/>
      </c>
      <c r="P472" s="8" t="s">
        <v>513</v>
      </c>
      <c r="Q472" s="27" t="s">
        <v>2330</v>
      </c>
      <c r="R472" s="27" t="s">
        <v>2331</v>
      </c>
      <c r="S472" s="28" t="n">
        <f aca="false">IFERROR(ISNUMBER(SEARCH("Conocer",$R472))/(ISNUMBER(SEARCH("Conocer",$R472))+ISNUMBER(SEARCH("Aplicar",$R472))+ISNUMBER(SEARCH("Razonar",$R472))),0)</f>
        <v>0</v>
      </c>
      <c r="T472" s="28" t="n">
        <f aca="false">IFERROR(ISNUMBER(SEARCH("Aplicar",$R472))/(ISNUMBER(SEARCH("Conocer",$R472))+ISNUMBER(SEARCH("Aplicar",$R472))+ISNUMBER(SEARCH("Razonar",$R472))),0)</f>
        <v>0.5</v>
      </c>
      <c r="U472" s="28" t="n">
        <f aca="false">IFERROR(ISNUMBER(SEARCH("Razonar",$R472))/(ISNUMBER(SEARCH("Conocer",$R472))+ISNUMBER(SEARCH("Aplicar",$R472))+ISNUMBER(SEARCH("Razonar",$R472))),0)</f>
        <v>0.5</v>
      </c>
      <c r="V472" s="8" t="s">
        <v>52</v>
      </c>
      <c r="W472" s="8" t="s">
        <v>67</v>
      </c>
    </row>
    <row r="473" customFormat="false" ht="15" hidden="false" customHeight="false" outlineLevel="0" collapsed="false">
      <c r="A473" s="8" t="s">
        <v>2332</v>
      </c>
      <c r="B473" s="8" t="n">
        <v>8</v>
      </c>
      <c r="C473" s="8" t="s">
        <v>411</v>
      </c>
      <c r="D473" s="8" t="s">
        <v>2218</v>
      </c>
      <c r="E473" s="8" t="s">
        <v>2315</v>
      </c>
      <c r="F473" s="8" t="n">
        <v>7</v>
      </c>
      <c r="G473" s="8" t="s">
        <v>2316</v>
      </c>
      <c r="H473" s="8" t="s">
        <v>2328</v>
      </c>
      <c r="I473" s="27" t="s">
        <v>2333</v>
      </c>
      <c r="J473" s="8" t="s">
        <v>185</v>
      </c>
      <c r="K473" s="8" t="s">
        <v>261</v>
      </c>
      <c r="L473" s="8"/>
      <c r="M473" s="8" t="str">
        <f aca="false">IF(K473="FUERA","Fuera del marco",IF(K473="N/A","Sin marco",IFERROR(INDEX(Catalogo_TIMSS!$C$5:$C$105,MATCH(K473,Catalogo_TIMSS!$A$5:$A$105,0)),"Pendiente de clasificar")))</f>
        <v>Física</v>
      </c>
      <c r="N473" s="8" t="str">
        <f aca="false">IF(K473="FUERA","Fuera del marco",IF(K473="N/A","Sin marco",IFERROR(INDEX(Catalogo_TIMSS!$F$5:$F$105,MATCH(K473,Catalogo_TIMSS!$A$5:$A$105,0)),"Pendiente de clasificar")))</f>
        <v>Movimiento y fuerzas</v>
      </c>
      <c r="O473" s="8" t="str">
        <f aca="false">IF(L473="","",IFERROR(INDEX(Catalogo_TIMSS!$C$5:$C$105,MATCH(L473,Catalogo_TIMSS!$A$5:$A$105,0)),"?"))</f>
        <v/>
      </c>
      <c r="P473" s="8" t="s">
        <v>513</v>
      </c>
      <c r="Q473" s="27" t="s">
        <v>2334</v>
      </c>
      <c r="R473" s="27" t="s">
        <v>1408</v>
      </c>
      <c r="S473" s="28" t="n">
        <f aca="false">IFERROR(ISNUMBER(SEARCH("Conocer",$R473))/(ISNUMBER(SEARCH("Conocer",$R473))+ISNUMBER(SEARCH("Aplicar",$R473))+ISNUMBER(SEARCH("Razonar",$R473))),0)</f>
        <v>0</v>
      </c>
      <c r="T473" s="28" t="n">
        <f aca="false">IFERROR(ISNUMBER(SEARCH("Aplicar",$R473))/(ISNUMBER(SEARCH("Conocer",$R473))+ISNUMBER(SEARCH("Aplicar",$R473))+ISNUMBER(SEARCH("Razonar",$R473))),0)</f>
        <v>1</v>
      </c>
      <c r="U473" s="28" t="n">
        <f aca="false">IFERROR(ISNUMBER(SEARCH("Razonar",$R473))/(ISNUMBER(SEARCH("Conocer",$R473))+ISNUMBER(SEARCH("Aplicar",$R473))+ISNUMBER(SEARCH("Razonar",$R473))),0)</f>
        <v>0</v>
      </c>
      <c r="V473" s="8" t="s">
        <v>52</v>
      </c>
      <c r="W473" s="8" t="s">
        <v>67</v>
      </c>
    </row>
    <row r="474" customFormat="false" ht="15" hidden="false" customHeight="false" outlineLevel="0" collapsed="false">
      <c r="A474" s="8" t="s">
        <v>2335</v>
      </c>
      <c r="B474" s="8" t="n">
        <v>8</v>
      </c>
      <c r="C474" s="8" t="s">
        <v>411</v>
      </c>
      <c r="D474" s="8" t="s">
        <v>2218</v>
      </c>
      <c r="E474" s="8" t="s">
        <v>2315</v>
      </c>
      <c r="F474" s="8" t="n">
        <v>8</v>
      </c>
      <c r="G474" s="8" t="s">
        <v>2316</v>
      </c>
      <c r="H474" s="8" t="s">
        <v>2328</v>
      </c>
      <c r="I474" s="27" t="s">
        <v>2336</v>
      </c>
      <c r="J474" s="8" t="s">
        <v>185</v>
      </c>
      <c r="K474" s="8" t="s">
        <v>261</v>
      </c>
      <c r="L474" s="8"/>
      <c r="M474" s="8" t="str">
        <f aca="false">IF(K474="FUERA","Fuera del marco",IF(K474="N/A","Sin marco",IFERROR(INDEX(Catalogo_TIMSS!$C$5:$C$105,MATCH(K474,Catalogo_TIMSS!$A$5:$A$105,0)),"Pendiente de clasificar")))</f>
        <v>Física</v>
      </c>
      <c r="N474" s="8" t="str">
        <f aca="false">IF(K474="FUERA","Fuera del marco",IF(K474="N/A","Sin marco",IFERROR(INDEX(Catalogo_TIMSS!$F$5:$F$105,MATCH(K474,Catalogo_TIMSS!$A$5:$A$105,0)),"Pendiente de clasificar")))</f>
        <v>Movimiento y fuerzas</v>
      </c>
      <c r="O474" s="8" t="str">
        <f aca="false">IF(L474="","",IFERROR(INDEX(Catalogo_TIMSS!$C$5:$C$105,MATCH(L474,Catalogo_TIMSS!$A$5:$A$105,0)),"?"))</f>
        <v/>
      </c>
      <c r="P474" s="8" t="s">
        <v>513</v>
      </c>
      <c r="Q474" s="27" t="s">
        <v>2337</v>
      </c>
      <c r="R474" s="27" t="s">
        <v>661</v>
      </c>
      <c r="S474" s="28" t="n">
        <f aca="false">IFERROR(ISNUMBER(SEARCH("Conocer",$R474))/(ISNUMBER(SEARCH("Conocer",$R474))+ISNUMBER(SEARCH("Aplicar",$R474))+ISNUMBER(SEARCH("Razonar",$R474))),0)</f>
        <v>0</v>
      </c>
      <c r="T474" s="28" t="n">
        <f aca="false">IFERROR(ISNUMBER(SEARCH("Aplicar",$R474))/(ISNUMBER(SEARCH("Conocer",$R474))+ISNUMBER(SEARCH("Aplicar",$R474))+ISNUMBER(SEARCH("Razonar",$R474))),0)</f>
        <v>0</v>
      </c>
      <c r="U474" s="28" t="n">
        <f aca="false">IFERROR(ISNUMBER(SEARCH("Razonar",$R474))/(ISNUMBER(SEARCH("Conocer",$R474))+ISNUMBER(SEARCH("Aplicar",$R474))+ISNUMBER(SEARCH("Razonar",$R474))),0)</f>
        <v>1</v>
      </c>
      <c r="V474" s="8" t="s">
        <v>52</v>
      </c>
      <c r="W474" s="8" t="s">
        <v>67</v>
      </c>
    </row>
    <row r="475" customFormat="false" ht="15" hidden="false" customHeight="false" outlineLevel="0" collapsed="false">
      <c r="A475" s="8" t="s">
        <v>2338</v>
      </c>
      <c r="B475" s="8" t="n">
        <v>8</v>
      </c>
      <c r="C475" s="8" t="s">
        <v>411</v>
      </c>
      <c r="D475" s="8" t="s">
        <v>2218</v>
      </c>
      <c r="E475" s="8" t="s">
        <v>2315</v>
      </c>
      <c r="F475" s="8" t="n">
        <v>9</v>
      </c>
      <c r="G475" s="8" t="s">
        <v>2316</v>
      </c>
      <c r="H475" s="8" t="s">
        <v>2339</v>
      </c>
      <c r="I475" s="27" t="s">
        <v>2340</v>
      </c>
      <c r="J475" s="8" t="s">
        <v>185</v>
      </c>
      <c r="K475" s="8" t="s">
        <v>255</v>
      </c>
      <c r="L475" s="8"/>
      <c r="M475" s="8" t="str">
        <f aca="false">IF(K475="FUERA","Fuera del marco",IF(K475="N/A","Sin marco",IFERROR(INDEX(Catalogo_TIMSS!$C$5:$C$105,MATCH(K475,Catalogo_TIMSS!$A$5:$A$105,0)),"Pendiente de clasificar")))</f>
        <v>Física</v>
      </c>
      <c r="N475" s="8" t="str">
        <f aca="false">IF(K475="FUERA","Fuera del marco",IF(K475="N/A","Sin marco",IFERROR(INDEX(Catalogo_TIMSS!$F$5:$F$105,MATCH(K475,Catalogo_TIMSS!$A$5:$A$105,0)),"Pendiente de clasificar")))</f>
        <v>Luz y sonido</v>
      </c>
      <c r="O475" s="8" t="str">
        <f aca="false">IF(L475="","",IFERROR(INDEX(Catalogo_TIMSS!$C$5:$C$105,MATCH(L475,Catalogo_TIMSS!$A$5:$A$105,0)),"?"))</f>
        <v/>
      </c>
      <c r="P475" s="8" t="s">
        <v>460</v>
      </c>
      <c r="Q475" s="27" t="s">
        <v>2341</v>
      </c>
      <c r="R475" s="27" t="s">
        <v>1464</v>
      </c>
      <c r="S475" s="28" t="n">
        <f aca="false">IFERROR(ISNUMBER(SEARCH("Conocer",$R475))/(ISNUMBER(SEARCH("Conocer",$R475))+ISNUMBER(SEARCH("Aplicar",$R475))+ISNUMBER(SEARCH("Razonar",$R475))),0)</f>
        <v>0</v>
      </c>
      <c r="T475" s="28" t="n">
        <f aca="false">IFERROR(ISNUMBER(SEARCH("Aplicar",$R475))/(ISNUMBER(SEARCH("Conocer",$R475))+ISNUMBER(SEARCH("Aplicar",$R475))+ISNUMBER(SEARCH("Razonar",$R475))),0)</f>
        <v>1</v>
      </c>
      <c r="U475" s="28" t="n">
        <f aca="false">IFERROR(ISNUMBER(SEARCH("Razonar",$R475))/(ISNUMBER(SEARCH("Conocer",$R475))+ISNUMBER(SEARCH("Aplicar",$R475))+ISNUMBER(SEARCH("Razonar",$R475))),0)</f>
        <v>0</v>
      </c>
      <c r="V475" s="8" t="s">
        <v>52</v>
      </c>
      <c r="W475" s="8" t="s">
        <v>67</v>
      </c>
    </row>
    <row r="476" customFormat="false" ht="15" hidden="false" customHeight="false" outlineLevel="0" collapsed="false">
      <c r="A476" s="8" t="s">
        <v>2342</v>
      </c>
      <c r="B476" s="8" t="n">
        <v>8</v>
      </c>
      <c r="C476" s="8" t="s">
        <v>411</v>
      </c>
      <c r="D476" s="8" t="s">
        <v>2218</v>
      </c>
      <c r="E476" s="8" t="s">
        <v>2315</v>
      </c>
      <c r="F476" s="8" t="n">
        <v>10</v>
      </c>
      <c r="G476" s="8" t="s">
        <v>2316</v>
      </c>
      <c r="H476" s="8" t="s">
        <v>2339</v>
      </c>
      <c r="I476" s="27" t="s">
        <v>2343</v>
      </c>
      <c r="J476" s="8" t="s">
        <v>185</v>
      </c>
      <c r="K476" s="8" t="s">
        <v>255</v>
      </c>
      <c r="L476" s="8"/>
      <c r="M476" s="8" t="str">
        <f aca="false">IF(K476="FUERA","Fuera del marco",IF(K476="N/A","Sin marco",IFERROR(INDEX(Catalogo_TIMSS!$C$5:$C$105,MATCH(K476,Catalogo_TIMSS!$A$5:$A$105,0)),"Pendiente de clasificar")))</f>
        <v>Física</v>
      </c>
      <c r="N476" s="8" t="str">
        <f aca="false">IF(K476="FUERA","Fuera del marco",IF(K476="N/A","Sin marco",IFERROR(INDEX(Catalogo_TIMSS!$F$5:$F$105,MATCH(K476,Catalogo_TIMSS!$A$5:$A$105,0)),"Pendiente de clasificar")))</f>
        <v>Luz y sonido</v>
      </c>
      <c r="O476" s="8" t="str">
        <f aca="false">IF(L476="","",IFERROR(INDEX(Catalogo_TIMSS!$C$5:$C$105,MATCH(L476,Catalogo_TIMSS!$A$5:$A$105,0)),"?"))</f>
        <v/>
      </c>
      <c r="P476" s="8" t="s">
        <v>418</v>
      </c>
      <c r="Q476" s="27" t="s">
        <v>2344</v>
      </c>
      <c r="R476" s="27" t="s">
        <v>2345</v>
      </c>
      <c r="S476" s="28" t="n">
        <f aca="false">IFERROR(ISNUMBER(SEARCH("Conocer",$R476))/(ISNUMBER(SEARCH("Conocer",$R476))+ISNUMBER(SEARCH("Aplicar",$R476))+ISNUMBER(SEARCH("Razonar",$R476))),0)</f>
        <v>0</v>
      </c>
      <c r="T476" s="28" t="n">
        <f aca="false">IFERROR(ISNUMBER(SEARCH("Aplicar",$R476))/(ISNUMBER(SEARCH("Conocer",$R476))+ISNUMBER(SEARCH("Aplicar",$R476))+ISNUMBER(SEARCH("Razonar",$R476))),0)</f>
        <v>0.5</v>
      </c>
      <c r="U476" s="28" t="n">
        <f aca="false">IFERROR(ISNUMBER(SEARCH("Razonar",$R476))/(ISNUMBER(SEARCH("Conocer",$R476))+ISNUMBER(SEARCH("Aplicar",$R476))+ISNUMBER(SEARCH("Razonar",$R476))),0)</f>
        <v>0.5</v>
      </c>
      <c r="V476" s="8" t="s">
        <v>52</v>
      </c>
      <c r="W476" s="8" t="s">
        <v>67</v>
      </c>
    </row>
    <row r="477" customFormat="false" ht="15" hidden="false" customHeight="false" outlineLevel="0" collapsed="false">
      <c r="A477" s="8" t="s">
        <v>2346</v>
      </c>
      <c r="B477" s="8" t="n">
        <v>8</v>
      </c>
      <c r="C477" s="8" t="s">
        <v>411</v>
      </c>
      <c r="D477" s="8" t="s">
        <v>2218</v>
      </c>
      <c r="E477" s="8" t="s">
        <v>2315</v>
      </c>
      <c r="F477" s="8" t="n">
        <v>11</v>
      </c>
      <c r="G477" s="8" t="s">
        <v>2316</v>
      </c>
      <c r="H477" s="8" t="s">
        <v>2339</v>
      </c>
      <c r="I477" s="27" t="s">
        <v>2347</v>
      </c>
      <c r="J477" s="8" t="s">
        <v>185</v>
      </c>
      <c r="K477" s="8" t="s">
        <v>255</v>
      </c>
      <c r="L477" s="8"/>
      <c r="M477" s="8" t="str">
        <f aca="false">IF(K477="FUERA","Fuera del marco",IF(K477="N/A","Sin marco",IFERROR(INDEX(Catalogo_TIMSS!$C$5:$C$105,MATCH(K477,Catalogo_TIMSS!$A$5:$A$105,0)),"Pendiente de clasificar")))</f>
        <v>Física</v>
      </c>
      <c r="N477" s="8" t="str">
        <f aca="false">IF(K477="FUERA","Fuera del marco",IF(K477="N/A","Sin marco",IFERROR(INDEX(Catalogo_TIMSS!$F$5:$F$105,MATCH(K477,Catalogo_TIMSS!$A$5:$A$105,0)),"Pendiente de clasificar")))</f>
        <v>Luz y sonido</v>
      </c>
      <c r="O477" s="8" t="str">
        <f aca="false">IF(L477="","",IFERROR(INDEX(Catalogo_TIMSS!$C$5:$C$105,MATCH(L477,Catalogo_TIMSS!$A$5:$A$105,0)),"?"))</f>
        <v/>
      </c>
      <c r="P477" s="8" t="s">
        <v>460</v>
      </c>
      <c r="Q477" s="27" t="s">
        <v>2348</v>
      </c>
      <c r="R477" s="27" t="s">
        <v>2239</v>
      </c>
      <c r="S477" s="28" t="n">
        <f aca="false">IFERROR(ISNUMBER(SEARCH("Conocer",$R477))/(ISNUMBER(SEARCH("Conocer",$R477))+ISNUMBER(SEARCH("Aplicar",$R477))+ISNUMBER(SEARCH("Razonar",$R477))),0)</f>
        <v>0</v>
      </c>
      <c r="T477" s="28" t="n">
        <f aca="false">IFERROR(ISNUMBER(SEARCH("Aplicar",$R477))/(ISNUMBER(SEARCH("Conocer",$R477))+ISNUMBER(SEARCH("Aplicar",$R477))+ISNUMBER(SEARCH("Razonar",$R477))),0)</f>
        <v>1</v>
      </c>
      <c r="U477" s="28" t="n">
        <f aca="false">IFERROR(ISNUMBER(SEARCH("Razonar",$R477))/(ISNUMBER(SEARCH("Conocer",$R477))+ISNUMBER(SEARCH("Aplicar",$R477))+ISNUMBER(SEARCH("Razonar",$R477))),0)</f>
        <v>0</v>
      </c>
      <c r="V477" s="8" t="s">
        <v>52</v>
      </c>
      <c r="W477" s="8" t="s">
        <v>67</v>
      </c>
    </row>
    <row r="478" customFormat="false" ht="15" hidden="false" customHeight="false" outlineLevel="0" collapsed="false">
      <c r="A478" s="8" t="s">
        <v>2349</v>
      </c>
      <c r="B478" s="8" t="n">
        <v>8</v>
      </c>
      <c r="C478" s="8" t="s">
        <v>411</v>
      </c>
      <c r="D478" s="8" t="s">
        <v>2218</v>
      </c>
      <c r="E478" s="8" t="s">
        <v>2315</v>
      </c>
      <c r="F478" s="8" t="n">
        <v>12</v>
      </c>
      <c r="G478" s="8" t="s">
        <v>2316</v>
      </c>
      <c r="H478" s="8" t="s">
        <v>2339</v>
      </c>
      <c r="I478" s="27" t="s">
        <v>2350</v>
      </c>
      <c r="J478" s="8" t="s">
        <v>185</v>
      </c>
      <c r="K478" s="8" t="s">
        <v>255</v>
      </c>
      <c r="L478" s="8"/>
      <c r="M478" s="8" t="str">
        <f aca="false">IF(K478="FUERA","Fuera del marco",IF(K478="N/A","Sin marco",IFERROR(INDEX(Catalogo_TIMSS!$C$5:$C$105,MATCH(K478,Catalogo_TIMSS!$A$5:$A$105,0)),"Pendiente de clasificar")))</f>
        <v>Física</v>
      </c>
      <c r="N478" s="8" t="str">
        <f aca="false">IF(K478="FUERA","Fuera del marco",IF(K478="N/A","Sin marco",IFERROR(INDEX(Catalogo_TIMSS!$F$5:$F$105,MATCH(K478,Catalogo_TIMSS!$A$5:$A$105,0)),"Pendiente de clasificar")))</f>
        <v>Luz y sonido</v>
      </c>
      <c r="O478" s="8" t="str">
        <f aca="false">IF(L478="","",IFERROR(INDEX(Catalogo_TIMSS!$C$5:$C$105,MATCH(L478,Catalogo_TIMSS!$A$5:$A$105,0)),"?"))</f>
        <v/>
      </c>
      <c r="P478" s="8" t="s">
        <v>418</v>
      </c>
      <c r="Q478" s="27" t="s">
        <v>2351</v>
      </c>
      <c r="R478" s="27" t="s">
        <v>1464</v>
      </c>
      <c r="S478" s="28" t="n">
        <f aca="false">IFERROR(ISNUMBER(SEARCH("Conocer",$R478))/(ISNUMBER(SEARCH("Conocer",$R478))+ISNUMBER(SEARCH("Aplicar",$R478))+ISNUMBER(SEARCH("Razonar",$R478))),0)</f>
        <v>0</v>
      </c>
      <c r="T478" s="28" t="n">
        <f aca="false">IFERROR(ISNUMBER(SEARCH("Aplicar",$R478))/(ISNUMBER(SEARCH("Conocer",$R478))+ISNUMBER(SEARCH("Aplicar",$R478))+ISNUMBER(SEARCH("Razonar",$R478))),0)</f>
        <v>1</v>
      </c>
      <c r="U478" s="28" t="n">
        <f aca="false">IFERROR(ISNUMBER(SEARCH("Razonar",$R478))/(ISNUMBER(SEARCH("Conocer",$R478))+ISNUMBER(SEARCH("Aplicar",$R478))+ISNUMBER(SEARCH("Razonar",$R478))),0)</f>
        <v>0</v>
      </c>
      <c r="V478" s="8" t="s">
        <v>52</v>
      </c>
      <c r="W478" s="8" t="s">
        <v>67</v>
      </c>
    </row>
    <row r="479" customFormat="false" ht="15" hidden="false" customHeight="false" outlineLevel="0" collapsed="false">
      <c r="A479" s="8" t="s">
        <v>2352</v>
      </c>
      <c r="B479" s="8" t="n">
        <v>8</v>
      </c>
      <c r="C479" s="8" t="s">
        <v>411</v>
      </c>
      <c r="D479" s="8" t="s">
        <v>2218</v>
      </c>
      <c r="E479" s="8" t="s">
        <v>2315</v>
      </c>
      <c r="F479" s="8" t="n">
        <v>13</v>
      </c>
      <c r="G479" s="8" t="s">
        <v>2316</v>
      </c>
      <c r="H479" s="8" t="s">
        <v>2339</v>
      </c>
      <c r="I479" s="27" t="s">
        <v>2353</v>
      </c>
      <c r="J479" s="8" t="s">
        <v>185</v>
      </c>
      <c r="K479" s="8" t="s">
        <v>255</v>
      </c>
      <c r="L479" s="8"/>
      <c r="M479" s="8" t="str">
        <f aca="false">IF(K479="FUERA","Fuera del marco",IF(K479="N/A","Sin marco",IFERROR(INDEX(Catalogo_TIMSS!$C$5:$C$105,MATCH(K479,Catalogo_TIMSS!$A$5:$A$105,0)),"Pendiente de clasificar")))</f>
        <v>Física</v>
      </c>
      <c r="N479" s="8" t="str">
        <f aca="false">IF(K479="FUERA","Fuera del marco",IF(K479="N/A","Sin marco",IFERROR(INDEX(Catalogo_TIMSS!$F$5:$F$105,MATCH(K479,Catalogo_TIMSS!$A$5:$A$105,0)),"Pendiente de clasificar")))</f>
        <v>Luz y sonido</v>
      </c>
      <c r="O479" s="8" t="str">
        <f aca="false">IF(L479="","",IFERROR(INDEX(Catalogo_TIMSS!$C$5:$C$105,MATCH(L479,Catalogo_TIMSS!$A$5:$A$105,0)),"?"))</f>
        <v/>
      </c>
      <c r="P479" s="8" t="s">
        <v>418</v>
      </c>
      <c r="Q479" s="27" t="s">
        <v>2354</v>
      </c>
      <c r="R479" s="27" t="s">
        <v>2345</v>
      </c>
      <c r="S479" s="28" t="n">
        <f aca="false">IFERROR(ISNUMBER(SEARCH("Conocer",$R479))/(ISNUMBER(SEARCH("Conocer",$R479))+ISNUMBER(SEARCH("Aplicar",$R479))+ISNUMBER(SEARCH("Razonar",$R479))),0)</f>
        <v>0</v>
      </c>
      <c r="T479" s="28" t="n">
        <f aca="false">IFERROR(ISNUMBER(SEARCH("Aplicar",$R479))/(ISNUMBER(SEARCH("Conocer",$R479))+ISNUMBER(SEARCH("Aplicar",$R479))+ISNUMBER(SEARCH("Razonar",$R479))),0)</f>
        <v>0.5</v>
      </c>
      <c r="U479" s="28" t="n">
        <f aca="false">IFERROR(ISNUMBER(SEARCH("Razonar",$R479))/(ISNUMBER(SEARCH("Conocer",$R479))+ISNUMBER(SEARCH("Aplicar",$R479))+ISNUMBER(SEARCH("Razonar",$R479))),0)</f>
        <v>0.5</v>
      </c>
      <c r="V479" s="8" t="s">
        <v>52</v>
      </c>
      <c r="W479" s="8" t="s">
        <v>67</v>
      </c>
    </row>
    <row r="480" customFormat="false" ht="15" hidden="false" customHeight="false" outlineLevel="0" collapsed="false">
      <c r="A480" s="8" t="s">
        <v>2355</v>
      </c>
      <c r="B480" s="8" t="n">
        <v>8</v>
      </c>
      <c r="C480" s="8" t="s">
        <v>411</v>
      </c>
      <c r="D480" s="8" t="s">
        <v>2218</v>
      </c>
      <c r="E480" s="8" t="s">
        <v>2315</v>
      </c>
      <c r="F480" s="8" t="n">
        <v>14</v>
      </c>
      <c r="G480" s="8" t="s">
        <v>2316</v>
      </c>
      <c r="H480" s="8" t="s">
        <v>2339</v>
      </c>
      <c r="I480" s="27" t="s">
        <v>2356</v>
      </c>
      <c r="J480" s="8" t="s">
        <v>185</v>
      </c>
      <c r="K480" s="8" t="s">
        <v>255</v>
      </c>
      <c r="L480" s="8"/>
      <c r="M480" s="8" t="str">
        <f aca="false">IF(K480="FUERA","Fuera del marco",IF(K480="N/A","Sin marco",IFERROR(INDEX(Catalogo_TIMSS!$C$5:$C$105,MATCH(K480,Catalogo_TIMSS!$A$5:$A$105,0)),"Pendiente de clasificar")))</f>
        <v>Física</v>
      </c>
      <c r="N480" s="8" t="str">
        <f aca="false">IF(K480="FUERA","Fuera del marco",IF(K480="N/A","Sin marco",IFERROR(INDEX(Catalogo_TIMSS!$F$5:$F$105,MATCH(K480,Catalogo_TIMSS!$A$5:$A$105,0)),"Pendiente de clasificar")))</f>
        <v>Luz y sonido</v>
      </c>
      <c r="O480" s="8" t="str">
        <f aca="false">IF(L480="","",IFERROR(INDEX(Catalogo_TIMSS!$C$5:$C$105,MATCH(L480,Catalogo_TIMSS!$A$5:$A$105,0)),"?"))</f>
        <v/>
      </c>
      <c r="P480" s="8" t="s">
        <v>460</v>
      </c>
      <c r="Q480" s="27" t="s">
        <v>2357</v>
      </c>
      <c r="R480" s="27" t="s">
        <v>2239</v>
      </c>
      <c r="S480" s="28" t="n">
        <f aca="false">IFERROR(ISNUMBER(SEARCH("Conocer",$R480))/(ISNUMBER(SEARCH("Conocer",$R480))+ISNUMBER(SEARCH("Aplicar",$R480))+ISNUMBER(SEARCH("Razonar",$R480))),0)</f>
        <v>0</v>
      </c>
      <c r="T480" s="28" t="n">
        <f aca="false">IFERROR(ISNUMBER(SEARCH("Aplicar",$R480))/(ISNUMBER(SEARCH("Conocer",$R480))+ISNUMBER(SEARCH("Aplicar",$R480))+ISNUMBER(SEARCH("Razonar",$R480))),0)</f>
        <v>1</v>
      </c>
      <c r="U480" s="28" t="n">
        <f aca="false">IFERROR(ISNUMBER(SEARCH("Razonar",$R480))/(ISNUMBER(SEARCH("Conocer",$R480))+ISNUMBER(SEARCH("Aplicar",$R480))+ISNUMBER(SEARCH("Razonar",$R480))),0)</f>
        <v>0</v>
      </c>
      <c r="V480" s="8" t="s">
        <v>52</v>
      </c>
      <c r="W480" s="8" t="s">
        <v>67</v>
      </c>
    </row>
    <row r="481" customFormat="false" ht="15" hidden="false" customHeight="false" outlineLevel="0" collapsed="false">
      <c r="A481" s="8" t="s">
        <v>2358</v>
      </c>
      <c r="B481" s="8" t="n">
        <v>8</v>
      </c>
      <c r="C481" s="8" t="s">
        <v>411</v>
      </c>
      <c r="D481" s="8" t="s">
        <v>2218</v>
      </c>
      <c r="E481" s="8" t="s">
        <v>2359</v>
      </c>
      <c r="F481" s="8" t="n">
        <v>3</v>
      </c>
      <c r="G481" s="8" t="s">
        <v>2360</v>
      </c>
      <c r="H481" s="8" t="s">
        <v>2361</v>
      </c>
      <c r="I481" s="27" t="s">
        <v>2362</v>
      </c>
      <c r="J481" s="8" t="s">
        <v>185</v>
      </c>
      <c r="K481" s="8" t="s">
        <v>231</v>
      </c>
      <c r="L481" s="8"/>
      <c r="M481" s="8" t="str">
        <f aca="false">IF(K481="FUERA","Fuera del marco",IF(K481="N/A","Sin marco",IFERROR(INDEX(Catalogo_TIMSS!$C$5:$C$105,MATCH(K481,Catalogo_TIMSS!$A$5:$A$105,0)),"Pendiente de clasificar")))</f>
        <v>Química</v>
      </c>
      <c r="N481" s="8" t="str">
        <f aca="false">IF(K481="FUERA","Fuera del marco",IF(K481="N/A","Sin marco",IFERROR(INDEX(Catalogo_TIMSS!$F$5:$F$105,MATCH(K481,Catalogo_TIMSS!$A$5:$A$105,0)),"Pendiente de clasificar")))</f>
        <v>Propiedades de la materia</v>
      </c>
      <c r="O481" s="8" t="str">
        <f aca="false">IF(L481="","",IFERROR(INDEX(Catalogo_TIMSS!$C$5:$C$105,MATCH(L481,Catalogo_TIMSS!$A$5:$A$105,0)),"?"))</f>
        <v/>
      </c>
      <c r="P481" s="8" t="s">
        <v>418</v>
      </c>
      <c r="Q481" s="27" t="s">
        <v>2363</v>
      </c>
      <c r="R481" s="27" t="s">
        <v>1833</v>
      </c>
      <c r="S481" s="28" t="n">
        <f aca="false">IFERROR(ISNUMBER(SEARCH("Conocer",$R481))/(ISNUMBER(SEARCH("Conocer",$R481))+ISNUMBER(SEARCH("Aplicar",$R481))+ISNUMBER(SEARCH("Razonar",$R481))),0)</f>
        <v>1</v>
      </c>
      <c r="T481" s="28" t="n">
        <f aca="false">IFERROR(ISNUMBER(SEARCH("Aplicar",$R481))/(ISNUMBER(SEARCH("Conocer",$R481))+ISNUMBER(SEARCH("Aplicar",$R481))+ISNUMBER(SEARCH("Razonar",$R481))),0)</f>
        <v>0</v>
      </c>
      <c r="U481" s="28" t="n">
        <f aca="false">IFERROR(ISNUMBER(SEARCH("Razonar",$R481))/(ISNUMBER(SEARCH("Conocer",$R481))+ISNUMBER(SEARCH("Aplicar",$R481))+ISNUMBER(SEARCH("Razonar",$R481))),0)</f>
        <v>0</v>
      </c>
      <c r="V481" s="8" t="s">
        <v>52</v>
      </c>
      <c r="W481" s="8" t="s">
        <v>67</v>
      </c>
    </row>
    <row r="482" customFormat="false" ht="15" hidden="false" customHeight="false" outlineLevel="0" collapsed="false">
      <c r="A482" s="8" t="s">
        <v>2364</v>
      </c>
      <c r="B482" s="8" t="n">
        <v>8</v>
      </c>
      <c r="C482" s="8" t="s">
        <v>411</v>
      </c>
      <c r="D482" s="8" t="s">
        <v>2218</v>
      </c>
      <c r="E482" s="8" t="s">
        <v>2359</v>
      </c>
      <c r="F482" s="8" t="n">
        <v>4</v>
      </c>
      <c r="G482" s="8" t="s">
        <v>2360</v>
      </c>
      <c r="H482" s="8" t="s">
        <v>2361</v>
      </c>
      <c r="I482" s="27" t="s">
        <v>2365</v>
      </c>
      <c r="J482" s="8" t="s">
        <v>185</v>
      </c>
      <c r="K482" s="8" t="s">
        <v>231</v>
      </c>
      <c r="L482" s="8"/>
      <c r="M482" s="8" t="str">
        <f aca="false">IF(K482="FUERA","Fuera del marco",IF(K482="N/A","Sin marco",IFERROR(INDEX(Catalogo_TIMSS!$C$5:$C$105,MATCH(K482,Catalogo_TIMSS!$A$5:$A$105,0)),"Pendiente de clasificar")))</f>
        <v>Química</v>
      </c>
      <c r="N482" s="8" t="str">
        <f aca="false">IF(K482="FUERA","Fuera del marco",IF(K482="N/A","Sin marco",IFERROR(INDEX(Catalogo_TIMSS!$F$5:$F$105,MATCH(K482,Catalogo_TIMSS!$A$5:$A$105,0)),"Pendiente de clasificar")))</f>
        <v>Propiedades de la materia</v>
      </c>
      <c r="O482" s="8" t="str">
        <f aca="false">IF(L482="","",IFERROR(INDEX(Catalogo_TIMSS!$C$5:$C$105,MATCH(L482,Catalogo_TIMSS!$A$5:$A$105,0)),"?"))</f>
        <v/>
      </c>
      <c r="P482" s="8" t="s">
        <v>418</v>
      </c>
      <c r="Q482" s="27" t="s">
        <v>2366</v>
      </c>
      <c r="R482" s="27" t="s">
        <v>1408</v>
      </c>
      <c r="S482" s="28" t="n">
        <f aca="false">IFERROR(ISNUMBER(SEARCH("Conocer",$R482))/(ISNUMBER(SEARCH("Conocer",$R482))+ISNUMBER(SEARCH("Aplicar",$R482))+ISNUMBER(SEARCH("Razonar",$R482))),0)</f>
        <v>0</v>
      </c>
      <c r="T482" s="28" t="n">
        <f aca="false">IFERROR(ISNUMBER(SEARCH("Aplicar",$R482))/(ISNUMBER(SEARCH("Conocer",$R482))+ISNUMBER(SEARCH("Aplicar",$R482))+ISNUMBER(SEARCH("Razonar",$R482))),0)</f>
        <v>1</v>
      </c>
      <c r="U482" s="28" t="n">
        <f aca="false">IFERROR(ISNUMBER(SEARCH("Razonar",$R482))/(ISNUMBER(SEARCH("Conocer",$R482))+ISNUMBER(SEARCH("Aplicar",$R482))+ISNUMBER(SEARCH("Razonar",$R482))),0)</f>
        <v>0</v>
      </c>
      <c r="V482" s="8" t="s">
        <v>52</v>
      </c>
      <c r="W482" s="8" t="s">
        <v>67</v>
      </c>
    </row>
    <row r="483" customFormat="false" ht="15" hidden="false" customHeight="false" outlineLevel="0" collapsed="false">
      <c r="A483" s="8" t="s">
        <v>2367</v>
      </c>
      <c r="B483" s="8" t="n">
        <v>8</v>
      </c>
      <c r="C483" s="8" t="s">
        <v>411</v>
      </c>
      <c r="D483" s="8" t="s">
        <v>2218</v>
      </c>
      <c r="E483" s="8" t="s">
        <v>2359</v>
      </c>
      <c r="F483" s="8" t="n">
        <v>5</v>
      </c>
      <c r="G483" s="8" t="s">
        <v>2360</v>
      </c>
      <c r="H483" s="8" t="s">
        <v>2361</v>
      </c>
      <c r="I483" s="27" t="s">
        <v>2368</v>
      </c>
      <c r="J483" s="8" t="s">
        <v>185</v>
      </c>
      <c r="K483" s="8" t="s">
        <v>231</v>
      </c>
      <c r="L483" s="8"/>
      <c r="M483" s="8" t="str">
        <f aca="false">IF(K483="FUERA","Fuera del marco",IF(K483="N/A","Sin marco",IFERROR(INDEX(Catalogo_TIMSS!$C$5:$C$105,MATCH(K483,Catalogo_TIMSS!$A$5:$A$105,0)),"Pendiente de clasificar")))</f>
        <v>Química</v>
      </c>
      <c r="N483" s="8" t="str">
        <f aca="false">IF(K483="FUERA","Fuera del marco",IF(K483="N/A","Sin marco",IFERROR(INDEX(Catalogo_TIMSS!$F$5:$F$105,MATCH(K483,Catalogo_TIMSS!$A$5:$A$105,0)),"Pendiente de clasificar")))</f>
        <v>Propiedades de la materia</v>
      </c>
      <c r="O483" s="8" t="str">
        <f aca="false">IF(L483="","",IFERROR(INDEX(Catalogo_TIMSS!$C$5:$C$105,MATCH(L483,Catalogo_TIMSS!$A$5:$A$105,0)),"?"))</f>
        <v/>
      </c>
      <c r="P483" s="8" t="s">
        <v>460</v>
      </c>
      <c r="Q483" s="27" t="s">
        <v>2369</v>
      </c>
      <c r="R483" s="27" t="s">
        <v>1940</v>
      </c>
      <c r="S483" s="28" t="n">
        <f aca="false">IFERROR(ISNUMBER(SEARCH("Conocer",$R483))/(ISNUMBER(SEARCH("Conocer",$R483))+ISNUMBER(SEARCH("Aplicar",$R483))+ISNUMBER(SEARCH("Razonar",$R483))),0)</f>
        <v>0</v>
      </c>
      <c r="T483" s="28" t="n">
        <f aca="false">IFERROR(ISNUMBER(SEARCH("Aplicar",$R483))/(ISNUMBER(SEARCH("Conocer",$R483))+ISNUMBER(SEARCH("Aplicar",$R483))+ISNUMBER(SEARCH("Razonar",$R483))),0)</f>
        <v>0</v>
      </c>
      <c r="U483" s="28" t="n">
        <f aca="false">IFERROR(ISNUMBER(SEARCH("Razonar",$R483))/(ISNUMBER(SEARCH("Conocer",$R483))+ISNUMBER(SEARCH("Aplicar",$R483))+ISNUMBER(SEARCH("Razonar",$R483))),0)</f>
        <v>1</v>
      </c>
      <c r="V483" s="8" t="s">
        <v>52</v>
      </c>
      <c r="W483" s="8" t="s">
        <v>67</v>
      </c>
    </row>
    <row r="484" customFormat="false" ht="15" hidden="false" customHeight="false" outlineLevel="0" collapsed="false">
      <c r="A484" s="8" t="s">
        <v>2370</v>
      </c>
      <c r="B484" s="8" t="n">
        <v>8</v>
      </c>
      <c r="C484" s="8" t="s">
        <v>411</v>
      </c>
      <c r="D484" s="8" t="s">
        <v>2218</v>
      </c>
      <c r="E484" s="8" t="s">
        <v>2359</v>
      </c>
      <c r="F484" s="8" t="n">
        <v>6</v>
      </c>
      <c r="G484" s="8" t="s">
        <v>2360</v>
      </c>
      <c r="H484" s="8" t="s">
        <v>2371</v>
      </c>
      <c r="I484" s="27" t="s">
        <v>2372</v>
      </c>
      <c r="J484" s="8" t="s">
        <v>185</v>
      </c>
      <c r="K484" s="8" t="s">
        <v>219</v>
      </c>
      <c r="L484" s="8"/>
      <c r="M484" s="8" t="str">
        <f aca="false">IF(K484="FUERA","Fuera del marco",IF(K484="N/A","Sin marco",IFERROR(INDEX(Catalogo_TIMSS!$C$5:$C$105,MATCH(K484,Catalogo_TIMSS!$A$5:$A$105,0)),"Pendiente de clasificar")))</f>
        <v>Química</v>
      </c>
      <c r="N484" s="8" t="str">
        <f aca="false">IF(K484="FUERA","Fuera del marco",IF(K484="N/A","Sin marco",IFERROR(INDEX(Catalogo_TIMSS!$F$5:$F$105,MATCH(K484,Catalogo_TIMSS!$A$5:$A$105,0)),"Pendiente de clasificar")))</f>
        <v>Composición de la materia</v>
      </c>
      <c r="O484" s="8" t="str">
        <f aca="false">IF(L484="","",IFERROR(INDEX(Catalogo_TIMSS!$C$5:$C$105,MATCH(L484,Catalogo_TIMSS!$A$5:$A$105,0)),"?"))</f>
        <v/>
      </c>
      <c r="P484" s="8" t="s">
        <v>460</v>
      </c>
      <c r="Q484" s="27" t="s">
        <v>2373</v>
      </c>
      <c r="R484" s="27" t="s">
        <v>1032</v>
      </c>
      <c r="S484" s="28" t="n">
        <f aca="false">IFERROR(ISNUMBER(SEARCH("Conocer",$R484))/(ISNUMBER(SEARCH("Conocer",$R484))+ISNUMBER(SEARCH("Aplicar",$R484))+ISNUMBER(SEARCH("Razonar",$R484))),0)</f>
        <v>1</v>
      </c>
      <c r="T484" s="28" t="n">
        <f aca="false">IFERROR(ISNUMBER(SEARCH("Aplicar",$R484))/(ISNUMBER(SEARCH("Conocer",$R484))+ISNUMBER(SEARCH("Aplicar",$R484))+ISNUMBER(SEARCH("Razonar",$R484))),0)</f>
        <v>0</v>
      </c>
      <c r="U484" s="28" t="n">
        <f aca="false">IFERROR(ISNUMBER(SEARCH("Razonar",$R484))/(ISNUMBER(SEARCH("Conocer",$R484))+ISNUMBER(SEARCH("Aplicar",$R484))+ISNUMBER(SEARCH("Razonar",$R484))),0)</f>
        <v>0</v>
      </c>
      <c r="V484" s="8" t="s">
        <v>52</v>
      </c>
      <c r="W484" s="8" t="s">
        <v>67</v>
      </c>
    </row>
    <row r="485" customFormat="false" ht="15" hidden="false" customHeight="false" outlineLevel="0" collapsed="false">
      <c r="A485" s="8" t="s">
        <v>2374</v>
      </c>
      <c r="B485" s="8" t="n">
        <v>8</v>
      </c>
      <c r="C485" s="8" t="s">
        <v>411</v>
      </c>
      <c r="D485" s="8" t="s">
        <v>2218</v>
      </c>
      <c r="E485" s="8" t="s">
        <v>2359</v>
      </c>
      <c r="F485" s="8" t="n">
        <v>7</v>
      </c>
      <c r="G485" s="8" t="s">
        <v>2360</v>
      </c>
      <c r="H485" s="8" t="s">
        <v>2371</v>
      </c>
      <c r="I485" s="27" t="s">
        <v>2375</v>
      </c>
      <c r="J485" s="8" t="s">
        <v>185</v>
      </c>
      <c r="K485" s="8" t="s">
        <v>219</v>
      </c>
      <c r="L485" s="8"/>
      <c r="M485" s="8" t="str">
        <f aca="false">IF(K485="FUERA","Fuera del marco",IF(K485="N/A","Sin marco",IFERROR(INDEX(Catalogo_TIMSS!$C$5:$C$105,MATCH(K485,Catalogo_TIMSS!$A$5:$A$105,0)),"Pendiente de clasificar")))</f>
        <v>Química</v>
      </c>
      <c r="N485" s="8" t="str">
        <f aca="false">IF(K485="FUERA","Fuera del marco",IF(K485="N/A","Sin marco",IFERROR(INDEX(Catalogo_TIMSS!$F$5:$F$105,MATCH(K485,Catalogo_TIMSS!$A$5:$A$105,0)),"Pendiente de clasificar")))</f>
        <v>Composición de la materia</v>
      </c>
      <c r="O485" s="8" t="str">
        <f aca="false">IF(L485="","",IFERROR(INDEX(Catalogo_TIMSS!$C$5:$C$105,MATCH(L485,Catalogo_TIMSS!$A$5:$A$105,0)),"?"))</f>
        <v/>
      </c>
      <c r="P485" s="8" t="s">
        <v>460</v>
      </c>
      <c r="Q485" s="27" t="s">
        <v>2376</v>
      </c>
      <c r="R485" s="27" t="s">
        <v>1408</v>
      </c>
      <c r="S485" s="28" t="n">
        <f aca="false">IFERROR(ISNUMBER(SEARCH("Conocer",$R485))/(ISNUMBER(SEARCH("Conocer",$R485))+ISNUMBER(SEARCH("Aplicar",$R485))+ISNUMBER(SEARCH("Razonar",$R485))),0)</f>
        <v>0</v>
      </c>
      <c r="T485" s="28" t="n">
        <f aca="false">IFERROR(ISNUMBER(SEARCH("Aplicar",$R485))/(ISNUMBER(SEARCH("Conocer",$R485))+ISNUMBER(SEARCH("Aplicar",$R485))+ISNUMBER(SEARCH("Razonar",$R485))),0)</f>
        <v>1</v>
      </c>
      <c r="U485" s="28" t="n">
        <f aca="false">IFERROR(ISNUMBER(SEARCH("Razonar",$R485))/(ISNUMBER(SEARCH("Conocer",$R485))+ISNUMBER(SEARCH("Aplicar",$R485))+ISNUMBER(SEARCH("Razonar",$R485))),0)</f>
        <v>0</v>
      </c>
      <c r="V485" s="8" t="s">
        <v>52</v>
      </c>
      <c r="W485" s="8" t="s">
        <v>67</v>
      </c>
    </row>
    <row r="486" customFormat="false" ht="15" hidden="false" customHeight="false" outlineLevel="0" collapsed="false">
      <c r="A486" s="8" t="s">
        <v>2377</v>
      </c>
      <c r="B486" s="8" t="n">
        <v>8</v>
      </c>
      <c r="C486" s="8" t="s">
        <v>411</v>
      </c>
      <c r="D486" s="8" t="s">
        <v>2218</v>
      </c>
      <c r="E486" s="8" t="s">
        <v>2359</v>
      </c>
      <c r="F486" s="8" t="n">
        <v>8</v>
      </c>
      <c r="G486" s="8" t="s">
        <v>2360</v>
      </c>
      <c r="H486" s="8" t="s">
        <v>2371</v>
      </c>
      <c r="I486" s="27" t="s">
        <v>2378</v>
      </c>
      <c r="J486" s="8" t="s">
        <v>185</v>
      </c>
      <c r="K486" s="8" t="s">
        <v>219</v>
      </c>
      <c r="L486" s="8"/>
      <c r="M486" s="8" t="str">
        <f aca="false">IF(K486="FUERA","Fuera del marco",IF(K486="N/A","Sin marco",IFERROR(INDEX(Catalogo_TIMSS!$C$5:$C$105,MATCH(K486,Catalogo_TIMSS!$A$5:$A$105,0)),"Pendiente de clasificar")))</f>
        <v>Química</v>
      </c>
      <c r="N486" s="8" t="str">
        <f aca="false">IF(K486="FUERA","Fuera del marco",IF(K486="N/A","Sin marco",IFERROR(INDEX(Catalogo_TIMSS!$F$5:$F$105,MATCH(K486,Catalogo_TIMSS!$A$5:$A$105,0)),"Pendiente de clasificar")))</f>
        <v>Composición de la materia</v>
      </c>
      <c r="O486" s="8" t="str">
        <f aca="false">IF(L486="","",IFERROR(INDEX(Catalogo_TIMSS!$C$5:$C$105,MATCH(L486,Catalogo_TIMSS!$A$5:$A$105,0)),"?"))</f>
        <v/>
      </c>
      <c r="P486" s="8" t="s">
        <v>513</v>
      </c>
      <c r="Q486" s="27" t="s">
        <v>2379</v>
      </c>
      <c r="R486" s="27" t="s">
        <v>1408</v>
      </c>
      <c r="S486" s="28" t="n">
        <f aca="false">IFERROR(ISNUMBER(SEARCH("Conocer",$R486))/(ISNUMBER(SEARCH("Conocer",$R486))+ISNUMBER(SEARCH("Aplicar",$R486))+ISNUMBER(SEARCH("Razonar",$R486))),0)</f>
        <v>0</v>
      </c>
      <c r="T486" s="28" t="n">
        <f aca="false">IFERROR(ISNUMBER(SEARCH("Aplicar",$R486))/(ISNUMBER(SEARCH("Conocer",$R486))+ISNUMBER(SEARCH("Aplicar",$R486))+ISNUMBER(SEARCH("Razonar",$R486))),0)</f>
        <v>1</v>
      </c>
      <c r="U486" s="28" t="n">
        <f aca="false">IFERROR(ISNUMBER(SEARCH("Razonar",$R486))/(ISNUMBER(SEARCH("Conocer",$R486))+ISNUMBER(SEARCH("Aplicar",$R486))+ISNUMBER(SEARCH("Razonar",$R486))),0)</f>
        <v>0</v>
      </c>
      <c r="V486" s="8" t="s">
        <v>52</v>
      </c>
      <c r="W486" s="8" t="s">
        <v>67</v>
      </c>
    </row>
    <row r="487" customFormat="false" ht="15" hidden="false" customHeight="false" outlineLevel="0" collapsed="false">
      <c r="A487" s="8" t="s">
        <v>2380</v>
      </c>
      <c r="B487" s="8" t="n">
        <v>8</v>
      </c>
      <c r="C487" s="8" t="s">
        <v>411</v>
      </c>
      <c r="D487" s="8" t="s">
        <v>2218</v>
      </c>
      <c r="E487" s="8" t="s">
        <v>2359</v>
      </c>
      <c r="F487" s="8" t="n">
        <v>9</v>
      </c>
      <c r="G487" s="8" t="s">
        <v>2360</v>
      </c>
      <c r="H487" s="8" t="s">
        <v>2371</v>
      </c>
      <c r="I487" s="27" t="s">
        <v>2381</v>
      </c>
      <c r="J487" s="8" t="s">
        <v>185</v>
      </c>
      <c r="K487" s="8" t="s">
        <v>238</v>
      </c>
      <c r="L487" s="8"/>
      <c r="M487" s="8" t="str">
        <f aca="false">IF(K487="FUERA","Fuera del marco",IF(K487="N/A","Sin marco",IFERROR(INDEX(Catalogo_TIMSS!$C$5:$C$105,MATCH(K487,Catalogo_TIMSS!$A$5:$A$105,0)),"Pendiente de clasificar")))</f>
        <v>Química</v>
      </c>
      <c r="N487" s="8" t="str">
        <f aca="false">IF(K487="FUERA","Fuera del marco",IF(K487="N/A","Sin marco",IFERROR(INDEX(Catalogo_TIMSS!$F$5:$F$105,MATCH(K487,Catalogo_TIMSS!$A$5:$A$105,0)),"Pendiente de clasificar")))</f>
        <v>Cambio químico</v>
      </c>
      <c r="O487" s="8" t="str">
        <f aca="false">IF(L487="","",IFERROR(INDEX(Catalogo_TIMSS!$C$5:$C$105,MATCH(L487,Catalogo_TIMSS!$A$5:$A$105,0)),"?"))</f>
        <v/>
      </c>
      <c r="P487" s="8" t="s">
        <v>460</v>
      </c>
      <c r="Q487" s="27" t="s">
        <v>2382</v>
      </c>
      <c r="R487" s="27" t="s">
        <v>1408</v>
      </c>
      <c r="S487" s="28" t="n">
        <f aca="false">IFERROR(ISNUMBER(SEARCH("Conocer",$R487))/(ISNUMBER(SEARCH("Conocer",$R487))+ISNUMBER(SEARCH("Aplicar",$R487))+ISNUMBER(SEARCH("Razonar",$R487))),0)</f>
        <v>0</v>
      </c>
      <c r="T487" s="28" t="n">
        <f aca="false">IFERROR(ISNUMBER(SEARCH("Aplicar",$R487))/(ISNUMBER(SEARCH("Conocer",$R487))+ISNUMBER(SEARCH("Aplicar",$R487))+ISNUMBER(SEARCH("Razonar",$R487))),0)</f>
        <v>1</v>
      </c>
      <c r="U487" s="28" t="n">
        <f aca="false">IFERROR(ISNUMBER(SEARCH("Razonar",$R487))/(ISNUMBER(SEARCH("Conocer",$R487))+ISNUMBER(SEARCH("Aplicar",$R487))+ISNUMBER(SEARCH("Razonar",$R487))),0)</f>
        <v>0</v>
      </c>
      <c r="V487" s="8" t="s">
        <v>52</v>
      </c>
      <c r="W487" s="8" t="s">
        <v>67</v>
      </c>
    </row>
    <row r="488" customFormat="false" ht="15" hidden="false" customHeight="false" outlineLevel="0" collapsed="false">
      <c r="A488" s="8" t="s">
        <v>2383</v>
      </c>
      <c r="B488" s="8" t="n">
        <v>8</v>
      </c>
      <c r="C488" s="8" t="s">
        <v>411</v>
      </c>
      <c r="D488" s="8" t="s">
        <v>2218</v>
      </c>
      <c r="E488" s="8" t="s">
        <v>2359</v>
      </c>
      <c r="F488" s="8" t="n">
        <v>10</v>
      </c>
      <c r="G488" s="8" t="s">
        <v>2360</v>
      </c>
      <c r="H488" s="8" t="s">
        <v>2371</v>
      </c>
      <c r="I488" s="27" t="s">
        <v>2384</v>
      </c>
      <c r="J488" s="8" t="s">
        <v>185</v>
      </c>
      <c r="K488" s="8" t="s">
        <v>238</v>
      </c>
      <c r="L488" s="8"/>
      <c r="M488" s="8" t="str">
        <f aca="false">IF(K488="FUERA","Fuera del marco",IF(K488="N/A","Sin marco",IFERROR(INDEX(Catalogo_TIMSS!$C$5:$C$105,MATCH(K488,Catalogo_TIMSS!$A$5:$A$105,0)),"Pendiente de clasificar")))</f>
        <v>Química</v>
      </c>
      <c r="N488" s="8" t="str">
        <f aca="false">IF(K488="FUERA","Fuera del marco",IF(K488="N/A","Sin marco",IFERROR(INDEX(Catalogo_TIMSS!$F$5:$F$105,MATCH(K488,Catalogo_TIMSS!$A$5:$A$105,0)),"Pendiente de clasificar")))</f>
        <v>Cambio químico</v>
      </c>
      <c r="O488" s="8" t="str">
        <f aca="false">IF(L488="","",IFERROR(INDEX(Catalogo_TIMSS!$C$5:$C$105,MATCH(L488,Catalogo_TIMSS!$A$5:$A$105,0)),"?"))</f>
        <v/>
      </c>
      <c r="P488" s="8" t="s">
        <v>460</v>
      </c>
      <c r="Q488" s="27" t="s">
        <v>2385</v>
      </c>
      <c r="R488" s="27" t="s">
        <v>2386</v>
      </c>
      <c r="S488" s="28" t="n">
        <f aca="false">IFERROR(ISNUMBER(SEARCH("Conocer",$R488))/(ISNUMBER(SEARCH("Conocer",$R488))+ISNUMBER(SEARCH("Aplicar",$R488))+ISNUMBER(SEARCH("Razonar",$R488))),0)</f>
        <v>0</v>
      </c>
      <c r="T488" s="28" t="n">
        <f aca="false">IFERROR(ISNUMBER(SEARCH("Aplicar",$R488))/(ISNUMBER(SEARCH("Conocer",$R488))+ISNUMBER(SEARCH("Aplicar",$R488))+ISNUMBER(SEARCH("Razonar",$R488))),0)</f>
        <v>0</v>
      </c>
      <c r="U488" s="28" t="n">
        <f aca="false">IFERROR(ISNUMBER(SEARCH("Razonar",$R488))/(ISNUMBER(SEARCH("Conocer",$R488))+ISNUMBER(SEARCH("Aplicar",$R488))+ISNUMBER(SEARCH("Razonar",$R488))),0)</f>
        <v>1</v>
      </c>
      <c r="V488" s="8" t="s">
        <v>52</v>
      </c>
      <c r="W488" s="8" t="s">
        <v>67</v>
      </c>
    </row>
    <row r="489" customFormat="false" ht="15" hidden="false" customHeight="false" outlineLevel="0" collapsed="false">
      <c r="A489" s="8" t="s">
        <v>2387</v>
      </c>
      <c r="B489" s="8" t="n">
        <v>8</v>
      </c>
      <c r="C489" s="8" t="s">
        <v>411</v>
      </c>
      <c r="D489" s="8" t="s">
        <v>2218</v>
      </c>
      <c r="E489" s="8" t="s">
        <v>2359</v>
      </c>
      <c r="F489" s="8" t="n">
        <v>11</v>
      </c>
      <c r="G489" s="8" t="s">
        <v>2360</v>
      </c>
      <c r="H489" s="8" t="s">
        <v>2388</v>
      </c>
      <c r="I489" s="27" t="s">
        <v>2389</v>
      </c>
      <c r="J489" s="8" t="s">
        <v>185</v>
      </c>
      <c r="K489" s="8" t="s">
        <v>231</v>
      </c>
      <c r="L489" s="8"/>
      <c r="M489" s="8" t="str">
        <f aca="false">IF(K489="FUERA","Fuera del marco",IF(K489="N/A","Sin marco",IFERROR(INDEX(Catalogo_TIMSS!$C$5:$C$105,MATCH(K489,Catalogo_TIMSS!$A$5:$A$105,0)),"Pendiente de clasificar")))</f>
        <v>Química</v>
      </c>
      <c r="N489" s="8" t="str">
        <f aca="false">IF(K489="FUERA","Fuera del marco",IF(K489="N/A","Sin marco",IFERROR(INDEX(Catalogo_TIMSS!$F$5:$F$105,MATCH(K489,Catalogo_TIMSS!$A$5:$A$105,0)),"Pendiente de clasificar")))</f>
        <v>Propiedades de la materia</v>
      </c>
      <c r="O489" s="8" t="str">
        <f aca="false">IF(L489="","",IFERROR(INDEX(Catalogo_TIMSS!$C$5:$C$105,MATCH(L489,Catalogo_TIMSS!$A$5:$A$105,0)),"?"))</f>
        <v/>
      </c>
      <c r="P489" s="8" t="s">
        <v>418</v>
      </c>
      <c r="Q489" s="27" t="s">
        <v>2390</v>
      </c>
      <c r="R489" s="27" t="s">
        <v>1833</v>
      </c>
      <c r="S489" s="28" t="n">
        <f aca="false">IFERROR(ISNUMBER(SEARCH("Conocer",$R489))/(ISNUMBER(SEARCH("Conocer",$R489))+ISNUMBER(SEARCH("Aplicar",$R489))+ISNUMBER(SEARCH("Razonar",$R489))),0)</f>
        <v>1</v>
      </c>
      <c r="T489" s="28" t="n">
        <f aca="false">IFERROR(ISNUMBER(SEARCH("Aplicar",$R489))/(ISNUMBER(SEARCH("Conocer",$R489))+ISNUMBER(SEARCH("Aplicar",$R489))+ISNUMBER(SEARCH("Razonar",$R489))),0)</f>
        <v>0</v>
      </c>
      <c r="U489" s="28" t="n">
        <f aca="false">IFERROR(ISNUMBER(SEARCH("Razonar",$R489))/(ISNUMBER(SEARCH("Conocer",$R489))+ISNUMBER(SEARCH("Aplicar",$R489))+ISNUMBER(SEARCH("Razonar",$R489))),0)</f>
        <v>0</v>
      </c>
      <c r="V489" s="8" t="s">
        <v>52</v>
      </c>
      <c r="W489" s="8" t="s">
        <v>67</v>
      </c>
    </row>
    <row r="490" customFormat="false" ht="15" hidden="false" customHeight="false" outlineLevel="0" collapsed="false">
      <c r="A490" s="8" t="s">
        <v>2391</v>
      </c>
      <c r="B490" s="8" t="n">
        <v>8</v>
      </c>
      <c r="C490" s="8" t="s">
        <v>411</v>
      </c>
      <c r="D490" s="8" t="s">
        <v>2218</v>
      </c>
      <c r="E490" s="8" t="s">
        <v>2359</v>
      </c>
      <c r="F490" s="8" t="n">
        <v>12</v>
      </c>
      <c r="G490" s="8" t="s">
        <v>2360</v>
      </c>
      <c r="H490" s="8" t="s">
        <v>2388</v>
      </c>
      <c r="I490" s="27" t="s">
        <v>2392</v>
      </c>
      <c r="J490" s="8" t="s">
        <v>185</v>
      </c>
      <c r="K490" s="8" t="s">
        <v>231</v>
      </c>
      <c r="L490" s="8"/>
      <c r="M490" s="8" t="str">
        <f aca="false">IF(K490="FUERA","Fuera del marco",IF(K490="N/A","Sin marco",IFERROR(INDEX(Catalogo_TIMSS!$C$5:$C$105,MATCH(K490,Catalogo_TIMSS!$A$5:$A$105,0)),"Pendiente de clasificar")))</f>
        <v>Química</v>
      </c>
      <c r="N490" s="8" t="str">
        <f aca="false">IF(K490="FUERA","Fuera del marco",IF(K490="N/A","Sin marco",IFERROR(INDEX(Catalogo_TIMSS!$F$5:$F$105,MATCH(K490,Catalogo_TIMSS!$A$5:$A$105,0)),"Pendiente de clasificar")))</f>
        <v>Propiedades de la materia</v>
      </c>
      <c r="O490" s="8" t="str">
        <f aca="false">IF(L490="","",IFERROR(INDEX(Catalogo_TIMSS!$C$5:$C$105,MATCH(L490,Catalogo_TIMSS!$A$5:$A$105,0)),"?"))</f>
        <v/>
      </c>
      <c r="P490" s="8" t="s">
        <v>418</v>
      </c>
      <c r="Q490" s="27" t="s">
        <v>2393</v>
      </c>
      <c r="R490" s="27" t="s">
        <v>2394</v>
      </c>
      <c r="S490" s="28" t="n">
        <f aca="false">IFERROR(ISNUMBER(SEARCH("Conocer",$R490))/(ISNUMBER(SEARCH("Conocer",$R490))+ISNUMBER(SEARCH("Aplicar",$R490))+ISNUMBER(SEARCH("Razonar",$R490))),0)</f>
        <v>0</v>
      </c>
      <c r="T490" s="28" t="n">
        <f aca="false">IFERROR(ISNUMBER(SEARCH("Aplicar",$R490))/(ISNUMBER(SEARCH("Conocer",$R490))+ISNUMBER(SEARCH("Aplicar",$R490))+ISNUMBER(SEARCH("Razonar",$R490))),0)</f>
        <v>1</v>
      </c>
      <c r="U490" s="28" t="n">
        <f aca="false">IFERROR(ISNUMBER(SEARCH("Razonar",$R490))/(ISNUMBER(SEARCH("Conocer",$R490))+ISNUMBER(SEARCH("Aplicar",$R490))+ISNUMBER(SEARCH("Razonar",$R490))),0)</f>
        <v>0</v>
      </c>
      <c r="V490" s="8" t="s">
        <v>52</v>
      </c>
      <c r="W490" s="8" t="s">
        <v>67</v>
      </c>
    </row>
    <row r="491" customFormat="false" ht="15" hidden="false" customHeight="false" outlineLevel="0" collapsed="false">
      <c r="A491" s="8" t="s">
        <v>2395</v>
      </c>
      <c r="B491" s="8" t="n">
        <v>8</v>
      </c>
      <c r="C491" s="8" t="s">
        <v>411</v>
      </c>
      <c r="D491" s="8" t="s">
        <v>2218</v>
      </c>
      <c r="E491" s="8" t="s">
        <v>2359</v>
      </c>
      <c r="F491" s="8" t="n">
        <v>13</v>
      </c>
      <c r="G491" s="8" t="s">
        <v>2360</v>
      </c>
      <c r="H491" s="8" t="s">
        <v>2388</v>
      </c>
      <c r="I491" s="27" t="s">
        <v>2396</v>
      </c>
      <c r="J491" s="8" t="s">
        <v>185</v>
      </c>
      <c r="K491" s="8" t="s">
        <v>231</v>
      </c>
      <c r="L491" s="8"/>
      <c r="M491" s="8" t="str">
        <f aca="false">IF(K491="FUERA","Fuera del marco",IF(K491="N/A","Sin marco",IFERROR(INDEX(Catalogo_TIMSS!$C$5:$C$105,MATCH(K491,Catalogo_TIMSS!$A$5:$A$105,0)),"Pendiente de clasificar")))</f>
        <v>Química</v>
      </c>
      <c r="N491" s="8" t="str">
        <f aca="false">IF(K491="FUERA","Fuera del marco",IF(K491="N/A","Sin marco",IFERROR(INDEX(Catalogo_TIMSS!$F$5:$F$105,MATCH(K491,Catalogo_TIMSS!$A$5:$A$105,0)),"Pendiente de clasificar")))</f>
        <v>Propiedades de la materia</v>
      </c>
      <c r="O491" s="8" t="str">
        <f aca="false">IF(L491="","",IFERROR(INDEX(Catalogo_TIMSS!$C$5:$C$105,MATCH(L491,Catalogo_TIMSS!$A$5:$A$105,0)),"?"))</f>
        <v/>
      </c>
      <c r="P491" s="8" t="s">
        <v>460</v>
      </c>
      <c r="Q491" s="27" t="s">
        <v>2397</v>
      </c>
      <c r="R491" s="27" t="s">
        <v>451</v>
      </c>
      <c r="S491" s="28" t="n">
        <f aca="false">IFERROR(ISNUMBER(SEARCH("Conocer",$R491))/(ISNUMBER(SEARCH("Conocer",$R491))+ISNUMBER(SEARCH("Aplicar",$R491))+ISNUMBER(SEARCH("Razonar",$R491))),0)</f>
        <v>0</v>
      </c>
      <c r="T491" s="28" t="n">
        <f aca="false">IFERROR(ISNUMBER(SEARCH("Aplicar",$R491))/(ISNUMBER(SEARCH("Conocer",$R491))+ISNUMBER(SEARCH("Aplicar",$R491))+ISNUMBER(SEARCH("Razonar",$R491))),0)</f>
        <v>1</v>
      </c>
      <c r="U491" s="28" t="n">
        <f aca="false">IFERROR(ISNUMBER(SEARCH("Razonar",$R491))/(ISNUMBER(SEARCH("Conocer",$R491))+ISNUMBER(SEARCH("Aplicar",$R491))+ISNUMBER(SEARCH("Razonar",$R491))),0)</f>
        <v>0</v>
      </c>
      <c r="V491" s="8" t="s">
        <v>52</v>
      </c>
      <c r="W491" s="8" t="s">
        <v>67</v>
      </c>
    </row>
    <row r="492" customFormat="false" ht="15" hidden="false" customHeight="false" outlineLevel="0" collapsed="false">
      <c r="A492" s="8" t="s">
        <v>2398</v>
      </c>
      <c r="B492" s="8" t="n">
        <v>8</v>
      </c>
      <c r="C492" s="8" t="s">
        <v>411</v>
      </c>
      <c r="D492" s="8" t="s">
        <v>2218</v>
      </c>
      <c r="E492" s="8" t="s">
        <v>2359</v>
      </c>
      <c r="F492" s="8" t="n">
        <v>14</v>
      </c>
      <c r="G492" s="8" t="s">
        <v>2360</v>
      </c>
      <c r="H492" s="8" t="s">
        <v>2399</v>
      </c>
      <c r="I492" s="27" t="s">
        <v>2400</v>
      </c>
      <c r="J492" s="8" t="s">
        <v>185</v>
      </c>
      <c r="K492" s="8" t="s">
        <v>231</v>
      </c>
      <c r="L492" s="8" t="s">
        <v>222</v>
      </c>
      <c r="M492" s="8" t="str">
        <f aca="false">IF(K492="FUERA","Fuera del marco",IF(K492="N/A","Sin marco",IFERROR(INDEX(Catalogo_TIMSS!$C$5:$C$105,MATCH(K492,Catalogo_TIMSS!$A$5:$A$105,0)),"Pendiente de clasificar")))</f>
        <v>Química</v>
      </c>
      <c r="N492" s="8" t="str">
        <f aca="false">IF(K492="FUERA","Fuera del marco",IF(K492="N/A","Sin marco",IFERROR(INDEX(Catalogo_TIMSS!$F$5:$F$105,MATCH(K492,Catalogo_TIMSS!$A$5:$A$105,0)),"Pendiente de clasificar")))</f>
        <v>Propiedades de la materia</v>
      </c>
      <c r="O492" s="8" t="str">
        <f aca="false">IF(L492="","",IFERROR(INDEX(Catalogo_TIMSS!$C$5:$C$105,MATCH(L492,Catalogo_TIMSS!$A$5:$A$105,0)),"?"))</f>
        <v>Química</v>
      </c>
      <c r="P492" s="8" t="s">
        <v>418</v>
      </c>
      <c r="Q492" s="27" t="s">
        <v>2401</v>
      </c>
      <c r="R492" s="27" t="s">
        <v>1833</v>
      </c>
      <c r="S492" s="28" t="n">
        <f aca="false">IFERROR(ISNUMBER(SEARCH("Conocer",$R492))/(ISNUMBER(SEARCH("Conocer",$R492))+ISNUMBER(SEARCH("Aplicar",$R492))+ISNUMBER(SEARCH("Razonar",$R492))),0)</f>
        <v>1</v>
      </c>
      <c r="T492" s="28" t="n">
        <f aca="false">IFERROR(ISNUMBER(SEARCH("Aplicar",$R492))/(ISNUMBER(SEARCH("Conocer",$R492))+ISNUMBER(SEARCH("Aplicar",$R492))+ISNUMBER(SEARCH("Razonar",$R492))),0)</f>
        <v>0</v>
      </c>
      <c r="U492" s="28" t="n">
        <f aca="false">IFERROR(ISNUMBER(SEARCH("Razonar",$R492))/(ISNUMBER(SEARCH("Conocer",$R492))+ISNUMBER(SEARCH("Aplicar",$R492))+ISNUMBER(SEARCH("Razonar",$R492))),0)</f>
        <v>0</v>
      </c>
      <c r="V492" s="8" t="s">
        <v>52</v>
      </c>
      <c r="W492" s="8" t="s">
        <v>67</v>
      </c>
    </row>
    <row r="493" customFormat="false" ht="15" hidden="false" customHeight="false" outlineLevel="0" collapsed="false">
      <c r="A493" s="8" t="s">
        <v>2402</v>
      </c>
      <c r="B493" s="8" t="n">
        <v>8</v>
      </c>
      <c r="C493" s="8" t="s">
        <v>411</v>
      </c>
      <c r="D493" s="8" t="s">
        <v>2218</v>
      </c>
      <c r="E493" s="8" t="s">
        <v>2359</v>
      </c>
      <c r="F493" s="8" t="n">
        <v>15</v>
      </c>
      <c r="G493" s="8" t="s">
        <v>2360</v>
      </c>
      <c r="H493" s="8" t="s">
        <v>2399</v>
      </c>
      <c r="I493" s="27" t="s">
        <v>2403</v>
      </c>
      <c r="J493" s="8" t="s">
        <v>185</v>
      </c>
      <c r="K493" s="8" t="s">
        <v>231</v>
      </c>
      <c r="L493" s="8" t="s">
        <v>222</v>
      </c>
      <c r="M493" s="8" t="str">
        <f aca="false">IF(K493="FUERA","Fuera del marco",IF(K493="N/A","Sin marco",IFERROR(INDEX(Catalogo_TIMSS!$C$5:$C$105,MATCH(K493,Catalogo_TIMSS!$A$5:$A$105,0)),"Pendiente de clasificar")))</f>
        <v>Química</v>
      </c>
      <c r="N493" s="8" t="str">
        <f aca="false">IF(K493="FUERA","Fuera del marco",IF(K493="N/A","Sin marco",IFERROR(INDEX(Catalogo_TIMSS!$F$5:$F$105,MATCH(K493,Catalogo_TIMSS!$A$5:$A$105,0)),"Pendiente de clasificar")))</f>
        <v>Propiedades de la materia</v>
      </c>
      <c r="O493" s="8" t="str">
        <f aca="false">IF(L493="","",IFERROR(INDEX(Catalogo_TIMSS!$C$5:$C$105,MATCH(L493,Catalogo_TIMSS!$A$5:$A$105,0)),"?"))</f>
        <v>Química</v>
      </c>
      <c r="P493" s="8" t="s">
        <v>418</v>
      </c>
      <c r="Q493" s="27" t="s">
        <v>2404</v>
      </c>
      <c r="R493" s="27" t="s">
        <v>429</v>
      </c>
      <c r="S493" s="28" t="n">
        <f aca="false">IFERROR(ISNUMBER(SEARCH("Conocer",$R493))/(ISNUMBER(SEARCH("Conocer",$R493))+ISNUMBER(SEARCH("Aplicar",$R493))+ISNUMBER(SEARCH("Razonar",$R493))),0)</f>
        <v>0</v>
      </c>
      <c r="T493" s="28" t="n">
        <f aca="false">IFERROR(ISNUMBER(SEARCH("Aplicar",$R493))/(ISNUMBER(SEARCH("Conocer",$R493))+ISNUMBER(SEARCH("Aplicar",$R493))+ISNUMBER(SEARCH("Razonar",$R493))),0)</f>
        <v>1</v>
      </c>
      <c r="U493" s="28" t="n">
        <f aca="false">IFERROR(ISNUMBER(SEARCH("Razonar",$R493))/(ISNUMBER(SEARCH("Conocer",$R493))+ISNUMBER(SEARCH("Aplicar",$R493))+ISNUMBER(SEARCH("Razonar",$R493))),0)</f>
        <v>0</v>
      </c>
      <c r="V493" s="8" t="s">
        <v>52</v>
      </c>
      <c r="W493" s="8" t="s">
        <v>67</v>
      </c>
    </row>
    <row r="494" customFormat="false" ht="15" hidden="false" customHeight="false" outlineLevel="0" collapsed="false">
      <c r="A494" s="8" t="s">
        <v>2405</v>
      </c>
      <c r="B494" s="8" t="n">
        <v>8</v>
      </c>
      <c r="C494" s="8" t="s">
        <v>411</v>
      </c>
      <c r="D494" s="8" t="s">
        <v>2218</v>
      </c>
      <c r="E494" s="8" t="s">
        <v>2359</v>
      </c>
      <c r="F494" s="8" t="n">
        <v>16</v>
      </c>
      <c r="G494" s="8" t="s">
        <v>2360</v>
      </c>
      <c r="H494" s="8" t="s">
        <v>2399</v>
      </c>
      <c r="I494" s="27" t="s">
        <v>2406</v>
      </c>
      <c r="J494" s="8" t="s">
        <v>185</v>
      </c>
      <c r="K494" s="8" t="s">
        <v>231</v>
      </c>
      <c r="L494" s="8"/>
      <c r="M494" s="8" t="str">
        <f aca="false">IF(K494="FUERA","Fuera del marco",IF(K494="N/A","Sin marco",IFERROR(INDEX(Catalogo_TIMSS!$C$5:$C$105,MATCH(K494,Catalogo_TIMSS!$A$5:$A$105,0)),"Pendiente de clasificar")))</f>
        <v>Química</v>
      </c>
      <c r="N494" s="8" t="str">
        <f aca="false">IF(K494="FUERA","Fuera del marco",IF(K494="N/A","Sin marco",IFERROR(INDEX(Catalogo_TIMSS!$F$5:$F$105,MATCH(K494,Catalogo_TIMSS!$A$5:$A$105,0)),"Pendiente de clasificar")))</f>
        <v>Propiedades de la materia</v>
      </c>
      <c r="O494" s="8" t="str">
        <f aca="false">IF(L494="","",IFERROR(INDEX(Catalogo_TIMSS!$C$5:$C$105,MATCH(L494,Catalogo_TIMSS!$A$5:$A$105,0)),"?"))</f>
        <v/>
      </c>
      <c r="P494" s="8" t="s">
        <v>418</v>
      </c>
      <c r="Q494" s="27" t="s">
        <v>2407</v>
      </c>
      <c r="R494" s="27" t="s">
        <v>2068</v>
      </c>
      <c r="S494" s="28" t="n">
        <f aca="false">IFERROR(ISNUMBER(SEARCH("Conocer",$R494))/(ISNUMBER(SEARCH("Conocer",$R494))+ISNUMBER(SEARCH("Aplicar",$R494))+ISNUMBER(SEARCH("Razonar",$R494))),0)</f>
        <v>0</v>
      </c>
      <c r="T494" s="28" t="n">
        <f aca="false">IFERROR(ISNUMBER(SEARCH("Aplicar",$R494))/(ISNUMBER(SEARCH("Conocer",$R494))+ISNUMBER(SEARCH("Aplicar",$R494))+ISNUMBER(SEARCH("Razonar",$R494))),0)</f>
        <v>1</v>
      </c>
      <c r="U494" s="28" t="n">
        <f aca="false">IFERROR(ISNUMBER(SEARCH("Razonar",$R494))/(ISNUMBER(SEARCH("Conocer",$R494))+ISNUMBER(SEARCH("Aplicar",$R494))+ISNUMBER(SEARCH("Razonar",$R494))),0)</f>
        <v>0</v>
      </c>
      <c r="V494" s="8" t="s">
        <v>52</v>
      </c>
      <c r="W494" s="8" t="s">
        <v>67</v>
      </c>
    </row>
    <row r="495" customFormat="false" ht="15" hidden="false" customHeight="false" outlineLevel="0" collapsed="false">
      <c r="A495" s="8" t="s">
        <v>2408</v>
      </c>
      <c r="B495" s="8" t="n">
        <v>8</v>
      </c>
      <c r="C495" s="8" t="s">
        <v>411</v>
      </c>
      <c r="D495" s="8" t="s">
        <v>2218</v>
      </c>
      <c r="E495" s="8" t="s">
        <v>2359</v>
      </c>
      <c r="F495" s="8" t="n">
        <v>17</v>
      </c>
      <c r="G495" s="8" t="s">
        <v>2360</v>
      </c>
      <c r="H495" s="8" t="s">
        <v>2399</v>
      </c>
      <c r="I495" s="27" t="s">
        <v>2409</v>
      </c>
      <c r="J495" s="8" t="s">
        <v>185</v>
      </c>
      <c r="K495" s="8" t="s">
        <v>231</v>
      </c>
      <c r="L495" s="8"/>
      <c r="M495" s="8" t="str">
        <f aca="false">IF(K495="FUERA","Fuera del marco",IF(K495="N/A","Sin marco",IFERROR(INDEX(Catalogo_TIMSS!$C$5:$C$105,MATCH(K495,Catalogo_TIMSS!$A$5:$A$105,0)),"Pendiente de clasificar")))</f>
        <v>Química</v>
      </c>
      <c r="N495" s="8" t="str">
        <f aca="false">IF(K495="FUERA","Fuera del marco",IF(K495="N/A","Sin marco",IFERROR(INDEX(Catalogo_TIMSS!$F$5:$F$105,MATCH(K495,Catalogo_TIMSS!$A$5:$A$105,0)),"Pendiente de clasificar")))</f>
        <v>Propiedades de la materia</v>
      </c>
      <c r="O495" s="8" t="str">
        <f aca="false">IF(L495="","",IFERROR(INDEX(Catalogo_TIMSS!$C$5:$C$105,MATCH(L495,Catalogo_TIMSS!$A$5:$A$105,0)),"?"))</f>
        <v/>
      </c>
      <c r="P495" s="8" t="s">
        <v>418</v>
      </c>
      <c r="Q495" s="27" t="s">
        <v>2410</v>
      </c>
      <c r="R495" s="27" t="s">
        <v>429</v>
      </c>
      <c r="S495" s="28" t="n">
        <f aca="false">IFERROR(ISNUMBER(SEARCH("Conocer",$R495))/(ISNUMBER(SEARCH("Conocer",$R495))+ISNUMBER(SEARCH("Aplicar",$R495))+ISNUMBER(SEARCH("Razonar",$R495))),0)</f>
        <v>0</v>
      </c>
      <c r="T495" s="28" t="n">
        <f aca="false">IFERROR(ISNUMBER(SEARCH("Aplicar",$R495))/(ISNUMBER(SEARCH("Conocer",$R495))+ISNUMBER(SEARCH("Aplicar",$R495))+ISNUMBER(SEARCH("Razonar",$R495))),0)</f>
        <v>1</v>
      </c>
      <c r="U495" s="28" t="n">
        <f aca="false">IFERROR(ISNUMBER(SEARCH("Razonar",$R495))/(ISNUMBER(SEARCH("Conocer",$R495))+ISNUMBER(SEARCH("Aplicar",$R495))+ISNUMBER(SEARCH("Razonar",$R495))),0)</f>
        <v>0</v>
      </c>
      <c r="V495" s="8" t="s">
        <v>52</v>
      </c>
      <c r="W495" s="8" t="s">
        <v>67</v>
      </c>
    </row>
    <row r="496" customFormat="false" ht="15" hidden="false" customHeight="false" outlineLevel="0" collapsed="false">
      <c r="A496" s="8" t="s">
        <v>2411</v>
      </c>
      <c r="B496" s="8" t="n">
        <v>8</v>
      </c>
      <c r="C496" s="8" t="s">
        <v>411</v>
      </c>
      <c r="D496" s="8" t="s">
        <v>2218</v>
      </c>
      <c r="E496" s="8" t="s">
        <v>2359</v>
      </c>
      <c r="F496" s="8" t="n">
        <v>18</v>
      </c>
      <c r="G496" s="8" t="s">
        <v>2360</v>
      </c>
      <c r="H496" s="8" t="s">
        <v>2412</v>
      </c>
      <c r="I496" s="27" t="s">
        <v>2413</v>
      </c>
      <c r="J496" s="8" t="s">
        <v>185</v>
      </c>
      <c r="K496" s="8" t="s">
        <v>231</v>
      </c>
      <c r="L496" s="8"/>
      <c r="M496" s="8" t="str">
        <f aca="false">IF(K496="FUERA","Fuera del marco",IF(K496="N/A","Sin marco",IFERROR(INDEX(Catalogo_TIMSS!$C$5:$C$105,MATCH(K496,Catalogo_TIMSS!$A$5:$A$105,0)),"Pendiente de clasificar")))</f>
        <v>Química</v>
      </c>
      <c r="N496" s="8" t="str">
        <f aca="false">IF(K496="FUERA","Fuera del marco",IF(K496="N/A","Sin marco",IFERROR(INDEX(Catalogo_TIMSS!$F$5:$F$105,MATCH(K496,Catalogo_TIMSS!$A$5:$A$105,0)),"Pendiente de clasificar")))</f>
        <v>Propiedades de la materia</v>
      </c>
      <c r="O496" s="8" t="str">
        <f aca="false">IF(L496="","",IFERROR(INDEX(Catalogo_TIMSS!$C$5:$C$105,MATCH(L496,Catalogo_TIMSS!$A$5:$A$105,0)),"?"))</f>
        <v/>
      </c>
      <c r="P496" s="8" t="s">
        <v>418</v>
      </c>
      <c r="Q496" s="27" t="s">
        <v>2414</v>
      </c>
      <c r="R496" s="27" t="s">
        <v>1566</v>
      </c>
      <c r="S496" s="28" t="n">
        <f aca="false">IFERROR(ISNUMBER(SEARCH("Conocer",$R496))/(ISNUMBER(SEARCH("Conocer",$R496))+ISNUMBER(SEARCH("Aplicar",$R496))+ISNUMBER(SEARCH("Razonar",$R496))),0)</f>
        <v>0</v>
      </c>
      <c r="T496" s="28" t="n">
        <f aca="false">IFERROR(ISNUMBER(SEARCH("Aplicar",$R496))/(ISNUMBER(SEARCH("Conocer",$R496))+ISNUMBER(SEARCH("Aplicar",$R496))+ISNUMBER(SEARCH("Razonar",$R496))),0)</f>
        <v>0</v>
      </c>
      <c r="U496" s="28" t="n">
        <f aca="false">IFERROR(ISNUMBER(SEARCH("Razonar",$R496))/(ISNUMBER(SEARCH("Conocer",$R496))+ISNUMBER(SEARCH("Aplicar",$R496))+ISNUMBER(SEARCH("Razonar",$R496))),0)</f>
        <v>1</v>
      </c>
      <c r="V496" s="8" t="s">
        <v>52</v>
      </c>
      <c r="W496" s="8" t="s">
        <v>67</v>
      </c>
    </row>
    <row r="497" customFormat="false" ht="15" hidden="false" customHeight="false" outlineLevel="0" collapsed="false">
      <c r="A497" s="8" t="s">
        <v>2415</v>
      </c>
      <c r="B497" s="8" t="n">
        <v>8</v>
      </c>
      <c r="C497" s="8" t="s">
        <v>411</v>
      </c>
      <c r="D497" s="8" t="s">
        <v>2218</v>
      </c>
      <c r="E497" s="8" t="s">
        <v>2359</v>
      </c>
      <c r="F497" s="8" t="n">
        <v>19</v>
      </c>
      <c r="G497" s="8" t="s">
        <v>2360</v>
      </c>
      <c r="H497" s="8" t="s">
        <v>2412</v>
      </c>
      <c r="I497" s="27" t="s">
        <v>2416</v>
      </c>
      <c r="J497" s="8" t="s">
        <v>185</v>
      </c>
      <c r="K497" s="8" t="s">
        <v>231</v>
      </c>
      <c r="L497" s="8" t="s">
        <v>242</v>
      </c>
      <c r="M497" s="8" t="str">
        <f aca="false">IF(K497="FUERA","Fuera del marco",IF(K497="N/A","Sin marco",IFERROR(INDEX(Catalogo_TIMSS!$C$5:$C$105,MATCH(K497,Catalogo_TIMSS!$A$5:$A$105,0)),"Pendiente de clasificar")))</f>
        <v>Química</v>
      </c>
      <c r="N497" s="8" t="str">
        <f aca="false">IF(K497="FUERA","Fuera del marco",IF(K497="N/A","Sin marco",IFERROR(INDEX(Catalogo_TIMSS!$F$5:$F$105,MATCH(K497,Catalogo_TIMSS!$A$5:$A$105,0)),"Pendiente de clasificar")))</f>
        <v>Propiedades de la materia</v>
      </c>
      <c r="O497" s="8" t="str">
        <f aca="false">IF(L497="","",IFERROR(INDEX(Catalogo_TIMSS!$C$5:$C$105,MATCH(L497,Catalogo_TIMSS!$A$5:$A$105,0)),"?"))</f>
        <v>Física</v>
      </c>
      <c r="P497" s="8" t="s">
        <v>418</v>
      </c>
      <c r="Q497" s="27" t="s">
        <v>2417</v>
      </c>
      <c r="R497" s="27" t="s">
        <v>642</v>
      </c>
      <c r="S497" s="28" t="n">
        <f aca="false">IFERROR(ISNUMBER(SEARCH("Conocer",$R497))/(ISNUMBER(SEARCH("Conocer",$R497))+ISNUMBER(SEARCH("Aplicar",$R497))+ISNUMBER(SEARCH("Razonar",$R497))),0)</f>
        <v>0</v>
      </c>
      <c r="T497" s="28" t="n">
        <f aca="false">IFERROR(ISNUMBER(SEARCH("Aplicar",$R497))/(ISNUMBER(SEARCH("Conocer",$R497))+ISNUMBER(SEARCH("Aplicar",$R497))+ISNUMBER(SEARCH("Razonar",$R497))),0)</f>
        <v>1</v>
      </c>
      <c r="U497" s="28" t="n">
        <f aca="false">IFERROR(ISNUMBER(SEARCH("Razonar",$R497))/(ISNUMBER(SEARCH("Conocer",$R497))+ISNUMBER(SEARCH("Aplicar",$R497))+ISNUMBER(SEARCH("Razonar",$R497))),0)</f>
        <v>0</v>
      </c>
      <c r="V497" s="8" t="s">
        <v>52</v>
      </c>
      <c r="W497" s="8" t="s">
        <v>67</v>
      </c>
    </row>
    <row r="498" customFormat="false" ht="15" hidden="false" customHeight="false" outlineLevel="0" collapsed="false">
      <c r="A498" s="8" t="s">
        <v>2418</v>
      </c>
      <c r="B498" s="8" t="n">
        <v>8</v>
      </c>
      <c r="C498" s="8" t="s">
        <v>411</v>
      </c>
      <c r="D498" s="8" t="s">
        <v>2218</v>
      </c>
      <c r="E498" s="8" t="s">
        <v>2359</v>
      </c>
      <c r="F498" s="8" t="n">
        <v>20</v>
      </c>
      <c r="G498" s="8" t="s">
        <v>2360</v>
      </c>
      <c r="H498" s="8" t="s">
        <v>2419</v>
      </c>
      <c r="I498" s="27" t="s">
        <v>2420</v>
      </c>
      <c r="J498" s="8" t="s">
        <v>185</v>
      </c>
      <c r="K498" s="8" t="s">
        <v>231</v>
      </c>
      <c r="L498" s="8" t="s">
        <v>245</v>
      </c>
      <c r="M498" s="8" t="str">
        <f aca="false">IF(K498="FUERA","Fuera del marco",IF(K498="N/A","Sin marco",IFERROR(INDEX(Catalogo_TIMSS!$C$5:$C$105,MATCH(K498,Catalogo_TIMSS!$A$5:$A$105,0)),"Pendiente de clasificar")))</f>
        <v>Química</v>
      </c>
      <c r="N498" s="8" t="str">
        <f aca="false">IF(K498="FUERA","Fuera del marco",IF(K498="N/A","Sin marco",IFERROR(INDEX(Catalogo_TIMSS!$F$5:$F$105,MATCH(K498,Catalogo_TIMSS!$A$5:$A$105,0)),"Pendiente de clasificar")))</f>
        <v>Propiedades de la materia</v>
      </c>
      <c r="O498" s="8" t="str">
        <f aca="false">IF(L498="","",IFERROR(INDEX(Catalogo_TIMSS!$C$5:$C$105,MATCH(L498,Catalogo_TIMSS!$A$5:$A$105,0)),"?"))</f>
        <v>Física</v>
      </c>
      <c r="P498" s="8" t="s">
        <v>460</v>
      </c>
      <c r="Q498" s="27" t="s">
        <v>2421</v>
      </c>
      <c r="R498" s="27" t="s">
        <v>1833</v>
      </c>
      <c r="S498" s="28" t="n">
        <f aca="false">IFERROR(ISNUMBER(SEARCH("Conocer",$R498))/(ISNUMBER(SEARCH("Conocer",$R498))+ISNUMBER(SEARCH("Aplicar",$R498))+ISNUMBER(SEARCH("Razonar",$R498))),0)</f>
        <v>1</v>
      </c>
      <c r="T498" s="28" t="n">
        <f aca="false">IFERROR(ISNUMBER(SEARCH("Aplicar",$R498))/(ISNUMBER(SEARCH("Conocer",$R498))+ISNUMBER(SEARCH("Aplicar",$R498))+ISNUMBER(SEARCH("Razonar",$R498))),0)</f>
        <v>0</v>
      </c>
      <c r="U498" s="28" t="n">
        <f aca="false">IFERROR(ISNUMBER(SEARCH("Razonar",$R498))/(ISNUMBER(SEARCH("Conocer",$R498))+ISNUMBER(SEARCH("Aplicar",$R498))+ISNUMBER(SEARCH("Razonar",$R498))),0)</f>
        <v>0</v>
      </c>
      <c r="V498" s="8" t="s">
        <v>52</v>
      </c>
      <c r="W498" s="8" t="s">
        <v>67</v>
      </c>
    </row>
    <row r="499" customFormat="false" ht="15" hidden="false" customHeight="false" outlineLevel="0" collapsed="false">
      <c r="A499" s="8" t="s">
        <v>2422</v>
      </c>
      <c r="B499" s="8" t="n">
        <v>8</v>
      </c>
      <c r="C499" s="8" t="s">
        <v>411</v>
      </c>
      <c r="D499" s="8" t="s">
        <v>2218</v>
      </c>
      <c r="E499" s="8" t="s">
        <v>2359</v>
      </c>
      <c r="F499" s="8" t="n">
        <v>21</v>
      </c>
      <c r="G499" s="8" t="s">
        <v>2360</v>
      </c>
      <c r="H499" s="8" t="s">
        <v>2423</v>
      </c>
      <c r="I499" s="27" t="s">
        <v>2424</v>
      </c>
      <c r="J499" s="8" t="s">
        <v>185</v>
      </c>
      <c r="K499" s="8" t="s">
        <v>231</v>
      </c>
      <c r="L499" s="8" t="s">
        <v>245</v>
      </c>
      <c r="M499" s="8" t="str">
        <f aca="false">IF(K499="FUERA","Fuera del marco",IF(K499="N/A","Sin marco",IFERROR(INDEX(Catalogo_TIMSS!$C$5:$C$105,MATCH(K499,Catalogo_TIMSS!$A$5:$A$105,0)),"Pendiente de clasificar")))</f>
        <v>Química</v>
      </c>
      <c r="N499" s="8" t="str">
        <f aca="false">IF(K499="FUERA","Fuera del marco",IF(K499="N/A","Sin marco",IFERROR(INDEX(Catalogo_TIMSS!$F$5:$F$105,MATCH(K499,Catalogo_TIMSS!$A$5:$A$105,0)),"Pendiente de clasificar")))</f>
        <v>Propiedades de la materia</v>
      </c>
      <c r="O499" s="8" t="str">
        <f aca="false">IF(L499="","",IFERROR(INDEX(Catalogo_TIMSS!$C$5:$C$105,MATCH(L499,Catalogo_TIMSS!$A$5:$A$105,0)),"?"))</f>
        <v>Física</v>
      </c>
      <c r="P499" s="8" t="s">
        <v>460</v>
      </c>
      <c r="Q499" s="27" t="s">
        <v>2425</v>
      </c>
      <c r="R499" s="27" t="s">
        <v>1759</v>
      </c>
      <c r="S499" s="28" t="n">
        <f aca="false">IFERROR(ISNUMBER(SEARCH("Conocer",$R499))/(ISNUMBER(SEARCH("Conocer",$R499))+ISNUMBER(SEARCH("Aplicar",$R499))+ISNUMBER(SEARCH("Razonar",$R499))),0)</f>
        <v>0</v>
      </c>
      <c r="T499" s="28" t="n">
        <f aca="false">IFERROR(ISNUMBER(SEARCH("Aplicar",$R499))/(ISNUMBER(SEARCH("Conocer",$R499))+ISNUMBER(SEARCH("Aplicar",$R499))+ISNUMBER(SEARCH("Razonar",$R499))),0)</f>
        <v>0.5</v>
      </c>
      <c r="U499" s="28" t="n">
        <f aca="false">IFERROR(ISNUMBER(SEARCH("Razonar",$R499))/(ISNUMBER(SEARCH("Conocer",$R499))+ISNUMBER(SEARCH("Aplicar",$R499))+ISNUMBER(SEARCH("Razonar",$R499))),0)</f>
        <v>0.5</v>
      </c>
      <c r="V499" s="8" t="s">
        <v>52</v>
      </c>
      <c r="W499" s="8" t="s">
        <v>67</v>
      </c>
    </row>
    <row r="500" customFormat="false" ht="15" hidden="false" customHeight="false" outlineLevel="0" collapsed="false">
      <c r="A500" s="8" t="s">
        <v>2426</v>
      </c>
      <c r="B500" s="8" t="n">
        <v>8</v>
      </c>
      <c r="C500" s="8" t="s">
        <v>411</v>
      </c>
      <c r="D500" s="8" t="s">
        <v>2218</v>
      </c>
      <c r="E500" s="8" t="s">
        <v>2359</v>
      </c>
      <c r="F500" s="8" t="n">
        <v>22</v>
      </c>
      <c r="G500" s="8" t="s">
        <v>2360</v>
      </c>
      <c r="H500" s="8" t="s">
        <v>2423</v>
      </c>
      <c r="I500" s="27" t="s">
        <v>2427</v>
      </c>
      <c r="J500" s="8" t="s">
        <v>185</v>
      </c>
      <c r="K500" s="8" t="s">
        <v>231</v>
      </c>
      <c r="L500" s="8"/>
      <c r="M500" s="8" t="str">
        <f aca="false">IF(K500="FUERA","Fuera del marco",IF(K500="N/A","Sin marco",IFERROR(INDEX(Catalogo_TIMSS!$C$5:$C$105,MATCH(K500,Catalogo_TIMSS!$A$5:$A$105,0)),"Pendiente de clasificar")))</f>
        <v>Química</v>
      </c>
      <c r="N500" s="8" t="str">
        <f aca="false">IF(K500="FUERA","Fuera del marco",IF(K500="N/A","Sin marco",IFERROR(INDEX(Catalogo_TIMSS!$F$5:$F$105,MATCH(K500,Catalogo_TIMSS!$A$5:$A$105,0)),"Pendiente de clasificar")))</f>
        <v>Propiedades de la materia</v>
      </c>
      <c r="O500" s="8" t="str">
        <f aca="false">IF(L500="","",IFERROR(INDEX(Catalogo_TIMSS!$C$5:$C$105,MATCH(L500,Catalogo_TIMSS!$A$5:$A$105,0)),"?"))</f>
        <v/>
      </c>
      <c r="P500" s="8" t="s">
        <v>460</v>
      </c>
      <c r="Q500" s="27" t="s">
        <v>2428</v>
      </c>
      <c r="R500" s="27" t="s">
        <v>2429</v>
      </c>
      <c r="S500" s="28" t="n">
        <f aca="false">IFERROR(ISNUMBER(SEARCH("Conocer",$R500))/(ISNUMBER(SEARCH("Conocer",$R500))+ISNUMBER(SEARCH("Aplicar",$R500))+ISNUMBER(SEARCH("Razonar",$R500))),0)</f>
        <v>0</v>
      </c>
      <c r="T500" s="28" t="n">
        <f aca="false">IFERROR(ISNUMBER(SEARCH("Aplicar",$R500))/(ISNUMBER(SEARCH("Conocer",$R500))+ISNUMBER(SEARCH("Aplicar",$R500))+ISNUMBER(SEARCH("Razonar",$R500))),0)</f>
        <v>0.5</v>
      </c>
      <c r="U500" s="28" t="n">
        <f aca="false">IFERROR(ISNUMBER(SEARCH("Razonar",$R500))/(ISNUMBER(SEARCH("Conocer",$R500))+ISNUMBER(SEARCH("Aplicar",$R500))+ISNUMBER(SEARCH("Razonar",$R500))),0)</f>
        <v>0.5</v>
      </c>
      <c r="V500" s="8" t="s">
        <v>52</v>
      </c>
      <c r="W500" s="8" t="s">
        <v>67</v>
      </c>
    </row>
    <row r="501" customFormat="false" ht="15" hidden="false" customHeight="false" outlineLevel="0" collapsed="false">
      <c r="A501" s="8" t="s">
        <v>2430</v>
      </c>
      <c r="B501" s="8" t="n">
        <v>8</v>
      </c>
      <c r="C501" s="8" t="s">
        <v>411</v>
      </c>
      <c r="D501" s="8" t="s">
        <v>2218</v>
      </c>
      <c r="E501" s="8" t="s">
        <v>2431</v>
      </c>
      <c r="F501" s="8" t="n">
        <v>3</v>
      </c>
      <c r="G501" s="8" t="s">
        <v>2432</v>
      </c>
      <c r="H501" s="8" t="s">
        <v>2433</v>
      </c>
      <c r="I501" s="27" t="s">
        <v>2434</v>
      </c>
      <c r="J501" s="8" t="s">
        <v>185</v>
      </c>
      <c r="K501" s="8" t="s">
        <v>280</v>
      </c>
      <c r="L501" s="8"/>
      <c r="M501" s="8" t="str">
        <f aca="false">IF(K501="FUERA","Fuera del marco",IF(K501="N/A","Sin marco",IFERROR(INDEX(Catalogo_TIMSS!$C$5:$C$105,MATCH(K501,Catalogo_TIMSS!$A$5:$A$105,0)),"Pendiente de clasificar")))</f>
        <v>Ciencias de la Tierra</v>
      </c>
      <c r="N501" s="8" t="str">
        <f aca="false">IF(K501="FUERA","Fuera del marco",IF(K501="N/A","Sin marco",IFERROR(INDEX(Catalogo_TIMSS!$F$5:$F$105,MATCH(K501,Catalogo_TIMSS!$A$5:$A$105,0)),"Pendiente de clasificar")))</f>
        <v>Recursos de la Tierra, uso y conservación</v>
      </c>
      <c r="O501" s="8" t="str">
        <f aca="false">IF(L501="","",IFERROR(INDEX(Catalogo_TIMSS!$C$5:$C$105,MATCH(L501,Catalogo_TIMSS!$A$5:$A$105,0)),"?"))</f>
        <v/>
      </c>
      <c r="P501" s="8" t="s">
        <v>460</v>
      </c>
      <c r="Q501" s="27" t="s">
        <v>2435</v>
      </c>
      <c r="R501" s="27" t="s">
        <v>2289</v>
      </c>
      <c r="S501" s="28" t="n">
        <f aca="false">IFERROR(ISNUMBER(SEARCH("Conocer",$R501))/(ISNUMBER(SEARCH("Conocer",$R501))+ISNUMBER(SEARCH("Aplicar",$R501))+ISNUMBER(SEARCH("Razonar",$R501))),0)</f>
        <v>1</v>
      </c>
      <c r="T501" s="28" t="n">
        <f aca="false">IFERROR(ISNUMBER(SEARCH("Aplicar",$R501))/(ISNUMBER(SEARCH("Conocer",$R501))+ISNUMBER(SEARCH("Aplicar",$R501))+ISNUMBER(SEARCH("Razonar",$R501))),0)</f>
        <v>0</v>
      </c>
      <c r="U501" s="28" t="n">
        <f aca="false">IFERROR(ISNUMBER(SEARCH("Razonar",$R501))/(ISNUMBER(SEARCH("Conocer",$R501))+ISNUMBER(SEARCH("Aplicar",$R501))+ISNUMBER(SEARCH("Razonar",$R501))),0)</f>
        <v>0</v>
      </c>
      <c r="V501" s="8" t="s">
        <v>52</v>
      </c>
      <c r="W501" s="8" t="s">
        <v>67</v>
      </c>
    </row>
    <row r="502" customFormat="false" ht="15" hidden="false" customHeight="false" outlineLevel="0" collapsed="false">
      <c r="A502" s="8" t="s">
        <v>2436</v>
      </c>
      <c r="B502" s="8" t="n">
        <v>8</v>
      </c>
      <c r="C502" s="8" t="s">
        <v>411</v>
      </c>
      <c r="D502" s="8" t="s">
        <v>2218</v>
      </c>
      <c r="E502" s="8" t="s">
        <v>2431</v>
      </c>
      <c r="F502" s="8" t="n">
        <v>4</v>
      </c>
      <c r="G502" s="8" t="s">
        <v>2432</v>
      </c>
      <c r="H502" s="8" t="s">
        <v>2437</v>
      </c>
      <c r="I502" s="27" t="s">
        <v>2438</v>
      </c>
      <c r="J502" s="8" t="s">
        <v>185</v>
      </c>
      <c r="K502" s="8" t="s">
        <v>229</v>
      </c>
      <c r="L502" s="8"/>
      <c r="M502" s="8" t="str">
        <f aca="false">IF(K502="FUERA","Fuera del marco",IF(K502="N/A","Sin marco",IFERROR(INDEX(Catalogo_TIMSS!$C$5:$C$105,MATCH(K502,Catalogo_TIMSS!$A$5:$A$105,0)),"Pendiente de clasificar")))</f>
        <v>Química</v>
      </c>
      <c r="N502" s="8" t="str">
        <f aca="false">IF(K502="FUERA","Fuera del marco",IF(K502="N/A","Sin marco",IFERROR(INDEX(Catalogo_TIMSS!$F$5:$F$105,MATCH(K502,Catalogo_TIMSS!$A$5:$A$105,0)),"Pendiente de clasificar")))</f>
        <v>Propiedades de la materia</v>
      </c>
      <c r="O502" s="8" t="str">
        <f aca="false">IF(L502="","",IFERROR(INDEX(Catalogo_TIMSS!$C$5:$C$105,MATCH(L502,Catalogo_TIMSS!$A$5:$A$105,0)),"?"))</f>
        <v/>
      </c>
      <c r="P502" s="8" t="s">
        <v>460</v>
      </c>
      <c r="Q502" s="27" t="s">
        <v>2439</v>
      </c>
      <c r="R502" s="27" t="s">
        <v>2440</v>
      </c>
      <c r="S502" s="28" t="n">
        <f aca="false">IFERROR(ISNUMBER(SEARCH("Conocer",$R502))/(ISNUMBER(SEARCH("Conocer",$R502))+ISNUMBER(SEARCH("Aplicar",$R502))+ISNUMBER(SEARCH("Razonar",$R502))),0)</f>
        <v>0</v>
      </c>
      <c r="T502" s="28" t="n">
        <f aca="false">IFERROR(ISNUMBER(SEARCH("Aplicar",$R502))/(ISNUMBER(SEARCH("Conocer",$R502))+ISNUMBER(SEARCH("Aplicar",$R502))+ISNUMBER(SEARCH("Razonar",$R502))),0)</f>
        <v>1</v>
      </c>
      <c r="U502" s="28" t="n">
        <f aca="false">IFERROR(ISNUMBER(SEARCH("Razonar",$R502))/(ISNUMBER(SEARCH("Conocer",$R502))+ISNUMBER(SEARCH("Aplicar",$R502))+ISNUMBER(SEARCH("Razonar",$R502))),0)</f>
        <v>0</v>
      </c>
      <c r="V502" s="8" t="s">
        <v>52</v>
      </c>
      <c r="W502" s="8" t="s">
        <v>67</v>
      </c>
    </row>
    <row r="503" customFormat="false" ht="15" hidden="false" customHeight="false" outlineLevel="0" collapsed="false">
      <c r="A503" s="8" t="s">
        <v>2441</v>
      </c>
      <c r="B503" s="8" t="n">
        <v>8</v>
      </c>
      <c r="C503" s="8" t="s">
        <v>411</v>
      </c>
      <c r="D503" s="8" t="s">
        <v>2218</v>
      </c>
      <c r="E503" s="8" t="s">
        <v>2431</v>
      </c>
      <c r="F503" s="8" t="n">
        <v>5</v>
      </c>
      <c r="G503" s="8" t="s">
        <v>2432</v>
      </c>
      <c r="H503" s="8" t="s">
        <v>2437</v>
      </c>
      <c r="I503" s="27" t="s">
        <v>2442</v>
      </c>
      <c r="J503" s="8" t="s">
        <v>185</v>
      </c>
      <c r="K503" s="8" t="s">
        <v>222</v>
      </c>
      <c r="L503" s="8"/>
      <c r="M503" s="8" t="str">
        <f aca="false">IF(K503="FUERA","Fuera del marco",IF(K503="N/A","Sin marco",IFERROR(INDEX(Catalogo_TIMSS!$C$5:$C$105,MATCH(K503,Catalogo_TIMSS!$A$5:$A$105,0)),"Pendiente de clasificar")))</f>
        <v>Química</v>
      </c>
      <c r="N503" s="8" t="str">
        <f aca="false">IF(K503="FUERA","Fuera del marco",IF(K503="N/A","Sin marco",IFERROR(INDEX(Catalogo_TIMSS!$F$5:$F$105,MATCH(K503,Catalogo_TIMSS!$A$5:$A$105,0)),"Pendiente de clasificar")))</f>
        <v>Composición de la materia</v>
      </c>
      <c r="O503" s="8" t="str">
        <f aca="false">IF(L503="","",IFERROR(INDEX(Catalogo_TIMSS!$C$5:$C$105,MATCH(L503,Catalogo_TIMSS!$A$5:$A$105,0)),"?"))</f>
        <v/>
      </c>
      <c r="P503" s="8" t="s">
        <v>460</v>
      </c>
      <c r="Q503" s="27" t="s">
        <v>2443</v>
      </c>
      <c r="R503" s="27" t="s">
        <v>451</v>
      </c>
      <c r="S503" s="28" t="n">
        <f aca="false">IFERROR(ISNUMBER(SEARCH("Conocer",$R503))/(ISNUMBER(SEARCH("Conocer",$R503))+ISNUMBER(SEARCH("Aplicar",$R503))+ISNUMBER(SEARCH("Razonar",$R503))),0)</f>
        <v>0</v>
      </c>
      <c r="T503" s="28" t="n">
        <f aca="false">IFERROR(ISNUMBER(SEARCH("Aplicar",$R503))/(ISNUMBER(SEARCH("Conocer",$R503))+ISNUMBER(SEARCH("Aplicar",$R503))+ISNUMBER(SEARCH("Razonar",$R503))),0)</f>
        <v>1</v>
      </c>
      <c r="U503" s="28" t="n">
        <f aca="false">IFERROR(ISNUMBER(SEARCH("Razonar",$R503))/(ISNUMBER(SEARCH("Conocer",$R503))+ISNUMBER(SEARCH("Aplicar",$R503))+ISNUMBER(SEARCH("Razonar",$R503))),0)</f>
        <v>0</v>
      </c>
      <c r="V503" s="8" t="s">
        <v>52</v>
      </c>
      <c r="W503" s="8" t="s">
        <v>67</v>
      </c>
    </row>
    <row r="504" customFormat="false" ht="15" hidden="false" customHeight="false" outlineLevel="0" collapsed="false">
      <c r="A504" s="8" t="s">
        <v>2444</v>
      </c>
      <c r="B504" s="8" t="n">
        <v>8</v>
      </c>
      <c r="C504" s="8" t="s">
        <v>411</v>
      </c>
      <c r="D504" s="8" t="s">
        <v>2218</v>
      </c>
      <c r="E504" s="8" t="s">
        <v>2431</v>
      </c>
      <c r="F504" s="8" t="n">
        <v>6</v>
      </c>
      <c r="G504" s="8" t="s">
        <v>2432</v>
      </c>
      <c r="H504" s="8" t="s">
        <v>2445</v>
      </c>
      <c r="I504" s="27" t="s">
        <v>2446</v>
      </c>
      <c r="J504" s="8" t="s">
        <v>185</v>
      </c>
      <c r="K504" s="8" t="s">
        <v>273</v>
      </c>
      <c r="L504" s="8" t="s">
        <v>231</v>
      </c>
      <c r="M504" s="8" t="str">
        <f aca="false">IF(K504="FUERA","Fuera del marco",IF(K504="N/A","Sin marco",IFERROR(INDEX(Catalogo_TIMSS!$C$5:$C$105,MATCH(K504,Catalogo_TIMSS!$A$5:$A$105,0)),"Pendiente de clasificar")))</f>
        <v>Ciencias de la Tierra</v>
      </c>
      <c r="N504" s="8" t="str">
        <f aca="false">IF(K504="FUERA","Fuera del marco",IF(K504="N/A","Sin marco",IFERROR(INDEX(Catalogo_TIMSS!$F$5:$F$105,MATCH(K504,Catalogo_TIMSS!$A$5:$A$105,0)),"Pendiente de clasificar")))</f>
        <v>Procesos, ciclos e historia de la Tierra</v>
      </c>
      <c r="O504" s="8" t="str">
        <f aca="false">IF(L504="","",IFERROR(INDEX(Catalogo_TIMSS!$C$5:$C$105,MATCH(L504,Catalogo_TIMSS!$A$5:$A$105,0)),"?"))</f>
        <v>Química</v>
      </c>
      <c r="P504" s="8" t="s">
        <v>513</v>
      </c>
      <c r="Q504" s="27" t="s">
        <v>2447</v>
      </c>
      <c r="R504" s="27" t="s">
        <v>2448</v>
      </c>
      <c r="S504" s="28" t="n">
        <f aca="false">IFERROR(ISNUMBER(SEARCH("Conocer",$R504))/(ISNUMBER(SEARCH("Conocer",$R504))+ISNUMBER(SEARCH("Aplicar",$R504))+ISNUMBER(SEARCH("Razonar",$R504))),0)</f>
        <v>0</v>
      </c>
      <c r="T504" s="28" t="n">
        <f aca="false">IFERROR(ISNUMBER(SEARCH("Aplicar",$R504))/(ISNUMBER(SEARCH("Conocer",$R504))+ISNUMBER(SEARCH("Aplicar",$R504))+ISNUMBER(SEARCH("Razonar",$R504))),0)</f>
        <v>0</v>
      </c>
      <c r="U504" s="28" t="n">
        <f aca="false">IFERROR(ISNUMBER(SEARCH("Razonar",$R504))/(ISNUMBER(SEARCH("Conocer",$R504))+ISNUMBER(SEARCH("Aplicar",$R504))+ISNUMBER(SEARCH("Razonar",$R504))),0)</f>
        <v>1</v>
      </c>
      <c r="V504" s="8" t="s">
        <v>52</v>
      </c>
      <c r="W504" s="8" t="s">
        <v>67</v>
      </c>
    </row>
    <row r="505" customFormat="false" ht="15" hidden="false" customHeight="false" outlineLevel="0" collapsed="false">
      <c r="A505" s="8" t="s">
        <v>2449</v>
      </c>
      <c r="B505" s="8" t="n">
        <v>8</v>
      </c>
      <c r="C505" s="8" t="s">
        <v>411</v>
      </c>
      <c r="D505" s="8" t="s">
        <v>2218</v>
      </c>
      <c r="E505" s="8" t="s">
        <v>2431</v>
      </c>
      <c r="F505" s="8" t="n">
        <v>7</v>
      </c>
      <c r="G505" s="8" t="s">
        <v>2432</v>
      </c>
      <c r="H505" s="8" t="s">
        <v>2445</v>
      </c>
      <c r="I505" s="27" t="s">
        <v>2450</v>
      </c>
      <c r="J505" s="8" t="s">
        <v>185</v>
      </c>
      <c r="K505" s="8" t="s">
        <v>229</v>
      </c>
      <c r="L505" s="8"/>
      <c r="M505" s="8" t="str">
        <f aca="false">IF(K505="FUERA","Fuera del marco",IF(K505="N/A","Sin marco",IFERROR(INDEX(Catalogo_TIMSS!$C$5:$C$105,MATCH(K505,Catalogo_TIMSS!$A$5:$A$105,0)),"Pendiente de clasificar")))</f>
        <v>Química</v>
      </c>
      <c r="N505" s="8" t="str">
        <f aca="false">IF(K505="FUERA","Fuera del marco",IF(K505="N/A","Sin marco",IFERROR(INDEX(Catalogo_TIMSS!$F$5:$F$105,MATCH(K505,Catalogo_TIMSS!$A$5:$A$105,0)),"Pendiente de clasificar")))</f>
        <v>Propiedades de la materia</v>
      </c>
      <c r="O505" s="8" t="str">
        <f aca="false">IF(L505="","",IFERROR(INDEX(Catalogo_TIMSS!$C$5:$C$105,MATCH(L505,Catalogo_TIMSS!$A$5:$A$105,0)),"?"))</f>
        <v/>
      </c>
      <c r="P505" s="8" t="s">
        <v>513</v>
      </c>
      <c r="Q505" s="27" t="s">
        <v>2451</v>
      </c>
      <c r="R505" s="27" t="s">
        <v>1464</v>
      </c>
      <c r="S505" s="28" t="n">
        <f aca="false">IFERROR(ISNUMBER(SEARCH("Conocer",$R505))/(ISNUMBER(SEARCH("Conocer",$R505))+ISNUMBER(SEARCH("Aplicar",$R505))+ISNUMBER(SEARCH("Razonar",$R505))),0)</f>
        <v>0</v>
      </c>
      <c r="T505" s="28" t="n">
        <f aca="false">IFERROR(ISNUMBER(SEARCH("Aplicar",$R505))/(ISNUMBER(SEARCH("Conocer",$R505))+ISNUMBER(SEARCH("Aplicar",$R505))+ISNUMBER(SEARCH("Razonar",$R505))),0)</f>
        <v>1</v>
      </c>
      <c r="U505" s="28" t="n">
        <f aca="false">IFERROR(ISNUMBER(SEARCH("Razonar",$R505))/(ISNUMBER(SEARCH("Conocer",$R505))+ISNUMBER(SEARCH("Aplicar",$R505))+ISNUMBER(SEARCH("Razonar",$R505))),0)</f>
        <v>0</v>
      </c>
      <c r="V505" s="8" t="s">
        <v>52</v>
      </c>
      <c r="W505" s="8" t="s">
        <v>67</v>
      </c>
    </row>
    <row r="506" customFormat="false" ht="15" hidden="false" customHeight="false" outlineLevel="0" collapsed="false">
      <c r="A506" s="8" t="s">
        <v>2452</v>
      </c>
      <c r="B506" s="8" t="n">
        <v>8</v>
      </c>
      <c r="C506" s="8" t="s">
        <v>411</v>
      </c>
      <c r="D506" s="8" t="s">
        <v>2218</v>
      </c>
      <c r="E506" s="8" t="s">
        <v>2431</v>
      </c>
      <c r="F506" s="8" t="n">
        <v>8</v>
      </c>
      <c r="G506" s="8" t="s">
        <v>2432</v>
      </c>
      <c r="H506" s="8" t="s">
        <v>2445</v>
      </c>
      <c r="I506" s="27" t="s">
        <v>2453</v>
      </c>
      <c r="J506" s="8" t="s">
        <v>185</v>
      </c>
      <c r="K506" s="8" t="s">
        <v>219</v>
      </c>
      <c r="L506" s="8"/>
      <c r="M506" s="8" t="str">
        <f aca="false">IF(K506="FUERA","Fuera del marco",IF(K506="N/A","Sin marco",IFERROR(INDEX(Catalogo_TIMSS!$C$5:$C$105,MATCH(K506,Catalogo_TIMSS!$A$5:$A$105,0)),"Pendiente de clasificar")))</f>
        <v>Química</v>
      </c>
      <c r="N506" s="8" t="str">
        <f aca="false">IF(K506="FUERA","Fuera del marco",IF(K506="N/A","Sin marco",IFERROR(INDEX(Catalogo_TIMSS!$F$5:$F$105,MATCH(K506,Catalogo_TIMSS!$A$5:$A$105,0)),"Pendiente de clasificar")))</f>
        <v>Composición de la materia</v>
      </c>
      <c r="O506" s="8" t="str">
        <f aca="false">IF(L506="","",IFERROR(INDEX(Catalogo_TIMSS!$C$5:$C$105,MATCH(L506,Catalogo_TIMSS!$A$5:$A$105,0)),"?"))</f>
        <v/>
      </c>
      <c r="P506" s="8" t="s">
        <v>513</v>
      </c>
      <c r="Q506" s="27" t="s">
        <v>2454</v>
      </c>
      <c r="R506" s="27" t="s">
        <v>1258</v>
      </c>
      <c r="S506" s="28" t="n">
        <f aca="false">IFERROR(ISNUMBER(SEARCH("Conocer",$R506))/(ISNUMBER(SEARCH("Conocer",$R506))+ISNUMBER(SEARCH("Aplicar",$R506))+ISNUMBER(SEARCH("Razonar",$R506))),0)</f>
        <v>0</v>
      </c>
      <c r="T506" s="28" t="n">
        <f aca="false">IFERROR(ISNUMBER(SEARCH("Aplicar",$R506))/(ISNUMBER(SEARCH("Conocer",$R506))+ISNUMBER(SEARCH("Aplicar",$R506))+ISNUMBER(SEARCH("Razonar",$R506))),0)</f>
        <v>1</v>
      </c>
      <c r="U506" s="28" t="n">
        <f aca="false">IFERROR(ISNUMBER(SEARCH("Razonar",$R506))/(ISNUMBER(SEARCH("Conocer",$R506))+ISNUMBER(SEARCH("Aplicar",$R506))+ISNUMBER(SEARCH("Razonar",$R506))),0)</f>
        <v>0</v>
      </c>
      <c r="V506" s="8" t="s">
        <v>52</v>
      </c>
      <c r="W506" s="8" t="s">
        <v>67</v>
      </c>
    </row>
    <row r="507" customFormat="false" ht="15" hidden="false" customHeight="false" outlineLevel="0" collapsed="false">
      <c r="A507" s="8" t="s">
        <v>2455</v>
      </c>
      <c r="B507" s="8" t="n">
        <v>8</v>
      </c>
      <c r="C507" s="8" t="s">
        <v>411</v>
      </c>
      <c r="D507" s="8" t="s">
        <v>2218</v>
      </c>
      <c r="E507" s="8" t="s">
        <v>2431</v>
      </c>
      <c r="F507" s="8" t="n">
        <v>9</v>
      </c>
      <c r="G507" s="8" t="s">
        <v>2432</v>
      </c>
      <c r="H507" s="8" t="s">
        <v>2456</v>
      </c>
      <c r="I507" s="27" t="s">
        <v>2457</v>
      </c>
      <c r="J507" s="8" t="s">
        <v>185</v>
      </c>
      <c r="K507" s="8" t="s">
        <v>273</v>
      </c>
      <c r="L507" s="8"/>
      <c r="M507" s="8" t="str">
        <f aca="false">IF(K507="FUERA","Fuera del marco",IF(K507="N/A","Sin marco",IFERROR(INDEX(Catalogo_TIMSS!$C$5:$C$105,MATCH(K507,Catalogo_TIMSS!$A$5:$A$105,0)),"Pendiente de clasificar")))</f>
        <v>Ciencias de la Tierra</v>
      </c>
      <c r="N507" s="8" t="str">
        <f aca="false">IF(K507="FUERA","Fuera del marco",IF(K507="N/A","Sin marco",IFERROR(INDEX(Catalogo_TIMSS!$F$5:$F$105,MATCH(K507,Catalogo_TIMSS!$A$5:$A$105,0)),"Pendiente de clasificar")))</f>
        <v>Procesos, ciclos e historia de la Tierra</v>
      </c>
      <c r="O507" s="8" t="str">
        <f aca="false">IF(L507="","",IFERROR(INDEX(Catalogo_TIMSS!$C$5:$C$105,MATCH(L507,Catalogo_TIMSS!$A$5:$A$105,0)),"?"))</f>
        <v/>
      </c>
      <c r="P507" s="8" t="s">
        <v>460</v>
      </c>
      <c r="Q507" s="27" t="s">
        <v>2458</v>
      </c>
      <c r="R507" s="27" t="s">
        <v>1464</v>
      </c>
      <c r="S507" s="28" t="n">
        <f aca="false">IFERROR(ISNUMBER(SEARCH("Conocer",$R507))/(ISNUMBER(SEARCH("Conocer",$R507))+ISNUMBER(SEARCH("Aplicar",$R507))+ISNUMBER(SEARCH("Razonar",$R507))),0)</f>
        <v>0</v>
      </c>
      <c r="T507" s="28" t="n">
        <f aca="false">IFERROR(ISNUMBER(SEARCH("Aplicar",$R507))/(ISNUMBER(SEARCH("Conocer",$R507))+ISNUMBER(SEARCH("Aplicar",$R507))+ISNUMBER(SEARCH("Razonar",$R507))),0)</f>
        <v>1</v>
      </c>
      <c r="U507" s="28" t="n">
        <f aca="false">IFERROR(ISNUMBER(SEARCH("Razonar",$R507))/(ISNUMBER(SEARCH("Conocer",$R507))+ISNUMBER(SEARCH("Aplicar",$R507))+ISNUMBER(SEARCH("Razonar",$R507))),0)</f>
        <v>0</v>
      </c>
      <c r="V507" s="8" t="s">
        <v>52</v>
      </c>
      <c r="W507" s="8" t="s">
        <v>67</v>
      </c>
    </row>
    <row r="508" customFormat="false" ht="15" hidden="false" customHeight="false" outlineLevel="0" collapsed="false">
      <c r="A508" s="8" t="s">
        <v>2459</v>
      </c>
      <c r="B508" s="8" t="n">
        <v>8</v>
      </c>
      <c r="C508" s="8" t="s">
        <v>411</v>
      </c>
      <c r="D508" s="8" t="s">
        <v>2218</v>
      </c>
      <c r="E508" s="8" t="s">
        <v>2431</v>
      </c>
      <c r="F508" s="8" t="n">
        <v>10</v>
      </c>
      <c r="G508" s="8" t="s">
        <v>2432</v>
      </c>
      <c r="H508" s="8" t="s">
        <v>2460</v>
      </c>
      <c r="I508" s="27" t="s">
        <v>2461</v>
      </c>
      <c r="J508" s="8" t="s">
        <v>185</v>
      </c>
      <c r="K508" s="8" t="s">
        <v>280</v>
      </c>
      <c r="L508" s="8"/>
      <c r="M508" s="8" t="str">
        <f aca="false">IF(K508="FUERA","Fuera del marco",IF(K508="N/A","Sin marco",IFERROR(INDEX(Catalogo_TIMSS!$C$5:$C$105,MATCH(K508,Catalogo_TIMSS!$A$5:$A$105,0)),"Pendiente de clasificar")))</f>
        <v>Ciencias de la Tierra</v>
      </c>
      <c r="N508" s="8" t="str">
        <f aca="false">IF(K508="FUERA","Fuera del marco",IF(K508="N/A","Sin marco",IFERROR(INDEX(Catalogo_TIMSS!$F$5:$F$105,MATCH(K508,Catalogo_TIMSS!$A$5:$A$105,0)),"Pendiente de clasificar")))</f>
        <v>Recursos de la Tierra, uso y conservación</v>
      </c>
      <c r="O508" s="8" t="str">
        <f aca="false">IF(L508="","",IFERROR(INDEX(Catalogo_TIMSS!$C$5:$C$105,MATCH(L508,Catalogo_TIMSS!$A$5:$A$105,0)),"?"))</f>
        <v/>
      </c>
      <c r="P508" s="8" t="s">
        <v>460</v>
      </c>
      <c r="Q508" s="27" t="s">
        <v>2462</v>
      </c>
      <c r="R508" s="27" t="s">
        <v>1529</v>
      </c>
      <c r="S508" s="28" t="n">
        <f aca="false">IFERROR(ISNUMBER(SEARCH("Conocer",$R508))/(ISNUMBER(SEARCH("Conocer",$R508))+ISNUMBER(SEARCH("Aplicar",$R508))+ISNUMBER(SEARCH("Razonar",$R508))),0)</f>
        <v>0</v>
      </c>
      <c r="T508" s="28" t="n">
        <f aca="false">IFERROR(ISNUMBER(SEARCH("Aplicar",$R508))/(ISNUMBER(SEARCH("Conocer",$R508))+ISNUMBER(SEARCH("Aplicar",$R508))+ISNUMBER(SEARCH("Razonar",$R508))),0)</f>
        <v>1</v>
      </c>
      <c r="U508" s="28" t="n">
        <f aca="false">IFERROR(ISNUMBER(SEARCH("Razonar",$R508))/(ISNUMBER(SEARCH("Conocer",$R508))+ISNUMBER(SEARCH("Aplicar",$R508))+ISNUMBER(SEARCH("Razonar",$R508))),0)</f>
        <v>0</v>
      </c>
      <c r="V508" s="8" t="s">
        <v>52</v>
      </c>
      <c r="W508" s="8" t="s">
        <v>67</v>
      </c>
    </row>
    <row r="509" customFormat="false" ht="15" hidden="false" customHeight="false" outlineLevel="0" collapsed="false">
      <c r="A509" s="8" t="s">
        <v>2463</v>
      </c>
      <c r="B509" s="8" t="n">
        <v>8</v>
      </c>
      <c r="C509" s="8" t="s">
        <v>411</v>
      </c>
      <c r="D509" s="8" t="s">
        <v>2218</v>
      </c>
      <c r="E509" s="8" t="s">
        <v>2431</v>
      </c>
      <c r="F509" s="8" t="n">
        <v>11</v>
      </c>
      <c r="G509" s="8" t="s">
        <v>2432</v>
      </c>
      <c r="H509" s="8" t="s">
        <v>2460</v>
      </c>
      <c r="I509" s="27" t="s">
        <v>2464</v>
      </c>
      <c r="J509" s="8" t="s">
        <v>185</v>
      </c>
      <c r="K509" s="8" t="s">
        <v>213</v>
      </c>
      <c r="L509" s="8" t="s">
        <v>280</v>
      </c>
      <c r="M509" s="8" t="str">
        <f aca="false">IF(K509="FUERA","Fuera del marco",IF(K509="N/A","Sin marco",IFERROR(INDEX(Catalogo_TIMSS!$C$5:$C$105,MATCH(K509,Catalogo_TIMSS!$A$5:$A$105,0)),"Pendiente de clasificar")))</f>
        <v>Biología</v>
      </c>
      <c r="N509" s="8" t="str">
        <f aca="false">IF(K509="FUERA","Fuera del marco",IF(K509="N/A","Sin marco",IFERROR(INDEX(Catalogo_TIMSS!$F$5:$F$105,MATCH(K509,Catalogo_TIMSS!$A$5:$A$105,0)),"Pendiente de clasificar")))</f>
        <v>Ecosistemas</v>
      </c>
      <c r="O509" s="8" t="str">
        <f aca="false">IF(L509="","",IFERROR(INDEX(Catalogo_TIMSS!$C$5:$C$105,MATCH(L509,Catalogo_TIMSS!$A$5:$A$105,0)),"?"))</f>
        <v>Ciencias de la Tierra</v>
      </c>
      <c r="P509" s="8" t="s">
        <v>460</v>
      </c>
      <c r="Q509" s="27" t="s">
        <v>2465</v>
      </c>
      <c r="R509" s="27" t="s">
        <v>2466</v>
      </c>
      <c r="S509" s="28" t="n">
        <f aca="false">IFERROR(ISNUMBER(SEARCH("Conocer",$R509))/(ISNUMBER(SEARCH("Conocer",$R509))+ISNUMBER(SEARCH("Aplicar",$R509))+ISNUMBER(SEARCH("Razonar",$R509))),0)</f>
        <v>0</v>
      </c>
      <c r="T509" s="28" t="n">
        <f aca="false">IFERROR(ISNUMBER(SEARCH("Aplicar",$R509))/(ISNUMBER(SEARCH("Conocer",$R509))+ISNUMBER(SEARCH("Aplicar",$R509))+ISNUMBER(SEARCH("Razonar",$R509))),0)</f>
        <v>0</v>
      </c>
      <c r="U509" s="28" t="n">
        <f aca="false">IFERROR(ISNUMBER(SEARCH("Razonar",$R509))/(ISNUMBER(SEARCH("Conocer",$R509))+ISNUMBER(SEARCH("Aplicar",$R509))+ISNUMBER(SEARCH("Razonar",$R509))),0)</f>
        <v>1</v>
      </c>
      <c r="V509" s="8" t="s">
        <v>52</v>
      </c>
      <c r="W509" s="8" t="s">
        <v>67</v>
      </c>
    </row>
    <row r="510" customFormat="false" ht="15" hidden="false" customHeight="false" outlineLevel="0" collapsed="false">
      <c r="A510" s="8" t="s">
        <v>2467</v>
      </c>
      <c r="B510" s="8" t="n">
        <v>8</v>
      </c>
      <c r="C510" s="8" t="s">
        <v>411</v>
      </c>
      <c r="D510" s="8" t="s">
        <v>2218</v>
      </c>
      <c r="E510" s="8" t="s">
        <v>2468</v>
      </c>
      <c r="F510" s="8" t="n">
        <v>3</v>
      </c>
      <c r="G510" s="8" t="s">
        <v>2469</v>
      </c>
      <c r="H510" s="8" t="s">
        <v>2470</v>
      </c>
      <c r="I510" s="27" t="s">
        <v>2471</v>
      </c>
      <c r="J510" s="8" t="s">
        <v>185</v>
      </c>
      <c r="K510" s="8" t="s">
        <v>191</v>
      </c>
      <c r="L510" s="8"/>
      <c r="M510" s="8" t="str">
        <f aca="false">IF(K510="FUERA","Fuera del marco",IF(K510="N/A","Sin marco",IFERROR(INDEX(Catalogo_TIMSS!$C$5:$C$105,MATCH(K510,Catalogo_TIMSS!$A$5:$A$105,0)),"Pendiente de clasificar")))</f>
        <v>Biología</v>
      </c>
      <c r="N510" s="8" t="str">
        <f aca="false">IF(K510="FUERA","Fuera del marco",IF(K510="N/A","Sin marco",IFERROR(INDEX(Catalogo_TIMSS!$F$5:$F$105,MATCH(K510,Catalogo_TIMSS!$A$5:$A$105,0)),"Pendiente de clasificar")))</f>
        <v>Células y sus funciones</v>
      </c>
      <c r="O510" s="8" t="str">
        <f aca="false">IF(L510="","",IFERROR(INDEX(Catalogo_TIMSS!$C$5:$C$105,MATCH(L510,Catalogo_TIMSS!$A$5:$A$105,0)),"?"))</f>
        <v/>
      </c>
      <c r="P510" s="8" t="s">
        <v>460</v>
      </c>
      <c r="Q510" s="27" t="s">
        <v>2472</v>
      </c>
      <c r="R510" s="27" t="s">
        <v>2473</v>
      </c>
      <c r="S510" s="28" t="n">
        <f aca="false">IFERROR(ISNUMBER(SEARCH("Conocer",$R510))/(ISNUMBER(SEARCH("Conocer",$R510))+ISNUMBER(SEARCH("Aplicar",$R510))+ISNUMBER(SEARCH("Razonar",$R510))),0)</f>
        <v>0</v>
      </c>
      <c r="T510" s="28" t="n">
        <f aca="false">IFERROR(ISNUMBER(SEARCH("Aplicar",$R510))/(ISNUMBER(SEARCH("Conocer",$R510))+ISNUMBER(SEARCH("Aplicar",$R510))+ISNUMBER(SEARCH("Razonar",$R510))),0)</f>
        <v>1</v>
      </c>
      <c r="U510" s="28" t="n">
        <f aca="false">IFERROR(ISNUMBER(SEARCH("Razonar",$R510))/(ISNUMBER(SEARCH("Conocer",$R510))+ISNUMBER(SEARCH("Aplicar",$R510))+ISNUMBER(SEARCH("Razonar",$R510))),0)</f>
        <v>0</v>
      </c>
      <c r="V510" s="8" t="s">
        <v>52</v>
      </c>
      <c r="W510" s="8" t="s">
        <v>67</v>
      </c>
    </row>
    <row r="511" customFormat="false" ht="15" hidden="false" customHeight="false" outlineLevel="0" collapsed="false">
      <c r="A511" s="8" t="s">
        <v>2474</v>
      </c>
      <c r="B511" s="8" t="n">
        <v>8</v>
      </c>
      <c r="C511" s="8" t="s">
        <v>411</v>
      </c>
      <c r="D511" s="8" t="s">
        <v>2218</v>
      </c>
      <c r="E511" s="8" t="s">
        <v>2468</v>
      </c>
      <c r="F511" s="8" t="n">
        <v>4</v>
      </c>
      <c r="G511" s="8" t="s">
        <v>2469</v>
      </c>
      <c r="H511" s="8" t="s">
        <v>2470</v>
      </c>
      <c r="I511" s="27" t="s">
        <v>2475</v>
      </c>
      <c r="J511" s="8" t="s">
        <v>185</v>
      </c>
      <c r="K511" s="8" t="s">
        <v>191</v>
      </c>
      <c r="L511" s="8"/>
      <c r="M511" s="8" t="str">
        <f aca="false">IF(K511="FUERA","Fuera del marco",IF(K511="N/A","Sin marco",IFERROR(INDEX(Catalogo_TIMSS!$C$5:$C$105,MATCH(K511,Catalogo_TIMSS!$A$5:$A$105,0)),"Pendiente de clasificar")))</f>
        <v>Biología</v>
      </c>
      <c r="N511" s="8" t="str">
        <f aca="false">IF(K511="FUERA","Fuera del marco",IF(K511="N/A","Sin marco",IFERROR(INDEX(Catalogo_TIMSS!$F$5:$F$105,MATCH(K511,Catalogo_TIMSS!$A$5:$A$105,0)),"Pendiente de clasificar")))</f>
        <v>Células y sus funciones</v>
      </c>
      <c r="O511" s="8" t="str">
        <f aca="false">IF(L511="","",IFERROR(INDEX(Catalogo_TIMSS!$C$5:$C$105,MATCH(L511,Catalogo_TIMSS!$A$5:$A$105,0)),"?"))</f>
        <v/>
      </c>
      <c r="P511" s="8" t="s">
        <v>418</v>
      </c>
      <c r="Q511" s="27" t="s">
        <v>2476</v>
      </c>
      <c r="R511" s="27" t="s">
        <v>1464</v>
      </c>
      <c r="S511" s="28" t="n">
        <f aca="false">IFERROR(ISNUMBER(SEARCH("Conocer",$R511))/(ISNUMBER(SEARCH("Conocer",$R511))+ISNUMBER(SEARCH("Aplicar",$R511))+ISNUMBER(SEARCH("Razonar",$R511))),0)</f>
        <v>0</v>
      </c>
      <c r="T511" s="28" t="n">
        <f aca="false">IFERROR(ISNUMBER(SEARCH("Aplicar",$R511))/(ISNUMBER(SEARCH("Conocer",$R511))+ISNUMBER(SEARCH("Aplicar",$R511))+ISNUMBER(SEARCH("Razonar",$R511))),0)</f>
        <v>1</v>
      </c>
      <c r="U511" s="28" t="n">
        <f aca="false">IFERROR(ISNUMBER(SEARCH("Razonar",$R511))/(ISNUMBER(SEARCH("Conocer",$R511))+ISNUMBER(SEARCH("Aplicar",$R511))+ISNUMBER(SEARCH("Razonar",$R511))),0)</f>
        <v>0</v>
      </c>
      <c r="V511" s="8" t="s">
        <v>52</v>
      </c>
      <c r="W511" s="8" t="s">
        <v>67</v>
      </c>
    </row>
    <row r="512" customFormat="false" ht="15" hidden="false" customHeight="false" outlineLevel="0" collapsed="false">
      <c r="A512" s="8" t="s">
        <v>2477</v>
      </c>
      <c r="B512" s="8" t="n">
        <v>8</v>
      </c>
      <c r="C512" s="8" t="s">
        <v>411</v>
      </c>
      <c r="D512" s="8" t="s">
        <v>2218</v>
      </c>
      <c r="E512" s="8" t="s">
        <v>2468</v>
      </c>
      <c r="F512" s="8" t="n">
        <v>5</v>
      </c>
      <c r="G512" s="8" t="s">
        <v>2469</v>
      </c>
      <c r="H512" s="8" t="s">
        <v>2470</v>
      </c>
      <c r="I512" s="27" t="s">
        <v>2478</v>
      </c>
      <c r="J512" s="8" t="s">
        <v>185</v>
      </c>
      <c r="K512" s="8" t="s">
        <v>191</v>
      </c>
      <c r="L512" s="8"/>
      <c r="M512" s="8" t="str">
        <f aca="false">IF(K512="FUERA","Fuera del marco",IF(K512="N/A","Sin marco",IFERROR(INDEX(Catalogo_TIMSS!$C$5:$C$105,MATCH(K512,Catalogo_TIMSS!$A$5:$A$105,0)),"Pendiente de clasificar")))</f>
        <v>Biología</v>
      </c>
      <c r="N512" s="8" t="str">
        <f aca="false">IF(K512="FUERA","Fuera del marco",IF(K512="N/A","Sin marco",IFERROR(INDEX(Catalogo_TIMSS!$F$5:$F$105,MATCH(K512,Catalogo_TIMSS!$A$5:$A$105,0)),"Pendiente de clasificar")))</f>
        <v>Células y sus funciones</v>
      </c>
      <c r="O512" s="8" t="str">
        <f aca="false">IF(L512="","",IFERROR(INDEX(Catalogo_TIMSS!$C$5:$C$105,MATCH(L512,Catalogo_TIMSS!$A$5:$A$105,0)),"?"))</f>
        <v/>
      </c>
      <c r="P512" s="8" t="s">
        <v>418</v>
      </c>
      <c r="Q512" s="27" t="s">
        <v>2479</v>
      </c>
      <c r="R512" s="27" t="s">
        <v>587</v>
      </c>
      <c r="S512" s="28" t="n">
        <f aca="false">IFERROR(ISNUMBER(SEARCH("Conocer",$R512))/(ISNUMBER(SEARCH("Conocer",$R512))+ISNUMBER(SEARCH("Aplicar",$R512))+ISNUMBER(SEARCH("Razonar",$R512))),0)</f>
        <v>0</v>
      </c>
      <c r="T512" s="28" t="n">
        <f aca="false">IFERROR(ISNUMBER(SEARCH("Aplicar",$R512))/(ISNUMBER(SEARCH("Conocer",$R512))+ISNUMBER(SEARCH("Aplicar",$R512))+ISNUMBER(SEARCH("Razonar",$R512))),0)</f>
        <v>1</v>
      </c>
      <c r="U512" s="28" t="n">
        <f aca="false">IFERROR(ISNUMBER(SEARCH("Razonar",$R512))/(ISNUMBER(SEARCH("Conocer",$R512))+ISNUMBER(SEARCH("Aplicar",$R512))+ISNUMBER(SEARCH("Razonar",$R512))),0)</f>
        <v>0</v>
      </c>
      <c r="V512" s="8" t="s">
        <v>52</v>
      </c>
      <c r="W512" s="8" t="s">
        <v>67</v>
      </c>
    </row>
    <row r="513" customFormat="false" ht="15" hidden="false" customHeight="false" outlineLevel="0" collapsed="false">
      <c r="A513" s="8" t="s">
        <v>2480</v>
      </c>
      <c r="B513" s="8" t="n">
        <v>8</v>
      </c>
      <c r="C513" s="8" t="s">
        <v>411</v>
      </c>
      <c r="D513" s="8" t="s">
        <v>2218</v>
      </c>
      <c r="E513" s="8" t="s">
        <v>2468</v>
      </c>
      <c r="F513" s="8" t="n">
        <v>6</v>
      </c>
      <c r="G513" s="8" t="s">
        <v>2469</v>
      </c>
      <c r="H513" s="8" t="s">
        <v>2481</v>
      </c>
      <c r="I513" s="27" t="s">
        <v>2482</v>
      </c>
      <c r="J513" s="8" t="s">
        <v>185</v>
      </c>
      <c r="K513" s="8" t="s">
        <v>187</v>
      </c>
      <c r="L513" s="8" t="s">
        <v>191</v>
      </c>
      <c r="M513" s="8" t="str">
        <f aca="false">IF(K513="FUERA","Fuera del marco",IF(K513="N/A","Sin marco",IFERROR(INDEX(Catalogo_TIMSS!$C$5:$C$105,MATCH(K513,Catalogo_TIMSS!$A$5:$A$105,0)),"Pendiente de clasificar")))</f>
        <v>Biología</v>
      </c>
      <c r="N513" s="8" t="str">
        <f aca="false">IF(K513="FUERA","Fuera del marco",IF(K513="N/A","Sin marco",IFERROR(INDEX(Catalogo_TIMSS!$F$5:$F$105,MATCH(K513,Catalogo_TIMSS!$A$5:$A$105,0)),"Pendiente de clasificar")))</f>
        <v>Características y procesos vitales de los organismos</v>
      </c>
      <c r="O513" s="8" t="str">
        <f aca="false">IF(L513="","",IFERROR(INDEX(Catalogo_TIMSS!$C$5:$C$105,MATCH(L513,Catalogo_TIMSS!$A$5:$A$105,0)),"?"))</f>
        <v>Biología</v>
      </c>
      <c r="P513" s="8" t="s">
        <v>460</v>
      </c>
      <c r="Q513" s="27" t="s">
        <v>2483</v>
      </c>
      <c r="R513" s="27" t="s">
        <v>1971</v>
      </c>
      <c r="S513" s="28" t="n">
        <f aca="false">IFERROR(ISNUMBER(SEARCH("Conocer",$R513))/(ISNUMBER(SEARCH("Conocer",$R513))+ISNUMBER(SEARCH("Aplicar",$R513))+ISNUMBER(SEARCH("Razonar",$R513))),0)</f>
        <v>0</v>
      </c>
      <c r="T513" s="28" t="n">
        <f aca="false">IFERROR(ISNUMBER(SEARCH("Aplicar",$R513))/(ISNUMBER(SEARCH("Conocer",$R513))+ISNUMBER(SEARCH("Aplicar",$R513))+ISNUMBER(SEARCH("Razonar",$R513))),0)</f>
        <v>0</v>
      </c>
      <c r="U513" s="28" t="n">
        <f aca="false">IFERROR(ISNUMBER(SEARCH("Razonar",$R513))/(ISNUMBER(SEARCH("Conocer",$R513))+ISNUMBER(SEARCH("Aplicar",$R513))+ISNUMBER(SEARCH("Razonar",$R513))),0)</f>
        <v>1</v>
      </c>
      <c r="V513" s="8" t="s">
        <v>52</v>
      </c>
      <c r="W513" s="8" t="s">
        <v>67</v>
      </c>
    </row>
    <row r="514" customFormat="false" ht="15" hidden="false" customHeight="false" outlineLevel="0" collapsed="false">
      <c r="A514" s="8" t="s">
        <v>2484</v>
      </c>
      <c r="B514" s="8" t="n">
        <v>8</v>
      </c>
      <c r="C514" s="8" t="s">
        <v>411</v>
      </c>
      <c r="D514" s="8" t="s">
        <v>2218</v>
      </c>
      <c r="E514" s="8" t="s">
        <v>2468</v>
      </c>
      <c r="F514" s="8" t="n">
        <v>7</v>
      </c>
      <c r="G514" s="8" t="s">
        <v>2469</v>
      </c>
      <c r="H514" s="8" t="s">
        <v>2481</v>
      </c>
      <c r="I514" s="27" t="s">
        <v>2485</v>
      </c>
      <c r="J514" s="8" t="s">
        <v>185</v>
      </c>
      <c r="K514" s="8" t="s">
        <v>187</v>
      </c>
      <c r="L514" s="8"/>
      <c r="M514" s="8" t="str">
        <f aca="false">IF(K514="FUERA","Fuera del marco",IF(K514="N/A","Sin marco",IFERROR(INDEX(Catalogo_TIMSS!$C$5:$C$105,MATCH(K514,Catalogo_TIMSS!$A$5:$A$105,0)),"Pendiente de clasificar")))</f>
        <v>Biología</v>
      </c>
      <c r="N514" s="8" t="str">
        <f aca="false">IF(K514="FUERA","Fuera del marco",IF(K514="N/A","Sin marco",IFERROR(INDEX(Catalogo_TIMSS!$F$5:$F$105,MATCH(K514,Catalogo_TIMSS!$A$5:$A$105,0)),"Pendiente de clasificar")))</f>
        <v>Características y procesos vitales de los organismos</v>
      </c>
      <c r="O514" s="8" t="str">
        <f aca="false">IF(L514="","",IFERROR(INDEX(Catalogo_TIMSS!$C$5:$C$105,MATCH(L514,Catalogo_TIMSS!$A$5:$A$105,0)),"?"))</f>
        <v/>
      </c>
      <c r="P514" s="8" t="s">
        <v>460</v>
      </c>
      <c r="Q514" s="27" t="s">
        <v>2486</v>
      </c>
      <c r="R514" s="27" t="s">
        <v>2289</v>
      </c>
      <c r="S514" s="28" t="n">
        <f aca="false">IFERROR(ISNUMBER(SEARCH("Conocer",$R514))/(ISNUMBER(SEARCH("Conocer",$R514))+ISNUMBER(SEARCH("Aplicar",$R514))+ISNUMBER(SEARCH("Razonar",$R514))),0)</f>
        <v>1</v>
      </c>
      <c r="T514" s="28" t="n">
        <f aca="false">IFERROR(ISNUMBER(SEARCH("Aplicar",$R514))/(ISNUMBER(SEARCH("Conocer",$R514))+ISNUMBER(SEARCH("Aplicar",$R514))+ISNUMBER(SEARCH("Razonar",$R514))),0)</f>
        <v>0</v>
      </c>
      <c r="U514" s="28" t="n">
        <f aca="false">IFERROR(ISNUMBER(SEARCH("Razonar",$R514))/(ISNUMBER(SEARCH("Conocer",$R514))+ISNUMBER(SEARCH("Aplicar",$R514))+ISNUMBER(SEARCH("Razonar",$R514))),0)</f>
        <v>0</v>
      </c>
      <c r="V514" s="8" t="s">
        <v>52</v>
      </c>
      <c r="W514" s="8" t="s">
        <v>67</v>
      </c>
    </row>
    <row r="515" customFormat="false" ht="15" hidden="false" customHeight="false" outlineLevel="0" collapsed="false">
      <c r="A515" s="8" t="s">
        <v>2487</v>
      </c>
      <c r="B515" s="8" t="n">
        <v>8</v>
      </c>
      <c r="C515" s="8" t="s">
        <v>411</v>
      </c>
      <c r="D515" s="8" t="s">
        <v>2218</v>
      </c>
      <c r="E515" s="8" t="s">
        <v>2468</v>
      </c>
      <c r="F515" s="8" t="n">
        <v>8</v>
      </c>
      <c r="G515" s="8" t="s">
        <v>2469</v>
      </c>
      <c r="H515" s="8" t="s">
        <v>2481</v>
      </c>
      <c r="I515" s="27" t="s">
        <v>2488</v>
      </c>
      <c r="J515" s="8" t="s">
        <v>185</v>
      </c>
      <c r="K515" s="8" t="s">
        <v>191</v>
      </c>
      <c r="L515" s="8"/>
      <c r="M515" s="8" t="str">
        <f aca="false">IF(K515="FUERA","Fuera del marco",IF(K515="N/A","Sin marco",IFERROR(INDEX(Catalogo_TIMSS!$C$5:$C$105,MATCH(K515,Catalogo_TIMSS!$A$5:$A$105,0)),"Pendiente de clasificar")))</f>
        <v>Biología</v>
      </c>
      <c r="N515" s="8" t="str">
        <f aca="false">IF(K515="FUERA","Fuera del marco",IF(K515="N/A","Sin marco",IFERROR(INDEX(Catalogo_TIMSS!$F$5:$F$105,MATCH(K515,Catalogo_TIMSS!$A$5:$A$105,0)),"Pendiente de clasificar")))</f>
        <v>Células y sus funciones</v>
      </c>
      <c r="O515" s="8" t="str">
        <f aca="false">IF(L515="","",IFERROR(INDEX(Catalogo_TIMSS!$C$5:$C$105,MATCH(L515,Catalogo_TIMSS!$A$5:$A$105,0)),"?"))</f>
        <v/>
      </c>
      <c r="P515" s="8" t="s">
        <v>418</v>
      </c>
      <c r="Q515" s="27" t="s">
        <v>2489</v>
      </c>
      <c r="R515" s="27" t="s">
        <v>879</v>
      </c>
      <c r="S515" s="28" t="n">
        <f aca="false">IFERROR(ISNUMBER(SEARCH("Conocer",$R515))/(ISNUMBER(SEARCH("Conocer",$R515))+ISNUMBER(SEARCH("Aplicar",$R515))+ISNUMBER(SEARCH("Razonar",$R515))),0)</f>
        <v>0</v>
      </c>
      <c r="T515" s="28" t="n">
        <f aca="false">IFERROR(ISNUMBER(SEARCH("Aplicar",$R515))/(ISNUMBER(SEARCH("Conocer",$R515))+ISNUMBER(SEARCH("Aplicar",$R515))+ISNUMBER(SEARCH("Razonar",$R515))),0)</f>
        <v>1</v>
      </c>
      <c r="U515" s="28" t="n">
        <f aca="false">IFERROR(ISNUMBER(SEARCH("Razonar",$R515))/(ISNUMBER(SEARCH("Conocer",$R515))+ISNUMBER(SEARCH("Aplicar",$R515))+ISNUMBER(SEARCH("Razonar",$R515))),0)</f>
        <v>0</v>
      </c>
      <c r="V515" s="8" t="s">
        <v>52</v>
      </c>
      <c r="W515" s="8" t="s">
        <v>67</v>
      </c>
    </row>
    <row r="516" customFormat="false" ht="15" hidden="false" customHeight="false" outlineLevel="0" collapsed="false">
      <c r="A516" s="8" t="s">
        <v>2490</v>
      </c>
      <c r="B516" s="8" t="n">
        <v>8</v>
      </c>
      <c r="C516" s="8" t="s">
        <v>411</v>
      </c>
      <c r="D516" s="8" t="s">
        <v>2218</v>
      </c>
      <c r="E516" s="8" t="s">
        <v>2468</v>
      </c>
      <c r="F516" s="8" t="n">
        <v>9</v>
      </c>
      <c r="G516" s="8" t="s">
        <v>2469</v>
      </c>
      <c r="H516" s="8" t="s">
        <v>2491</v>
      </c>
      <c r="I516" s="27" t="s">
        <v>2492</v>
      </c>
      <c r="J516" s="8" t="s">
        <v>185</v>
      </c>
      <c r="K516" s="8" t="s">
        <v>196</v>
      </c>
      <c r="L516" s="8"/>
      <c r="M516" s="8" t="str">
        <f aca="false">IF(K516="FUERA","Fuera del marco",IF(K516="N/A","Sin marco",IFERROR(INDEX(Catalogo_TIMSS!$C$5:$C$105,MATCH(K516,Catalogo_TIMSS!$A$5:$A$105,0)),"Pendiente de clasificar")))</f>
        <v>Biología</v>
      </c>
      <c r="N516" s="8" t="str">
        <f aca="false">IF(K516="FUERA","Fuera del marco",IF(K516="N/A","Sin marco",IFERROR(INDEX(Catalogo_TIMSS!$F$5:$F$105,MATCH(K516,Catalogo_TIMSS!$A$5:$A$105,0)),"Pendiente de clasificar")))</f>
        <v>Ciclos de vida, reproducción y herencia</v>
      </c>
      <c r="O516" s="8" t="str">
        <f aca="false">IF(L516="","",IFERROR(INDEX(Catalogo_TIMSS!$C$5:$C$105,MATCH(L516,Catalogo_TIMSS!$A$5:$A$105,0)),"?"))</f>
        <v/>
      </c>
      <c r="P516" s="8" t="s">
        <v>418</v>
      </c>
      <c r="Q516" s="27" t="s">
        <v>2493</v>
      </c>
      <c r="R516" s="27" t="s">
        <v>1971</v>
      </c>
      <c r="S516" s="28" t="n">
        <f aca="false">IFERROR(ISNUMBER(SEARCH("Conocer",$R516))/(ISNUMBER(SEARCH("Conocer",$R516))+ISNUMBER(SEARCH("Aplicar",$R516))+ISNUMBER(SEARCH("Razonar",$R516))),0)</f>
        <v>0</v>
      </c>
      <c r="T516" s="28" t="n">
        <f aca="false">IFERROR(ISNUMBER(SEARCH("Aplicar",$R516))/(ISNUMBER(SEARCH("Conocer",$R516))+ISNUMBER(SEARCH("Aplicar",$R516))+ISNUMBER(SEARCH("Razonar",$R516))),0)</f>
        <v>0</v>
      </c>
      <c r="U516" s="28" t="n">
        <f aca="false">IFERROR(ISNUMBER(SEARCH("Razonar",$R516))/(ISNUMBER(SEARCH("Conocer",$R516))+ISNUMBER(SEARCH("Aplicar",$R516))+ISNUMBER(SEARCH("Razonar",$R516))),0)</f>
        <v>1</v>
      </c>
      <c r="V516" s="8" t="s">
        <v>52</v>
      </c>
      <c r="W516" s="8" t="s">
        <v>67</v>
      </c>
    </row>
    <row r="517" customFormat="false" ht="15" hidden="false" customHeight="false" outlineLevel="0" collapsed="false">
      <c r="A517" s="8" t="s">
        <v>2494</v>
      </c>
      <c r="B517" s="8" t="n">
        <v>8</v>
      </c>
      <c r="C517" s="8" t="s">
        <v>411</v>
      </c>
      <c r="D517" s="8" t="s">
        <v>2218</v>
      </c>
      <c r="E517" s="8" t="s">
        <v>2468</v>
      </c>
      <c r="F517" s="8" t="n">
        <v>10</v>
      </c>
      <c r="G517" s="8" t="s">
        <v>2469</v>
      </c>
      <c r="H517" s="8" t="s">
        <v>2491</v>
      </c>
      <c r="I517" s="27" t="s">
        <v>2495</v>
      </c>
      <c r="J517" s="8" t="s">
        <v>185</v>
      </c>
      <c r="K517" s="8" t="s">
        <v>196</v>
      </c>
      <c r="L517" s="8" t="s">
        <v>191</v>
      </c>
      <c r="M517" s="8" t="str">
        <f aca="false">IF(K517="FUERA","Fuera del marco",IF(K517="N/A","Sin marco",IFERROR(INDEX(Catalogo_TIMSS!$C$5:$C$105,MATCH(K517,Catalogo_TIMSS!$A$5:$A$105,0)),"Pendiente de clasificar")))</f>
        <v>Biología</v>
      </c>
      <c r="N517" s="8" t="str">
        <f aca="false">IF(K517="FUERA","Fuera del marco",IF(K517="N/A","Sin marco",IFERROR(INDEX(Catalogo_TIMSS!$F$5:$F$105,MATCH(K517,Catalogo_TIMSS!$A$5:$A$105,0)),"Pendiente de clasificar")))</f>
        <v>Ciclos de vida, reproducción y herencia</v>
      </c>
      <c r="O517" s="8" t="str">
        <f aca="false">IF(L517="","",IFERROR(INDEX(Catalogo_TIMSS!$C$5:$C$105,MATCH(L517,Catalogo_TIMSS!$A$5:$A$105,0)),"?"))</f>
        <v>Biología</v>
      </c>
      <c r="P517" s="8" t="s">
        <v>460</v>
      </c>
      <c r="Q517" s="27" t="s">
        <v>2496</v>
      </c>
      <c r="R517" s="27" t="s">
        <v>1464</v>
      </c>
      <c r="S517" s="28" t="n">
        <f aca="false">IFERROR(ISNUMBER(SEARCH("Conocer",$R517))/(ISNUMBER(SEARCH("Conocer",$R517))+ISNUMBER(SEARCH("Aplicar",$R517))+ISNUMBER(SEARCH("Razonar",$R517))),0)</f>
        <v>0</v>
      </c>
      <c r="T517" s="28" t="n">
        <f aca="false">IFERROR(ISNUMBER(SEARCH("Aplicar",$R517))/(ISNUMBER(SEARCH("Conocer",$R517))+ISNUMBER(SEARCH("Aplicar",$R517))+ISNUMBER(SEARCH("Razonar",$R517))),0)</f>
        <v>1</v>
      </c>
      <c r="U517" s="28" t="n">
        <f aca="false">IFERROR(ISNUMBER(SEARCH("Razonar",$R517))/(ISNUMBER(SEARCH("Conocer",$R517))+ISNUMBER(SEARCH("Aplicar",$R517))+ISNUMBER(SEARCH("Razonar",$R517))),0)</f>
        <v>0</v>
      </c>
      <c r="V517" s="8" t="s">
        <v>52</v>
      </c>
      <c r="W517" s="8" t="s">
        <v>67</v>
      </c>
    </row>
    <row r="518" customFormat="false" ht="15" hidden="false" customHeight="false" outlineLevel="0" collapsed="false">
      <c r="A518" s="8" t="s">
        <v>2497</v>
      </c>
      <c r="B518" s="8" t="n">
        <v>8</v>
      </c>
      <c r="C518" s="8" t="s">
        <v>411</v>
      </c>
      <c r="D518" s="8" t="s">
        <v>2218</v>
      </c>
      <c r="E518" s="8" t="s">
        <v>2468</v>
      </c>
      <c r="F518" s="8" t="n">
        <v>11</v>
      </c>
      <c r="G518" s="8" t="s">
        <v>2469</v>
      </c>
      <c r="H518" s="8" t="s">
        <v>2491</v>
      </c>
      <c r="I518" s="27" t="s">
        <v>2498</v>
      </c>
      <c r="J518" s="8" t="s">
        <v>185</v>
      </c>
      <c r="K518" s="8" t="s">
        <v>196</v>
      </c>
      <c r="L518" s="8"/>
      <c r="M518" s="8" t="str">
        <f aca="false">IF(K518="FUERA","Fuera del marco",IF(K518="N/A","Sin marco",IFERROR(INDEX(Catalogo_TIMSS!$C$5:$C$105,MATCH(K518,Catalogo_TIMSS!$A$5:$A$105,0)),"Pendiente de clasificar")))</f>
        <v>Biología</v>
      </c>
      <c r="N518" s="8" t="str">
        <f aca="false">IF(K518="FUERA","Fuera del marco",IF(K518="N/A","Sin marco",IFERROR(INDEX(Catalogo_TIMSS!$F$5:$F$105,MATCH(K518,Catalogo_TIMSS!$A$5:$A$105,0)),"Pendiente de clasificar")))</f>
        <v>Ciclos de vida, reproducción y herencia</v>
      </c>
      <c r="O518" s="8" t="str">
        <f aca="false">IF(L518="","",IFERROR(INDEX(Catalogo_TIMSS!$C$5:$C$105,MATCH(L518,Catalogo_TIMSS!$A$5:$A$105,0)),"?"))</f>
        <v/>
      </c>
      <c r="P518" s="8" t="s">
        <v>513</v>
      </c>
      <c r="Q518" s="27" t="s">
        <v>2499</v>
      </c>
      <c r="R518" s="27" t="s">
        <v>2500</v>
      </c>
      <c r="S518" s="28" t="n">
        <f aca="false">IFERROR(ISNUMBER(SEARCH("Conocer",$R518))/(ISNUMBER(SEARCH("Conocer",$R518))+ISNUMBER(SEARCH("Aplicar",$R518))+ISNUMBER(SEARCH("Razonar",$R518))),0)</f>
        <v>0</v>
      </c>
      <c r="T518" s="28" t="n">
        <f aca="false">IFERROR(ISNUMBER(SEARCH("Aplicar",$R518))/(ISNUMBER(SEARCH("Conocer",$R518))+ISNUMBER(SEARCH("Aplicar",$R518))+ISNUMBER(SEARCH("Razonar",$R518))),0)</f>
        <v>0</v>
      </c>
      <c r="U518" s="28" t="n">
        <f aca="false">IFERROR(ISNUMBER(SEARCH("Razonar",$R518))/(ISNUMBER(SEARCH("Conocer",$R518))+ISNUMBER(SEARCH("Aplicar",$R518))+ISNUMBER(SEARCH("Razonar",$R518))),0)</f>
        <v>1</v>
      </c>
      <c r="V518" s="8" t="s">
        <v>52</v>
      </c>
      <c r="W518" s="8" t="s">
        <v>67</v>
      </c>
    </row>
    <row r="519" customFormat="false" ht="15" hidden="false" customHeight="false" outlineLevel="0" collapsed="false">
      <c r="A519" s="8" t="s">
        <v>2501</v>
      </c>
      <c r="B519" s="8" t="n">
        <v>8</v>
      </c>
      <c r="C519" s="8" t="s">
        <v>411</v>
      </c>
      <c r="D519" s="8" t="s">
        <v>2218</v>
      </c>
      <c r="E519" s="8" t="s">
        <v>2468</v>
      </c>
      <c r="F519" s="8" t="n">
        <v>12</v>
      </c>
      <c r="G519" s="8" t="s">
        <v>2469</v>
      </c>
      <c r="H519" s="8" t="s">
        <v>2502</v>
      </c>
      <c r="I519" s="27" t="s">
        <v>2503</v>
      </c>
      <c r="J519" s="8" t="s">
        <v>185</v>
      </c>
      <c r="K519" s="8" t="s">
        <v>194</v>
      </c>
      <c r="L519" s="8" t="s">
        <v>189</v>
      </c>
      <c r="M519" s="8" t="str">
        <f aca="false">IF(K519="FUERA","Fuera del marco",IF(K519="N/A","Sin marco",IFERROR(INDEX(Catalogo_TIMSS!$C$5:$C$105,MATCH(K519,Catalogo_TIMSS!$A$5:$A$105,0)),"Pendiente de clasificar")))</f>
        <v>Biología</v>
      </c>
      <c r="N519" s="8" t="str">
        <f aca="false">IF(K519="FUERA","Fuera del marco",IF(K519="N/A","Sin marco",IFERROR(INDEX(Catalogo_TIMSS!$F$5:$F$105,MATCH(K519,Catalogo_TIMSS!$A$5:$A$105,0)),"Pendiente de clasificar")))</f>
        <v>Células y sus funciones</v>
      </c>
      <c r="O519" s="8" t="str">
        <f aca="false">IF(L519="","",IFERROR(INDEX(Catalogo_TIMSS!$C$5:$C$105,MATCH(L519,Catalogo_TIMSS!$A$5:$A$105,0)),"?"))</f>
        <v>Biología</v>
      </c>
      <c r="P519" s="8" t="s">
        <v>460</v>
      </c>
      <c r="Q519" s="27" t="s">
        <v>2504</v>
      </c>
      <c r="R519" s="27" t="s">
        <v>2505</v>
      </c>
      <c r="S519" s="28" t="n">
        <f aca="false">IFERROR(ISNUMBER(SEARCH("Conocer",$R519))/(ISNUMBER(SEARCH("Conocer",$R519))+ISNUMBER(SEARCH("Aplicar",$R519))+ISNUMBER(SEARCH("Razonar",$R519))),0)</f>
        <v>0</v>
      </c>
      <c r="T519" s="28" t="n">
        <f aca="false">IFERROR(ISNUMBER(SEARCH("Aplicar",$R519))/(ISNUMBER(SEARCH("Conocer",$R519))+ISNUMBER(SEARCH("Aplicar",$R519))+ISNUMBER(SEARCH("Razonar",$R519))),0)</f>
        <v>1</v>
      </c>
      <c r="U519" s="28" t="n">
        <f aca="false">IFERROR(ISNUMBER(SEARCH("Razonar",$R519))/(ISNUMBER(SEARCH("Conocer",$R519))+ISNUMBER(SEARCH("Aplicar",$R519))+ISNUMBER(SEARCH("Razonar",$R519))),0)</f>
        <v>0</v>
      </c>
      <c r="V519" s="8" t="s">
        <v>52</v>
      </c>
      <c r="W519" s="8" t="s">
        <v>67</v>
      </c>
    </row>
    <row r="520" customFormat="false" ht="15" hidden="false" customHeight="false" outlineLevel="0" collapsed="false">
      <c r="A520" s="8" t="s">
        <v>2506</v>
      </c>
      <c r="B520" s="8" t="n">
        <v>8</v>
      </c>
      <c r="C520" s="8" t="s">
        <v>411</v>
      </c>
      <c r="D520" s="8" t="s">
        <v>2218</v>
      </c>
      <c r="E520" s="8" t="s">
        <v>2468</v>
      </c>
      <c r="F520" s="8" t="n">
        <v>13</v>
      </c>
      <c r="G520" s="8" t="s">
        <v>2469</v>
      </c>
      <c r="H520" s="8" t="s">
        <v>2502</v>
      </c>
      <c r="I520" s="27" t="s">
        <v>2507</v>
      </c>
      <c r="J520" s="8" t="s">
        <v>185</v>
      </c>
      <c r="K520" s="8" t="s">
        <v>194</v>
      </c>
      <c r="L520" s="8" t="s">
        <v>189</v>
      </c>
      <c r="M520" s="8" t="str">
        <f aca="false">IF(K520="FUERA","Fuera del marco",IF(K520="N/A","Sin marco",IFERROR(INDEX(Catalogo_TIMSS!$C$5:$C$105,MATCH(K520,Catalogo_TIMSS!$A$5:$A$105,0)),"Pendiente de clasificar")))</f>
        <v>Biología</v>
      </c>
      <c r="N520" s="8" t="str">
        <f aca="false">IF(K520="FUERA","Fuera del marco",IF(K520="N/A","Sin marco",IFERROR(INDEX(Catalogo_TIMSS!$F$5:$F$105,MATCH(K520,Catalogo_TIMSS!$A$5:$A$105,0)),"Pendiente de clasificar")))</f>
        <v>Células y sus funciones</v>
      </c>
      <c r="O520" s="8" t="str">
        <f aca="false">IF(L520="","",IFERROR(INDEX(Catalogo_TIMSS!$C$5:$C$105,MATCH(L520,Catalogo_TIMSS!$A$5:$A$105,0)),"?"))</f>
        <v>Biología</v>
      </c>
      <c r="P520" s="8" t="s">
        <v>460</v>
      </c>
      <c r="Q520" s="27" t="s">
        <v>2508</v>
      </c>
      <c r="R520" s="27" t="s">
        <v>2509</v>
      </c>
      <c r="S520" s="28" t="n">
        <f aca="false">IFERROR(ISNUMBER(SEARCH("Conocer",$R520))/(ISNUMBER(SEARCH("Conocer",$R520))+ISNUMBER(SEARCH("Aplicar",$R520))+ISNUMBER(SEARCH("Razonar",$R520))),0)</f>
        <v>0</v>
      </c>
      <c r="T520" s="28" t="n">
        <f aca="false">IFERROR(ISNUMBER(SEARCH("Aplicar",$R520))/(ISNUMBER(SEARCH("Conocer",$R520))+ISNUMBER(SEARCH("Aplicar",$R520))+ISNUMBER(SEARCH("Razonar",$R520))),0)</f>
        <v>0.5</v>
      </c>
      <c r="U520" s="28" t="n">
        <f aca="false">IFERROR(ISNUMBER(SEARCH("Razonar",$R520))/(ISNUMBER(SEARCH("Conocer",$R520))+ISNUMBER(SEARCH("Aplicar",$R520))+ISNUMBER(SEARCH("Razonar",$R520))),0)</f>
        <v>0.5</v>
      </c>
      <c r="V520" s="8" t="s">
        <v>52</v>
      </c>
      <c r="W520" s="8" t="s">
        <v>67</v>
      </c>
    </row>
    <row r="521" customFormat="false" ht="15" hidden="false" customHeight="false" outlineLevel="0" collapsed="false">
      <c r="A521" s="8" t="s">
        <v>2510</v>
      </c>
      <c r="B521" s="8" t="n">
        <v>8</v>
      </c>
      <c r="C521" s="8" t="s">
        <v>411</v>
      </c>
      <c r="D521" s="8" t="s">
        <v>2218</v>
      </c>
      <c r="E521" s="8" t="s">
        <v>2468</v>
      </c>
      <c r="F521" s="8" t="n">
        <v>14</v>
      </c>
      <c r="G521" s="8" t="s">
        <v>2469</v>
      </c>
      <c r="H521" s="8" t="s">
        <v>2502</v>
      </c>
      <c r="I521" s="27" t="s">
        <v>2511</v>
      </c>
      <c r="J521" s="8" t="s">
        <v>185</v>
      </c>
      <c r="K521" s="8" t="s">
        <v>194</v>
      </c>
      <c r="L521" s="8" t="s">
        <v>187</v>
      </c>
      <c r="M521" s="8" t="str">
        <f aca="false">IF(K521="FUERA","Fuera del marco",IF(K521="N/A","Sin marco",IFERROR(INDEX(Catalogo_TIMSS!$C$5:$C$105,MATCH(K521,Catalogo_TIMSS!$A$5:$A$105,0)),"Pendiente de clasificar")))</f>
        <v>Biología</v>
      </c>
      <c r="N521" s="8" t="str">
        <f aca="false">IF(K521="FUERA","Fuera del marco",IF(K521="N/A","Sin marco",IFERROR(INDEX(Catalogo_TIMSS!$F$5:$F$105,MATCH(K521,Catalogo_TIMSS!$A$5:$A$105,0)),"Pendiente de clasificar")))</f>
        <v>Células y sus funciones</v>
      </c>
      <c r="O521" s="8" t="str">
        <f aca="false">IF(L521="","",IFERROR(INDEX(Catalogo_TIMSS!$C$5:$C$105,MATCH(L521,Catalogo_TIMSS!$A$5:$A$105,0)),"?"))</f>
        <v>Biología</v>
      </c>
      <c r="P521" s="8" t="s">
        <v>460</v>
      </c>
      <c r="Q521" s="27" t="s">
        <v>2512</v>
      </c>
      <c r="R521" s="27" t="s">
        <v>1718</v>
      </c>
      <c r="S521" s="28" t="n">
        <f aca="false">IFERROR(ISNUMBER(SEARCH("Conocer",$R521))/(ISNUMBER(SEARCH("Conocer",$R521))+ISNUMBER(SEARCH("Aplicar",$R521))+ISNUMBER(SEARCH("Razonar",$R521))),0)</f>
        <v>1</v>
      </c>
      <c r="T521" s="28" t="n">
        <f aca="false">IFERROR(ISNUMBER(SEARCH("Aplicar",$R521))/(ISNUMBER(SEARCH("Conocer",$R521))+ISNUMBER(SEARCH("Aplicar",$R521))+ISNUMBER(SEARCH("Razonar",$R521))),0)</f>
        <v>0</v>
      </c>
      <c r="U521" s="28" t="n">
        <f aca="false">IFERROR(ISNUMBER(SEARCH("Razonar",$R521))/(ISNUMBER(SEARCH("Conocer",$R521))+ISNUMBER(SEARCH("Aplicar",$R521))+ISNUMBER(SEARCH("Razonar",$R521))),0)</f>
        <v>0</v>
      </c>
      <c r="V521" s="8" t="s">
        <v>52</v>
      </c>
      <c r="W521" s="8" t="s">
        <v>67</v>
      </c>
    </row>
    <row r="522" customFormat="false" ht="15" hidden="false" customHeight="false" outlineLevel="0" collapsed="false">
      <c r="A522" s="8" t="s">
        <v>2513</v>
      </c>
      <c r="B522" s="8" t="n">
        <v>8</v>
      </c>
      <c r="C522" s="8" t="s">
        <v>411</v>
      </c>
      <c r="D522" s="8" t="s">
        <v>2218</v>
      </c>
      <c r="E522" s="8" t="s">
        <v>2514</v>
      </c>
      <c r="F522" s="8" t="n">
        <v>3</v>
      </c>
      <c r="G522" s="8" t="s">
        <v>2515</v>
      </c>
      <c r="H522" s="8" t="s">
        <v>2516</v>
      </c>
      <c r="I522" s="27" t="s">
        <v>2517</v>
      </c>
      <c r="J522" s="8" t="s">
        <v>185</v>
      </c>
      <c r="K522" s="8" t="s">
        <v>191</v>
      </c>
      <c r="L522" s="8"/>
      <c r="M522" s="8" t="str">
        <f aca="false">IF(K522="FUERA","Fuera del marco",IF(K522="N/A","Sin marco",IFERROR(INDEX(Catalogo_TIMSS!$C$5:$C$105,MATCH(K522,Catalogo_TIMSS!$A$5:$A$105,0)),"Pendiente de clasificar")))</f>
        <v>Biología</v>
      </c>
      <c r="N522" s="8" t="str">
        <f aca="false">IF(K522="FUERA","Fuera del marco",IF(K522="N/A","Sin marco",IFERROR(INDEX(Catalogo_TIMSS!$F$5:$F$105,MATCH(K522,Catalogo_TIMSS!$A$5:$A$105,0)),"Pendiente de clasificar")))</f>
        <v>Células y sus funciones</v>
      </c>
      <c r="O522" s="8" t="str">
        <f aca="false">IF(L522="","",IFERROR(INDEX(Catalogo_TIMSS!$C$5:$C$105,MATCH(L522,Catalogo_TIMSS!$A$5:$A$105,0)),"?"))</f>
        <v/>
      </c>
      <c r="P522" s="8" t="s">
        <v>418</v>
      </c>
      <c r="Q522" s="27" t="s">
        <v>2518</v>
      </c>
      <c r="R522" s="27" t="s">
        <v>1833</v>
      </c>
      <c r="S522" s="28" t="n">
        <f aca="false">IFERROR(ISNUMBER(SEARCH("Conocer",$R522))/(ISNUMBER(SEARCH("Conocer",$R522))+ISNUMBER(SEARCH("Aplicar",$R522))+ISNUMBER(SEARCH("Razonar",$R522))),0)</f>
        <v>1</v>
      </c>
      <c r="T522" s="28" t="n">
        <f aca="false">IFERROR(ISNUMBER(SEARCH("Aplicar",$R522))/(ISNUMBER(SEARCH("Conocer",$R522))+ISNUMBER(SEARCH("Aplicar",$R522))+ISNUMBER(SEARCH("Razonar",$R522))),0)</f>
        <v>0</v>
      </c>
      <c r="U522" s="28" t="n">
        <f aca="false">IFERROR(ISNUMBER(SEARCH("Razonar",$R522))/(ISNUMBER(SEARCH("Conocer",$R522))+ISNUMBER(SEARCH("Aplicar",$R522))+ISNUMBER(SEARCH("Razonar",$R522))),0)</f>
        <v>0</v>
      </c>
      <c r="V522" s="8" t="s">
        <v>52</v>
      </c>
      <c r="W522" s="8" t="s">
        <v>67</v>
      </c>
    </row>
    <row r="523" customFormat="false" ht="15" hidden="false" customHeight="false" outlineLevel="0" collapsed="false">
      <c r="A523" s="8" t="s">
        <v>2519</v>
      </c>
      <c r="B523" s="8" t="n">
        <v>8</v>
      </c>
      <c r="C523" s="8" t="s">
        <v>411</v>
      </c>
      <c r="D523" s="8" t="s">
        <v>2218</v>
      </c>
      <c r="E523" s="8" t="s">
        <v>2514</v>
      </c>
      <c r="F523" s="8" t="n">
        <v>4</v>
      </c>
      <c r="G523" s="8" t="s">
        <v>2515</v>
      </c>
      <c r="H523" s="8" t="s">
        <v>2516</v>
      </c>
      <c r="I523" s="27" t="s">
        <v>2520</v>
      </c>
      <c r="J523" s="8" t="s">
        <v>185</v>
      </c>
      <c r="K523" s="8" t="s">
        <v>191</v>
      </c>
      <c r="L523" s="8"/>
      <c r="M523" s="8" t="str">
        <f aca="false">IF(K523="FUERA","Fuera del marco",IF(K523="N/A","Sin marco",IFERROR(INDEX(Catalogo_TIMSS!$C$5:$C$105,MATCH(K523,Catalogo_TIMSS!$A$5:$A$105,0)),"Pendiente de clasificar")))</f>
        <v>Biología</v>
      </c>
      <c r="N523" s="8" t="str">
        <f aca="false">IF(K523="FUERA","Fuera del marco",IF(K523="N/A","Sin marco",IFERROR(INDEX(Catalogo_TIMSS!$F$5:$F$105,MATCH(K523,Catalogo_TIMSS!$A$5:$A$105,0)),"Pendiente de clasificar")))</f>
        <v>Células y sus funciones</v>
      </c>
      <c r="O523" s="8" t="str">
        <f aca="false">IF(L523="","",IFERROR(INDEX(Catalogo_TIMSS!$C$5:$C$105,MATCH(L523,Catalogo_TIMSS!$A$5:$A$105,0)),"?"))</f>
        <v/>
      </c>
      <c r="P523" s="8" t="s">
        <v>418</v>
      </c>
      <c r="Q523" s="27" t="s">
        <v>2521</v>
      </c>
      <c r="R523" s="27" t="s">
        <v>1265</v>
      </c>
      <c r="S523" s="28" t="n">
        <f aca="false">IFERROR(ISNUMBER(SEARCH("Conocer",$R523))/(ISNUMBER(SEARCH("Conocer",$R523))+ISNUMBER(SEARCH("Aplicar",$R523))+ISNUMBER(SEARCH("Razonar",$R523))),0)</f>
        <v>0</v>
      </c>
      <c r="T523" s="28" t="n">
        <f aca="false">IFERROR(ISNUMBER(SEARCH("Aplicar",$R523))/(ISNUMBER(SEARCH("Conocer",$R523))+ISNUMBER(SEARCH("Aplicar",$R523))+ISNUMBER(SEARCH("Razonar",$R523))),0)</f>
        <v>1</v>
      </c>
      <c r="U523" s="28" t="n">
        <f aca="false">IFERROR(ISNUMBER(SEARCH("Razonar",$R523))/(ISNUMBER(SEARCH("Conocer",$R523))+ISNUMBER(SEARCH("Aplicar",$R523))+ISNUMBER(SEARCH("Razonar",$R523))),0)</f>
        <v>0</v>
      </c>
      <c r="V523" s="8" t="s">
        <v>52</v>
      </c>
      <c r="W523" s="8" t="s">
        <v>67</v>
      </c>
    </row>
    <row r="524" customFormat="false" ht="15" hidden="false" customHeight="false" outlineLevel="0" collapsed="false">
      <c r="A524" s="8" t="s">
        <v>2522</v>
      </c>
      <c r="B524" s="8" t="n">
        <v>8</v>
      </c>
      <c r="C524" s="8" t="s">
        <v>411</v>
      </c>
      <c r="D524" s="8" t="s">
        <v>2218</v>
      </c>
      <c r="E524" s="8" t="s">
        <v>2514</v>
      </c>
      <c r="F524" s="8" t="n">
        <v>5</v>
      </c>
      <c r="G524" s="8" t="s">
        <v>2515</v>
      </c>
      <c r="H524" s="8" t="s">
        <v>2516</v>
      </c>
      <c r="I524" s="27" t="s">
        <v>2523</v>
      </c>
      <c r="J524" s="8" t="s">
        <v>185</v>
      </c>
      <c r="K524" s="8" t="s">
        <v>191</v>
      </c>
      <c r="L524" s="8"/>
      <c r="M524" s="8" t="str">
        <f aca="false">IF(K524="FUERA","Fuera del marco",IF(K524="N/A","Sin marco",IFERROR(INDEX(Catalogo_TIMSS!$C$5:$C$105,MATCH(K524,Catalogo_TIMSS!$A$5:$A$105,0)),"Pendiente de clasificar")))</f>
        <v>Biología</v>
      </c>
      <c r="N524" s="8" t="str">
        <f aca="false">IF(K524="FUERA","Fuera del marco",IF(K524="N/A","Sin marco",IFERROR(INDEX(Catalogo_TIMSS!$F$5:$F$105,MATCH(K524,Catalogo_TIMSS!$A$5:$A$105,0)),"Pendiente de clasificar")))</f>
        <v>Células y sus funciones</v>
      </c>
      <c r="O524" s="8" t="str">
        <f aca="false">IF(L524="","",IFERROR(INDEX(Catalogo_TIMSS!$C$5:$C$105,MATCH(L524,Catalogo_TIMSS!$A$5:$A$105,0)),"?"))</f>
        <v/>
      </c>
      <c r="P524" s="8" t="s">
        <v>418</v>
      </c>
      <c r="Q524" s="27" t="s">
        <v>2524</v>
      </c>
      <c r="R524" s="27" t="s">
        <v>1718</v>
      </c>
      <c r="S524" s="28" t="n">
        <f aca="false">IFERROR(ISNUMBER(SEARCH("Conocer",$R524))/(ISNUMBER(SEARCH("Conocer",$R524))+ISNUMBER(SEARCH("Aplicar",$R524))+ISNUMBER(SEARCH("Razonar",$R524))),0)</f>
        <v>1</v>
      </c>
      <c r="T524" s="28" t="n">
        <f aca="false">IFERROR(ISNUMBER(SEARCH("Aplicar",$R524))/(ISNUMBER(SEARCH("Conocer",$R524))+ISNUMBER(SEARCH("Aplicar",$R524))+ISNUMBER(SEARCH("Razonar",$R524))),0)</f>
        <v>0</v>
      </c>
      <c r="U524" s="28" t="n">
        <f aca="false">IFERROR(ISNUMBER(SEARCH("Razonar",$R524))/(ISNUMBER(SEARCH("Conocer",$R524))+ISNUMBER(SEARCH("Aplicar",$R524))+ISNUMBER(SEARCH("Razonar",$R524))),0)</f>
        <v>0</v>
      </c>
      <c r="V524" s="8" t="s">
        <v>52</v>
      </c>
      <c r="W524" s="8" t="s">
        <v>67</v>
      </c>
    </row>
    <row r="525" customFormat="false" ht="15" hidden="false" customHeight="false" outlineLevel="0" collapsed="false">
      <c r="A525" s="8" t="s">
        <v>2525</v>
      </c>
      <c r="B525" s="8" t="n">
        <v>8</v>
      </c>
      <c r="C525" s="8" t="s">
        <v>411</v>
      </c>
      <c r="D525" s="8" t="s">
        <v>2218</v>
      </c>
      <c r="E525" s="8" t="s">
        <v>2514</v>
      </c>
      <c r="F525" s="8" t="n">
        <v>6</v>
      </c>
      <c r="G525" s="8" t="s">
        <v>2515</v>
      </c>
      <c r="H525" s="8" t="s">
        <v>2526</v>
      </c>
      <c r="I525" s="27" t="s">
        <v>2527</v>
      </c>
      <c r="J525" s="8" t="s">
        <v>185</v>
      </c>
      <c r="K525" s="8" t="s">
        <v>187</v>
      </c>
      <c r="L525" s="8"/>
      <c r="M525" s="8" t="str">
        <f aca="false">IF(K525="FUERA","Fuera del marco",IF(K525="N/A","Sin marco",IFERROR(INDEX(Catalogo_TIMSS!$C$5:$C$105,MATCH(K525,Catalogo_TIMSS!$A$5:$A$105,0)),"Pendiente de clasificar")))</f>
        <v>Biología</v>
      </c>
      <c r="N525" s="8" t="str">
        <f aca="false">IF(K525="FUERA","Fuera del marco",IF(K525="N/A","Sin marco",IFERROR(INDEX(Catalogo_TIMSS!$F$5:$F$105,MATCH(K525,Catalogo_TIMSS!$A$5:$A$105,0)),"Pendiente de clasificar")))</f>
        <v>Características y procesos vitales de los organismos</v>
      </c>
      <c r="O525" s="8" t="str">
        <f aca="false">IF(L525="","",IFERROR(INDEX(Catalogo_TIMSS!$C$5:$C$105,MATCH(L525,Catalogo_TIMSS!$A$5:$A$105,0)),"?"))</f>
        <v/>
      </c>
      <c r="P525" s="8" t="s">
        <v>418</v>
      </c>
      <c r="Q525" s="27" t="s">
        <v>2528</v>
      </c>
      <c r="R525" s="27" t="s">
        <v>1464</v>
      </c>
      <c r="S525" s="28" t="n">
        <f aca="false">IFERROR(ISNUMBER(SEARCH("Conocer",$R525))/(ISNUMBER(SEARCH("Conocer",$R525))+ISNUMBER(SEARCH("Aplicar",$R525))+ISNUMBER(SEARCH("Razonar",$R525))),0)</f>
        <v>0</v>
      </c>
      <c r="T525" s="28" t="n">
        <f aca="false">IFERROR(ISNUMBER(SEARCH("Aplicar",$R525))/(ISNUMBER(SEARCH("Conocer",$R525))+ISNUMBER(SEARCH("Aplicar",$R525))+ISNUMBER(SEARCH("Razonar",$R525))),0)</f>
        <v>1</v>
      </c>
      <c r="U525" s="28" t="n">
        <f aca="false">IFERROR(ISNUMBER(SEARCH("Razonar",$R525))/(ISNUMBER(SEARCH("Conocer",$R525))+ISNUMBER(SEARCH("Aplicar",$R525))+ISNUMBER(SEARCH("Razonar",$R525))),0)</f>
        <v>0</v>
      </c>
      <c r="V525" s="8" t="s">
        <v>52</v>
      </c>
      <c r="W525" s="8" t="s">
        <v>67</v>
      </c>
    </row>
    <row r="526" customFormat="false" ht="15" hidden="false" customHeight="false" outlineLevel="0" collapsed="false">
      <c r="A526" s="8" t="s">
        <v>2529</v>
      </c>
      <c r="B526" s="8" t="n">
        <v>8</v>
      </c>
      <c r="C526" s="8" t="s">
        <v>411</v>
      </c>
      <c r="D526" s="8" t="s">
        <v>2218</v>
      </c>
      <c r="E526" s="8" t="s">
        <v>2514</v>
      </c>
      <c r="F526" s="8" t="n">
        <v>7</v>
      </c>
      <c r="G526" s="8" t="s">
        <v>2515</v>
      </c>
      <c r="H526" s="8" t="s">
        <v>2526</v>
      </c>
      <c r="I526" s="27" t="s">
        <v>2530</v>
      </c>
      <c r="J526" s="8" t="s">
        <v>185</v>
      </c>
      <c r="K526" s="8" t="s">
        <v>187</v>
      </c>
      <c r="L526" s="8"/>
      <c r="M526" s="8" t="str">
        <f aca="false">IF(K526="FUERA","Fuera del marco",IF(K526="N/A","Sin marco",IFERROR(INDEX(Catalogo_TIMSS!$C$5:$C$105,MATCH(K526,Catalogo_TIMSS!$A$5:$A$105,0)),"Pendiente de clasificar")))</f>
        <v>Biología</v>
      </c>
      <c r="N526" s="8" t="str">
        <f aca="false">IF(K526="FUERA","Fuera del marco",IF(K526="N/A","Sin marco",IFERROR(INDEX(Catalogo_TIMSS!$F$5:$F$105,MATCH(K526,Catalogo_TIMSS!$A$5:$A$105,0)),"Pendiente de clasificar")))</f>
        <v>Características y procesos vitales de los organismos</v>
      </c>
      <c r="O526" s="8" t="str">
        <f aca="false">IF(L526="","",IFERROR(INDEX(Catalogo_TIMSS!$C$5:$C$105,MATCH(L526,Catalogo_TIMSS!$A$5:$A$105,0)),"?"))</f>
        <v/>
      </c>
      <c r="P526" s="8" t="s">
        <v>418</v>
      </c>
      <c r="Q526" s="27" t="s">
        <v>2531</v>
      </c>
      <c r="R526" s="27" t="s">
        <v>1759</v>
      </c>
      <c r="S526" s="28" t="n">
        <f aca="false">IFERROR(ISNUMBER(SEARCH("Conocer",$R526))/(ISNUMBER(SEARCH("Conocer",$R526))+ISNUMBER(SEARCH("Aplicar",$R526))+ISNUMBER(SEARCH("Razonar",$R526))),0)</f>
        <v>0</v>
      </c>
      <c r="T526" s="28" t="n">
        <f aca="false">IFERROR(ISNUMBER(SEARCH("Aplicar",$R526))/(ISNUMBER(SEARCH("Conocer",$R526))+ISNUMBER(SEARCH("Aplicar",$R526))+ISNUMBER(SEARCH("Razonar",$R526))),0)</f>
        <v>0.5</v>
      </c>
      <c r="U526" s="28" t="n">
        <f aca="false">IFERROR(ISNUMBER(SEARCH("Razonar",$R526))/(ISNUMBER(SEARCH("Conocer",$R526))+ISNUMBER(SEARCH("Aplicar",$R526))+ISNUMBER(SEARCH("Razonar",$R526))),0)</f>
        <v>0.5</v>
      </c>
      <c r="V526" s="8" t="s">
        <v>52</v>
      </c>
      <c r="W526" s="8" t="s">
        <v>67</v>
      </c>
    </row>
    <row r="527" customFormat="false" ht="15" hidden="false" customHeight="false" outlineLevel="0" collapsed="false">
      <c r="A527" s="8" t="s">
        <v>2532</v>
      </c>
      <c r="B527" s="8" t="n">
        <v>8</v>
      </c>
      <c r="C527" s="8" t="s">
        <v>411</v>
      </c>
      <c r="D527" s="8" t="s">
        <v>2218</v>
      </c>
      <c r="E527" s="8" t="s">
        <v>2514</v>
      </c>
      <c r="F527" s="8" t="n">
        <v>8</v>
      </c>
      <c r="G527" s="8" t="s">
        <v>2515</v>
      </c>
      <c r="H527" s="8" t="s">
        <v>2526</v>
      </c>
      <c r="I527" s="27" t="s">
        <v>2533</v>
      </c>
      <c r="J527" s="8" t="s">
        <v>185</v>
      </c>
      <c r="K527" s="8" t="s">
        <v>187</v>
      </c>
      <c r="L527" s="8"/>
      <c r="M527" s="8" t="str">
        <f aca="false">IF(K527="FUERA","Fuera del marco",IF(K527="N/A","Sin marco",IFERROR(INDEX(Catalogo_TIMSS!$C$5:$C$105,MATCH(K527,Catalogo_TIMSS!$A$5:$A$105,0)),"Pendiente de clasificar")))</f>
        <v>Biología</v>
      </c>
      <c r="N527" s="8" t="str">
        <f aca="false">IF(K527="FUERA","Fuera del marco",IF(K527="N/A","Sin marco",IFERROR(INDEX(Catalogo_TIMSS!$F$5:$F$105,MATCH(K527,Catalogo_TIMSS!$A$5:$A$105,0)),"Pendiente de clasificar")))</f>
        <v>Características y procesos vitales de los organismos</v>
      </c>
      <c r="O527" s="8" t="str">
        <f aca="false">IF(L527="","",IFERROR(INDEX(Catalogo_TIMSS!$C$5:$C$105,MATCH(L527,Catalogo_TIMSS!$A$5:$A$105,0)),"?"))</f>
        <v/>
      </c>
      <c r="P527" s="8" t="s">
        <v>418</v>
      </c>
      <c r="Q527" s="27" t="s">
        <v>2534</v>
      </c>
      <c r="R527" s="27" t="s">
        <v>1258</v>
      </c>
      <c r="S527" s="28" t="n">
        <f aca="false">IFERROR(ISNUMBER(SEARCH("Conocer",$R527))/(ISNUMBER(SEARCH("Conocer",$R527))+ISNUMBER(SEARCH("Aplicar",$R527))+ISNUMBER(SEARCH("Razonar",$R527))),0)</f>
        <v>0</v>
      </c>
      <c r="T527" s="28" t="n">
        <f aca="false">IFERROR(ISNUMBER(SEARCH("Aplicar",$R527))/(ISNUMBER(SEARCH("Conocer",$R527))+ISNUMBER(SEARCH("Aplicar",$R527))+ISNUMBER(SEARCH("Razonar",$R527))),0)</f>
        <v>1</v>
      </c>
      <c r="U527" s="28" t="n">
        <f aca="false">IFERROR(ISNUMBER(SEARCH("Razonar",$R527))/(ISNUMBER(SEARCH("Conocer",$R527))+ISNUMBER(SEARCH("Aplicar",$R527))+ISNUMBER(SEARCH("Razonar",$R527))),0)</f>
        <v>0</v>
      </c>
      <c r="V527" s="8" t="s">
        <v>52</v>
      </c>
      <c r="W527" s="8" t="s">
        <v>67</v>
      </c>
    </row>
    <row r="528" customFormat="false" ht="15" hidden="false" customHeight="false" outlineLevel="0" collapsed="false">
      <c r="A528" s="8" t="s">
        <v>2535</v>
      </c>
      <c r="B528" s="8" t="n">
        <v>8</v>
      </c>
      <c r="C528" s="8" t="s">
        <v>411</v>
      </c>
      <c r="D528" s="8" t="s">
        <v>2218</v>
      </c>
      <c r="E528" s="8" t="s">
        <v>2514</v>
      </c>
      <c r="F528" s="8" t="n">
        <v>9</v>
      </c>
      <c r="G528" s="8" t="s">
        <v>2515</v>
      </c>
      <c r="H528" s="8" t="s">
        <v>2536</v>
      </c>
      <c r="I528" s="27" t="s">
        <v>2537</v>
      </c>
      <c r="J528" s="8" t="s">
        <v>185</v>
      </c>
      <c r="K528" s="8" t="s">
        <v>189</v>
      </c>
      <c r="L528" s="8" t="s">
        <v>187</v>
      </c>
      <c r="M528" s="8" t="str">
        <f aca="false">IF(K528="FUERA","Fuera del marco",IF(K528="N/A","Sin marco",IFERROR(INDEX(Catalogo_TIMSS!$C$5:$C$105,MATCH(K528,Catalogo_TIMSS!$A$5:$A$105,0)),"Pendiente de clasificar")))</f>
        <v>Biología</v>
      </c>
      <c r="N528" s="8" t="str">
        <f aca="false">IF(K528="FUERA","Fuera del marco",IF(K528="N/A","Sin marco",IFERROR(INDEX(Catalogo_TIMSS!$F$5:$F$105,MATCH(K528,Catalogo_TIMSS!$A$5:$A$105,0)),"Pendiente de clasificar")))</f>
        <v>Características y procesos vitales de los organismos</v>
      </c>
      <c r="O528" s="8" t="str">
        <f aca="false">IF(L528="","",IFERROR(INDEX(Catalogo_TIMSS!$C$5:$C$105,MATCH(L528,Catalogo_TIMSS!$A$5:$A$105,0)),"?"))</f>
        <v>Biología</v>
      </c>
      <c r="P528" s="8" t="s">
        <v>418</v>
      </c>
      <c r="Q528" s="27" t="s">
        <v>2538</v>
      </c>
      <c r="R528" s="27" t="s">
        <v>2539</v>
      </c>
      <c r="S528" s="28" t="n">
        <f aca="false">IFERROR(ISNUMBER(SEARCH("Conocer",$R528))/(ISNUMBER(SEARCH("Conocer",$R528))+ISNUMBER(SEARCH("Aplicar",$R528))+ISNUMBER(SEARCH("Razonar",$R528))),0)</f>
        <v>0</v>
      </c>
      <c r="T528" s="28" t="n">
        <f aca="false">IFERROR(ISNUMBER(SEARCH("Aplicar",$R528))/(ISNUMBER(SEARCH("Conocer",$R528))+ISNUMBER(SEARCH("Aplicar",$R528))+ISNUMBER(SEARCH("Razonar",$R528))),0)</f>
        <v>1</v>
      </c>
      <c r="U528" s="28" t="n">
        <f aca="false">IFERROR(ISNUMBER(SEARCH("Razonar",$R528))/(ISNUMBER(SEARCH("Conocer",$R528))+ISNUMBER(SEARCH("Aplicar",$R528))+ISNUMBER(SEARCH("Razonar",$R528))),0)</f>
        <v>0</v>
      </c>
      <c r="V528" s="8" t="s">
        <v>52</v>
      </c>
      <c r="W528" s="8" t="s">
        <v>67</v>
      </c>
    </row>
    <row r="529" customFormat="false" ht="15" hidden="false" customHeight="false" outlineLevel="0" collapsed="false">
      <c r="A529" s="8" t="s">
        <v>2540</v>
      </c>
      <c r="B529" s="8" t="n">
        <v>8</v>
      </c>
      <c r="C529" s="8" t="s">
        <v>411</v>
      </c>
      <c r="D529" s="8" t="s">
        <v>2218</v>
      </c>
      <c r="E529" s="8" t="s">
        <v>2514</v>
      </c>
      <c r="F529" s="8" t="n">
        <v>10</v>
      </c>
      <c r="G529" s="8" t="s">
        <v>2515</v>
      </c>
      <c r="H529" s="8" t="s">
        <v>2541</v>
      </c>
      <c r="I529" s="27" t="s">
        <v>2542</v>
      </c>
      <c r="J529" s="8" t="s">
        <v>185</v>
      </c>
      <c r="K529" s="8" t="s">
        <v>187</v>
      </c>
      <c r="L529" s="8"/>
      <c r="M529" s="8" t="str">
        <f aca="false">IF(K529="FUERA","Fuera del marco",IF(K529="N/A","Sin marco",IFERROR(INDEX(Catalogo_TIMSS!$C$5:$C$105,MATCH(K529,Catalogo_TIMSS!$A$5:$A$105,0)),"Pendiente de clasificar")))</f>
        <v>Biología</v>
      </c>
      <c r="N529" s="8" t="str">
        <f aca="false">IF(K529="FUERA","Fuera del marco",IF(K529="N/A","Sin marco",IFERROR(INDEX(Catalogo_TIMSS!$F$5:$F$105,MATCH(K529,Catalogo_TIMSS!$A$5:$A$105,0)),"Pendiente de clasificar")))</f>
        <v>Características y procesos vitales de los organismos</v>
      </c>
      <c r="O529" s="8" t="str">
        <f aca="false">IF(L529="","",IFERROR(INDEX(Catalogo_TIMSS!$C$5:$C$105,MATCH(L529,Catalogo_TIMSS!$A$5:$A$105,0)),"?"))</f>
        <v/>
      </c>
      <c r="P529" s="8" t="s">
        <v>418</v>
      </c>
      <c r="Q529" s="27" t="s">
        <v>2543</v>
      </c>
      <c r="R529" s="27" t="s">
        <v>587</v>
      </c>
      <c r="S529" s="28" t="n">
        <f aca="false">IFERROR(ISNUMBER(SEARCH("Conocer",$R529))/(ISNUMBER(SEARCH("Conocer",$R529))+ISNUMBER(SEARCH("Aplicar",$R529))+ISNUMBER(SEARCH("Razonar",$R529))),0)</f>
        <v>0</v>
      </c>
      <c r="T529" s="28" t="n">
        <f aca="false">IFERROR(ISNUMBER(SEARCH("Aplicar",$R529))/(ISNUMBER(SEARCH("Conocer",$R529))+ISNUMBER(SEARCH("Aplicar",$R529))+ISNUMBER(SEARCH("Razonar",$R529))),0)</f>
        <v>1</v>
      </c>
      <c r="U529" s="28" t="n">
        <f aca="false">IFERROR(ISNUMBER(SEARCH("Razonar",$R529))/(ISNUMBER(SEARCH("Conocer",$R529))+ISNUMBER(SEARCH("Aplicar",$R529))+ISNUMBER(SEARCH("Razonar",$R529))),0)</f>
        <v>0</v>
      </c>
      <c r="V529" s="8" t="s">
        <v>52</v>
      </c>
      <c r="W529" s="8" t="s">
        <v>67</v>
      </c>
    </row>
    <row r="530" customFormat="false" ht="15" hidden="false" customHeight="false" outlineLevel="0" collapsed="false">
      <c r="A530" s="8" t="s">
        <v>2544</v>
      </c>
      <c r="B530" s="8" t="n">
        <v>8</v>
      </c>
      <c r="C530" s="8" t="s">
        <v>411</v>
      </c>
      <c r="D530" s="8" t="s">
        <v>2218</v>
      </c>
      <c r="E530" s="8" t="s">
        <v>2514</v>
      </c>
      <c r="F530" s="8" t="n">
        <v>11</v>
      </c>
      <c r="G530" s="8" t="s">
        <v>2515</v>
      </c>
      <c r="H530" s="8" t="s">
        <v>2541</v>
      </c>
      <c r="I530" s="27" t="s">
        <v>2545</v>
      </c>
      <c r="J530" s="8" t="s">
        <v>185</v>
      </c>
      <c r="K530" s="8" t="s">
        <v>187</v>
      </c>
      <c r="L530" s="8"/>
      <c r="M530" s="8" t="str">
        <f aca="false">IF(K530="FUERA","Fuera del marco",IF(K530="N/A","Sin marco",IFERROR(INDEX(Catalogo_TIMSS!$C$5:$C$105,MATCH(K530,Catalogo_TIMSS!$A$5:$A$105,0)),"Pendiente de clasificar")))</f>
        <v>Biología</v>
      </c>
      <c r="N530" s="8" t="str">
        <f aca="false">IF(K530="FUERA","Fuera del marco",IF(K530="N/A","Sin marco",IFERROR(INDEX(Catalogo_TIMSS!$F$5:$F$105,MATCH(K530,Catalogo_TIMSS!$A$5:$A$105,0)),"Pendiente de clasificar")))</f>
        <v>Características y procesos vitales de los organismos</v>
      </c>
      <c r="O530" s="8" t="str">
        <f aca="false">IF(L530="","",IFERROR(INDEX(Catalogo_TIMSS!$C$5:$C$105,MATCH(L530,Catalogo_TIMSS!$A$5:$A$105,0)),"?"))</f>
        <v/>
      </c>
      <c r="P530" s="8" t="s">
        <v>418</v>
      </c>
      <c r="Q530" s="27" t="s">
        <v>2546</v>
      </c>
      <c r="R530" s="27" t="s">
        <v>2547</v>
      </c>
      <c r="S530" s="28" t="n">
        <f aca="false">IFERROR(ISNUMBER(SEARCH("Conocer",$R530))/(ISNUMBER(SEARCH("Conocer",$R530))+ISNUMBER(SEARCH("Aplicar",$R530))+ISNUMBER(SEARCH("Razonar",$R530))),0)</f>
        <v>0</v>
      </c>
      <c r="T530" s="28" t="n">
        <f aca="false">IFERROR(ISNUMBER(SEARCH("Aplicar",$R530))/(ISNUMBER(SEARCH("Conocer",$R530))+ISNUMBER(SEARCH("Aplicar",$R530))+ISNUMBER(SEARCH("Razonar",$R530))),0)</f>
        <v>1</v>
      </c>
      <c r="U530" s="28" t="n">
        <f aca="false">IFERROR(ISNUMBER(SEARCH("Razonar",$R530))/(ISNUMBER(SEARCH("Conocer",$R530))+ISNUMBER(SEARCH("Aplicar",$R530))+ISNUMBER(SEARCH("Razonar",$R530))),0)</f>
        <v>0</v>
      </c>
      <c r="V530" s="8" t="s">
        <v>52</v>
      </c>
      <c r="W530" s="8" t="s">
        <v>67</v>
      </c>
    </row>
    <row r="531" customFormat="false" ht="15" hidden="false" customHeight="false" outlineLevel="0" collapsed="false">
      <c r="A531" s="8" t="s">
        <v>2548</v>
      </c>
      <c r="B531" s="8" t="n">
        <v>8</v>
      </c>
      <c r="C531" s="8" t="s">
        <v>411</v>
      </c>
      <c r="D531" s="8" t="s">
        <v>2218</v>
      </c>
      <c r="E531" s="8" t="s">
        <v>2514</v>
      </c>
      <c r="F531" s="8" t="n">
        <v>12</v>
      </c>
      <c r="G531" s="8" t="s">
        <v>2515</v>
      </c>
      <c r="H531" s="8" t="s">
        <v>2549</v>
      </c>
      <c r="I531" s="27" t="s">
        <v>2550</v>
      </c>
      <c r="J531" s="8" t="s">
        <v>185</v>
      </c>
      <c r="K531" s="8" t="s">
        <v>187</v>
      </c>
      <c r="L531" s="8"/>
      <c r="M531" s="8" t="str">
        <f aca="false">IF(K531="FUERA","Fuera del marco",IF(K531="N/A","Sin marco",IFERROR(INDEX(Catalogo_TIMSS!$C$5:$C$105,MATCH(K531,Catalogo_TIMSS!$A$5:$A$105,0)),"Pendiente de clasificar")))</f>
        <v>Biología</v>
      </c>
      <c r="N531" s="8" t="str">
        <f aca="false">IF(K531="FUERA","Fuera del marco",IF(K531="N/A","Sin marco",IFERROR(INDEX(Catalogo_TIMSS!$F$5:$F$105,MATCH(K531,Catalogo_TIMSS!$A$5:$A$105,0)),"Pendiente de clasificar")))</f>
        <v>Características y procesos vitales de los organismos</v>
      </c>
      <c r="O531" s="8" t="str">
        <f aca="false">IF(L531="","",IFERROR(INDEX(Catalogo_TIMSS!$C$5:$C$105,MATCH(L531,Catalogo_TIMSS!$A$5:$A$105,0)),"?"))</f>
        <v/>
      </c>
      <c r="P531" s="8" t="s">
        <v>418</v>
      </c>
      <c r="Q531" s="27" t="s">
        <v>2551</v>
      </c>
      <c r="R531" s="27" t="s">
        <v>587</v>
      </c>
      <c r="S531" s="28" t="n">
        <f aca="false">IFERROR(ISNUMBER(SEARCH("Conocer",$R531))/(ISNUMBER(SEARCH("Conocer",$R531))+ISNUMBER(SEARCH("Aplicar",$R531))+ISNUMBER(SEARCH("Razonar",$R531))),0)</f>
        <v>0</v>
      </c>
      <c r="T531" s="28" t="n">
        <f aca="false">IFERROR(ISNUMBER(SEARCH("Aplicar",$R531))/(ISNUMBER(SEARCH("Conocer",$R531))+ISNUMBER(SEARCH("Aplicar",$R531))+ISNUMBER(SEARCH("Razonar",$R531))),0)</f>
        <v>1</v>
      </c>
      <c r="U531" s="28" t="n">
        <f aca="false">IFERROR(ISNUMBER(SEARCH("Razonar",$R531))/(ISNUMBER(SEARCH("Conocer",$R531))+ISNUMBER(SEARCH("Aplicar",$R531))+ISNUMBER(SEARCH("Razonar",$R531))),0)</f>
        <v>0</v>
      </c>
      <c r="V531" s="8" t="s">
        <v>52</v>
      </c>
      <c r="W531" s="8" t="s">
        <v>67</v>
      </c>
    </row>
    <row r="532" customFormat="false" ht="15" hidden="false" customHeight="false" outlineLevel="0" collapsed="false">
      <c r="A532" s="8" t="s">
        <v>2552</v>
      </c>
      <c r="B532" s="8" t="n">
        <v>8</v>
      </c>
      <c r="C532" s="8" t="s">
        <v>411</v>
      </c>
      <c r="D532" s="8" t="s">
        <v>2218</v>
      </c>
      <c r="E532" s="8" t="s">
        <v>2514</v>
      </c>
      <c r="F532" s="8" t="n">
        <v>13</v>
      </c>
      <c r="G532" s="8" t="s">
        <v>2515</v>
      </c>
      <c r="H532" s="8" t="s">
        <v>2549</v>
      </c>
      <c r="I532" s="27" t="s">
        <v>2553</v>
      </c>
      <c r="J532" s="8" t="s">
        <v>185</v>
      </c>
      <c r="K532" s="8" t="s">
        <v>187</v>
      </c>
      <c r="L532" s="8"/>
      <c r="M532" s="8" t="str">
        <f aca="false">IF(K532="FUERA","Fuera del marco",IF(K532="N/A","Sin marco",IFERROR(INDEX(Catalogo_TIMSS!$C$5:$C$105,MATCH(K532,Catalogo_TIMSS!$A$5:$A$105,0)),"Pendiente de clasificar")))</f>
        <v>Biología</v>
      </c>
      <c r="N532" s="8" t="str">
        <f aca="false">IF(K532="FUERA","Fuera del marco",IF(K532="N/A","Sin marco",IFERROR(INDEX(Catalogo_TIMSS!$F$5:$F$105,MATCH(K532,Catalogo_TIMSS!$A$5:$A$105,0)),"Pendiente de clasificar")))</f>
        <v>Características y procesos vitales de los organismos</v>
      </c>
      <c r="O532" s="8" t="str">
        <f aca="false">IF(L532="","",IFERROR(INDEX(Catalogo_TIMSS!$C$5:$C$105,MATCH(L532,Catalogo_TIMSS!$A$5:$A$105,0)),"?"))</f>
        <v/>
      </c>
      <c r="P532" s="8" t="s">
        <v>418</v>
      </c>
      <c r="Q532" s="27" t="s">
        <v>2554</v>
      </c>
      <c r="R532" s="27" t="s">
        <v>2555</v>
      </c>
      <c r="S532" s="28" t="n">
        <f aca="false">IFERROR(ISNUMBER(SEARCH("Conocer",$R532))/(ISNUMBER(SEARCH("Conocer",$R532))+ISNUMBER(SEARCH("Aplicar",$R532))+ISNUMBER(SEARCH("Razonar",$R532))),0)</f>
        <v>0</v>
      </c>
      <c r="T532" s="28" t="n">
        <f aca="false">IFERROR(ISNUMBER(SEARCH("Aplicar",$R532))/(ISNUMBER(SEARCH("Conocer",$R532))+ISNUMBER(SEARCH("Aplicar",$R532))+ISNUMBER(SEARCH("Razonar",$R532))),0)</f>
        <v>0</v>
      </c>
      <c r="U532" s="28" t="n">
        <f aca="false">IFERROR(ISNUMBER(SEARCH("Razonar",$R532))/(ISNUMBER(SEARCH("Conocer",$R532))+ISNUMBER(SEARCH("Aplicar",$R532))+ISNUMBER(SEARCH("Razonar",$R532))),0)</f>
        <v>1</v>
      </c>
      <c r="V532" s="8" t="s">
        <v>52</v>
      </c>
      <c r="W532" s="8" t="s">
        <v>67</v>
      </c>
    </row>
    <row r="533" customFormat="false" ht="15" hidden="false" customHeight="false" outlineLevel="0" collapsed="false">
      <c r="A533" s="8" t="s">
        <v>2556</v>
      </c>
      <c r="B533" s="8" t="n">
        <v>8</v>
      </c>
      <c r="C533" s="8" t="s">
        <v>411</v>
      </c>
      <c r="D533" s="8" t="s">
        <v>2218</v>
      </c>
      <c r="E533" s="8" t="s">
        <v>2514</v>
      </c>
      <c r="F533" s="8" t="n">
        <v>14</v>
      </c>
      <c r="G533" s="8" t="s">
        <v>2515</v>
      </c>
      <c r="H533" s="8" t="s">
        <v>2549</v>
      </c>
      <c r="I533" s="27" t="s">
        <v>2557</v>
      </c>
      <c r="J533" s="8" t="s">
        <v>185</v>
      </c>
      <c r="K533" s="8" t="s">
        <v>187</v>
      </c>
      <c r="L533" s="8"/>
      <c r="M533" s="8" t="str">
        <f aca="false">IF(K533="FUERA","Fuera del marco",IF(K533="N/A","Sin marco",IFERROR(INDEX(Catalogo_TIMSS!$C$5:$C$105,MATCH(K533,Catalogo_TIMSS!$A$5:$A$105,0)),"Pendiente de clasificar")))</f>
        <v>Biología</v>
      </c>
      <c r="N533" s="8" t="str">
        <f aca="false">IF(K533="FUERA","Fuera del marco",IF(K533="N/A","Sin marco",IFERROR(INDEX(Catalogo_TIMSS!$F$5:$F$105,MATCH(K533,Catalogo_TIMSS!$A$5:$A$105,0)),"Pendiente de clasificar")))</f>
        <v>Características y procesos vitales de los organismos</v>
      </c>
      <c r="O533" s="8" t="str">
        <f aca="false">IF(L533="","",IFERROR(INDEX(Catalogo_TIMSS!$C$5:$C$105,MATCH(L533,Catalogo_TIMSS!$A$5:$A$105,0)),"?"))</f>
        <v/>
      </c>
      <c r="P533" s="8" t="s">
        <v>418</v>
      </c>
      <c r="Q533" s="27" t="s">
        <v>2558</v>
      </c>
      <c r="R533" s="27" t="s">
        <v>1258</v>
      </c>
      <c r="S533" s="28" t="n">
        <f aca="false">IFERROR(ISNUMBER(SEARCH("Conocer",$R533))/(ISNUMBER(SEARCH("Conocer",$R533))+ISNUMBER(SEARCH("Aplicar",$R533))+ISNUMBER(SEARCH("Razonar",$R533))),0)</f>
        <v>0</v>
      </c>
      <c r="T533" s="28" t="n">
        <f aca="false">IFERROR(ISNUMBER(SEARCH("Aplicar",$R533))/(ISNUMBER(SEARCH("Conocer",$R533))+ISNUMBER(SEARCH("Aplicar",$R533))+ISNUMBER(SEARCH("Razonar",$R533))),0)</f>
        <v>1</v>
      </c>
      <c r="U533" s="28" t="n">
        <f aca="false">IFERROR(ISNUMBER(SEARCH("Razonar",$R533))/(ISNUMBER(SEARCH("Conocer",$R533))+ISNUMBER(SEARCH("Aplicar",$R533))+ISNUMBER(SEARCH("Razonar",$R533))),0)</f>
        <v>0</v>
      </c>
      <c r="V533" s="8" t="s">
        <v>52</v>
      </c>
      <c r="W533" s="8" t="s">
        <v>67</v>
      </c>
    </row>
    <row r="534" customFormat="false" ht="15" hidden="false" customHeight="false" outlineLevel="0" collapsed="false">
      <c r="A534" s="8" t="s">
        <v>2559</v>
      </c>
      <c r="B534" s="8" t="n">
        <v>8</v>
      </c>
      <c r="C534" s="8" t="s">
        <v>411</v>
      </c>
      <c r="D534" s="8" t="s">
        <v>2218</v>
      </c>
      <c r="E534" s="8" t="s">
        <v>2514</v>
      </c>
      <c r="F534" s="8" t="n">
        <v>15</v>
      </c>
      <c r="G534" s="8" t="s">
        <v>2515</v>
      </c>
      <c r="H534" s="8" t="s">
        <v>2560</v>
      </c>
      <c r="I534" s="27" t="s">
        <v>2561</v>
      </c>
      <c r="J534" s="8" t="s">
        <v>185</v>
      </c>
      <c r="K534" s="8" t="s">
        <v>187</v>
      </c>
      <c r="L534" s="8" t="s">
        <v>189</v>
      </c>
      <c r="M534" s="8" t="str">
        <f aca="false">IF(K534="FUERA","Fuera del marco",IF(K534="N/A","Sin marco",IFERROR(INDEX(Catalogo_TIMSS!$C$5:$C$105,MATCH(K534,Catalogo_TIMSS!$A$5:$A$105,0)),"Pendiente de clasificar")))</f>
        <v>Biología</v>
      </c>
      <c r="N534" s="8" t="str">
        <f aca="false">IF(K534="FUERA","Fuera del marco",IF(K534="N/A","Sin marco",IFERROR(INDEX(Catalogo_TIMSS!$F$5:$F$105,MATCH(K534,Catalogo_TIMSS!$A$5:$A$105,0)),"Pendiente de clasificar")))</f>
        <v>Características y procesos vitales de los organismos</v>
      </c>
      <c r="O534" s="8" t="str">
        <f aca="false">IF(L534="","",IFERROR(INDEX(Catalogo_TIMSS!$C$5:$C$105,MATCH(L534,Catalogo_TIMSS!$A$5:$A$105,0)),"?"))</f>
        <v>Biología</v>
      </c>
      <c r="P534" s="8" t="s">
        <v>418</v>
      </c>
      <c r="Q534" s="27" t="s">
        <v>2562</v>
      </c>
      <c r="R534" s="27" t="s">
        <v>2289</v>
      </c>
      <c r="S534" s="28" t="n">
        <f aca="false">IFERROR(ISNUMBER(SEARCH("Conocer",$R534))/(ISNUMBER(SEARCH("Conocer",$R534))+ISNUMBER(SEARCH("Aplicar",$R534))+ISNUMBER(SEARCH("Razonar",$R534))),0)</f>
        <v>1</v>
      </c>
      <c r="T534" s="28" t="n">
        <f aca="false">IFERROR(ISNUMBER(SEARCH("Aplicar",$R534))/(ISNUMBER(SEARCH("Conocer",$R534))+ISNUMBER(SEARCH("Aplicar",$R534))+ISNUMBER(SEARCH("Razonar",$R534))),0)</f>
        <v>0</v>
      </c>
      <c r="U534" s="28" t="n">
        <f aca="false">IFERROR(ISNUMBER(SEARCH("Razonar",$R534))/(ISNUMBER(SEARCH("Conocer",$R534))+ISNUMBER(SEARCH("Aplicar",$R534))+ISNUMBER(SEARCH("Razonar",$R534))),0)</f>
        <v>0</v>
      </c>
      <c r="V534" s="8" t="s">
        <v>52</v>
      </c>
      <c r="W534" s="8" t="s">
        <v>67</v>
      </c>
    </row>
    <row r="535" customFormat="false" ht="15" hidden="false" customHeight="false" outlineLevel="0" collapsed="false">
      <c r="A535" s="8" t="s">
        <v>2563</v>
      </c>
      <c r="B535" s="8" t="n">
        <v>8</v>
      </c>
      <c r="C535" s="8" t="s">
        <v>411</v>
      </c>
      <c r="D535" s="8" t="s">
        <v>2218</v>
      </c>
      <c r="E535" s="8" t="s">
        <v>2514</v>
      </c>
      <c r="F535" s="8" t="n">
        <v>16</v>
      </c>
      <c r="G535" s="8" t="s">
        <v>2515</v>
      </c>
      <c r="H535" s="8" t="s">
        <v>2560</v>
      </c>
      <c r="I535" s="27" t="s">
        <v>2564</v>
      </c>
      <c r="J535" s="8" t="s">
        <v>185</v>
      </c>
      <c r="K535" s="8" t="s">
        <v>187</v>
      </c>
      <c r="L535" s="8" t="s">
        <v>189</v>
      </c>
      <c r="M535" s="8" t="str">
        <f aca="false">IF(K535="FUERA","Fuera del marco",IF(K535="N/A","Sin marco",IFERROR(INDEX(Catalogo_TIMSS!$C$5:$C$105,MATCH(K535,Catalogo_TIMSS!$A$5:$A$105,0)),"Pendiente de clasificar")))</f>
        <v>Biología</v>
      </c>
      <c r="N535" s="8" t="str">
        <f aca="false">IF(K535="FUERA","Fuera del marco",IF(K535="N/A","Sin marco",IFERROR(INDEX(Catalogo_TIMSS!$F$5:$F$105,MATCH(K535,Catalogo_TIMSS!$A$5:$A$105,0)),"Pendiente de clasificar")))</f>
        <v>Características y procesos vitales de los organismos</v>
      </c>
      <c r="O535" s="8" t="str">
        <f aca="false">IF(L535="","",IFERROR(INDEX(Catalogo_TIMSS!$C$5:$C$105,MATCH(L535,Catalogo_TIMSS!$A$5:$A$105,0)),"?"))</f>
        <v>Biología</v>
      </c>
      <c r="P535" s="8" t="s">
        <v>418</v>
      </c>
      <c r="Q535" s="27" t="s">
        <v>2565</v>
      </c>
      <c r="R535" s="27" t="s">
        <v>642</v>
      </c>
      <c r="S535" s="28" t="n">
        <f aca="false">IFERROR(ISNUMBER(SEARCH("Conocer",$R535))/(ISNUMBER(SEARCH("Conocer",$R535))+ISNUMBER(SEARCH("Aplicar",$R535))+ISNUMBER(SEARCH("Razonar",$R535))),0)</f>
        <v>0</v>
      </c>
      <c r="T535" s="28" t="n">
        <f aca="false">IFERROR(ISNUMBER(SEARCH("Aplicar",$R535))/(ISNUMBER(SEARCH("Conocer",$R535))+ISNUMBER(SEARCH("Aplicar",$R535))+ISNUMBER(SEARCH("Razonar",$R535))),0)</f>
        <v>1</v>
      </c>
      <c r="U535" s="28" t="n">
        <f aca="false">IFERROR(ISNUMBER(SEARCH("Razonar",$R535))/(ISNUMBER(SEARCH("Conocer",$R535))+ISNUMBER(SEARCH("Aplicar",$R535))+ISNUMBER(SEARCH("Razonar",$R535))),0)</f>
        <v>0</v>
      </c>
      <c r="V535" s="8" t="s">
        <v>52</v>
      </c>
      <c r="W535" s="8" t="s">
        <v>67</v>
      </c>
    </row>
    <row r="536" customFormat="false" ht="15" hidden="false" customHeight="false" outlineLevel="0" collapsed="false">
      <c r="A536" s="8" t="s">
        <v>2566</v>
      </c>
      <c r="B536" s="8" t="n">
        <v>8</v>
      </c>
      <c r="C536" s="8" t="s">
        <v>411</v>
      </c>
      <c r="D536" s="8" t="s">
        <v>2218</v>
      </c>
      <c r="E536" s="8" t="s">
        <v>2514</v>
      </c>
      <c r="F536" s="8" t="n">
        <v>17</v>
      </c>
      <c r="G536" s="8" t="s">
        <v>2515</v>
      </c>
      <c r="H536" s="8" t="s">
        <v>2560</v>
      </c>
      <c r="I536" s="27" t="s">
        <v>2567</v>
      </c>
      <c r="J536" s="8" t="s">
        <v>185</v>
      </c>
      <c r="K536" s="8" t="s">
        <v>187</v>
      </c>
      <c r="L536" s="8"/>
      <c r="M536" s="8" t="str">
        <f aca="false">IF(K536="FUERA","Fuera del marco",IF(K536="N/A","Sin marco",IFERROR(INDEX(Catalogo_TIMSS!$C$5:$C$105,MATCH(K536,Catalogo_TIMSS!$A$5:$A$105,0)),"Pendiente de clasificar")))</f>
        <v>Biología</v>
      </c>
      <c r="N536" s="8" t="str">
        <f aca="false">IF(K536="FUERA","Fuera del marco",IF(K536="N/A","Sin marco",IFERROR(INDEX(Catalogo_TIMSS!$F$5:$F$105,MATCH(K536,Catalogo_TIMSS!$A$5:$A$105,0)),"Pendiente de clasificar")))</f>
        <v>Características y procesos vitales de los organismos</v>
      </c>
      <c r="O536" s="8" t="str">
        <f aca="false">IF(L536="","",IFERROR(INDEX(Catalogo_TIMSS!$C$5:$C$105,MATCH(L536,Catalogo_TIMSS!$A$5:$A$105,0)),"?"))</f>
        <v/>
      </c>
      <c r="P536" s="8" t="s">
        <v>418</v>
      </c>
      <c r="Q536" s="27" t="s">
        <v>2568</v>
      </c>
      <c r="R536" s="27" t="s">
        <v>429</v>
      </c>
      <c r="S536" s="28" t="n">
        <f aca="false">IFERROR(ISNUMBER(SEARCH("Conocer",$R536))/(ISNUMBER(SEARCH("Conocer",$R536))+ISNUMBER(SEARCH("Aplicar",$R536))+ISNUMBER(SEARCH("Razonar",$R536))),0)</f>
        <v>0</v>
      </c>
      <c r="T536" s="28" t="n">
        <f aca="false">IFERROR(ISNUMBER(SEARCH("Aplicar",$R536))/(ISNUMBER(SEARCH("Conocer",$R536))+ISNUMBER(SEARCH("Aplicar",$R536))+ISNUMBER(SEARCH("Razonar",$R536))),0)</f>
        <v>1</v>
      </c>
      <c r="U536" s="28" t="n">
        <f aca="false">IFERROR(ISNUMBER(SEARCH("Razonar",$R536))/(ISNUMBER(SEARCH("Conocer",$R536))+ISNUMBER(SEARCH("Aplicar",$R536))+ISNUMBER(SEARCH("Razonar",$R536))),0)</f>
        <v>0</v>
      </c>
      <c r="V536" s="8" t="s">
        <v>52</v>
      </c>
      <c r="W536" s="8" t="s">
        <v>67</v>
      </c>
    </row>
    <row r="537" customFormat="false" ht="15" hidden="false" customHeight="false" outlineLevel="0" collapsed="false">
      <c r="A537" s="8" t="s">
        <v>2569</v>
      </c>
      <c r="B537" s="8" t="n">
        <v>9</v>
      </c>
      <c r="C537" s="8" t="s">
        <v>411</v>
      </c>
      <c r="D537" s="8" t="s">
        <v>2570</v>
      </c>
      <c r="E537" s="8" t="s">
        <v>2571</v>
      </c>
      <c r="F537" s="8" t="n">
        <v>3</v>
      </c>
      <c r="G537" s="8" t="s">
        <v>2572</v>
      </c>
      <c r="H537" s="8" t="s">
        <v>2573</v>
      </c>
      <c r="I537" s="27" t="s">
        <v>2574</v>
      </c>
      <c r="J537" s="8" t="s">
        <v>185</v>
      </c>
      <c r="K537" s="8" t="s">
        <v>266</v>
      </c>
      <c r="L537" s="8"/>
      <c r="M537" s="8" t="str">
        <f aca="false">IF(K537="FUERA","Fuera del marco",IF(K537="N/A","Sin marco",IFERROR(INDEX(Catalogo_TIMSS!$C$5:$C$105,MATCH(K537,Catalogo_TIMSS!$A$5:$A$105,0)),"Pendiente de clasificar")))</f>
        <v>Física</v>
      </c>
      <c r="N537" s="8" t="str">
        <f aca="false">IF(K537="FUERA","Fuera del marco",IF(K537="N/A","Sin marco",IFERROR(INDEX(Catalogo_TIMSS!$F$5:$F$105,MATCH(K537,Catalogo_TIMSS!$A$5:$A$105,0)),"Pendiente de clasificar")))</f>
        <v>Movimiento y fuerzas</v>
      </c>
      <c r="O537" s="8" t="str">
        <f aca="false">IF(L537="","",IFERROR(INDEX(Catalogo_TIMSS!$C$5:$C$105,MATCH(L537,Catalogo_TIMSS!$A$5:$A$105,0)),"?"))</f>
        <v/>
      </c>
      <c r="P537" s="8" t="s">
        <v>418</v>
      </c>
      <c r="Q537" s="27" t="s">
        <v>2575</v>
      </c>
      <c r="R537" s="27" t="s">
        <v>1592</v>
      </c>
      <c r="S537" s="28" t="n">
        <f aca="false">IFERROR(ISNUMBER(SEARCH("Conocer",$R537))/(ISNUMBER(SEARCH("Conocer",$R537))+ISNUMBER(SEARCH("Aplicar",$R537))+ISNUMBER(SEARCH("Razonar",$R537))),0)</f>
        <v>0</v>
      </c>
      <c r="T537" s="28" t="n">
        <f aca="false">IFERROR(ISNUMBER(SEARCH("Aplicar",$R537))/(ISNUMBER(SEARCH("Conocer",$R537))+ISNUMBER(SEARCH("Aplicar",$R537))+ISNUMBER(SEARCH("Razonar",$R537))),0)</f>
        <v>0.5</v>
      </c>
      <c r="U537" s="28" t="n">
        <f aca="false">IFERROR(ISNUMBER(SEARCH("Razonar",$R537))/(ISNUMBER(SEARCH("Conocer",$R537))+ISNUMBER(SEARCH("Aplicar",$R537))+ISNUMBER(SEARCH("Razonar",$R537))),0)</f>
        <v>0.5</v>
      </c>
      <c r="V537" s="8" t="s">
        <v>53</v>
      </c>
      <c r="W537" s="8" t="s">
        <v>53</v>
      </c>
    </row>
    <row r="538" customFormat="false" ht="15" hidden="false" customHeight="false" outlineLevel="0" collapsed="false">
      <c r="A538" s="8" t="s">
        <v>2576</v>
      </c>
      <c r="B538" s="8" t="n">
        <v>9</v>
      </c>
      <c r="C538" s="8" t="s">
        <v>411</v>
      </c>
      <c r="D538" s="8" t="s">
        <v>2570</v>
      </c>
      <c r="E538" s="8" t="s">
        <v>2571</v>
      </c>
      <c r="F538" s="8" t="n">
        <v>4</v>
      </c>
      <c r="G538" s="8" t="s">
        <v>2572</v>
      </c>
      <c r="H538" s="8" t="s">
        <v>2573</v>
      </c>
      <c r="I538" s="27" t="s">
        <v>2577</v>
      </c>
      <c r="J538" s="8" t="s">
        <v>185</v>
      </c>
      <c r="K538" s="8" t="s">
        <v>266</v>
      </c>
      <c r="L538" s="8" t="s">
        <v>264</v>
      </c>
      <c r="M538" s="8" t="str">
        <f aca="false">IF(K538="FUERA","Fuera del marco",IF(K538="N/A","Sin marco",IFERROR(INDEX(Catalogo_TIMSS!$C$5:$C$105,MATCH(K538,Catalogo_TIMSS!$A$5:$A$105,0)),"Pendiente de clasificar")))</f>
        <v>Física</v>
      </c>
      <c r="N538" s="8" t="str">
        <f aca="false">IF(K538="FUERA","Fuera del marco",IF(K538="N/A","Sin marco",IFERROR(INDEX(Catalogo_TIMSS!$F$5:$F$105,MATCH(K538,Catalogo_TIMSS!$A$5:$A$105,0)),"Pendiente de clasificar")))</f>
        <v>Movimiento y fuerzas</v>
      </c>
      <c r="O538" s="8" t="str">
        <f aca="false">IF(L538="","",IFERROR(INDEX(Catalogo_TIMSS!$C$5:$C$105,MATCH(L538,Catalogo_TIMSS!$A$5:$A$105,0)),"?"))</f>
        <v>Física</v>
      </c>
      <c r="P538" s="8" t="s">
        <v>418</v>
      </c>
      <c r="Q538" s="27" t="s">
        <v>2578</v>
      </c>
      <c r="R538" s="27" t="s">
        <v>1408</v>
      </c>
      <c r="S538" s="28" t="n">
        <f aca="false">IFERROR(ISNUMBER(SEARCH("Conocer",$R538))/(ISNUMBER(SEARCH("Conocer",$R538))+ISNUMBER(SEARCH("Aplicar",$R538))+ISNUMBER(SEARCH("Razonar",$R538))),0)</f>
        <v>0</v>
      </c>
      <c r="T538" s="28" t="n">
        <f aca="false">IFERROR(ISNUMBER(SEARCH("Aplicar",$R538))/(ISNUMBER(SEARCH("Conocer",$R538))+ISNUMBER(SEARCH("Aplicar",$R538))+ISNUMBER(SEARCH("Razonar",$R538))),0)</f>
        <v>1</v>
      </c>
      <c r="U538" s="28" t="n">
        <f aca="false">IFERROR(ISNUMBER(SEARCH("Razonar",$R538))/(ISNUMBER(SEARCH("Conocer",$R538))+ISNUMBER(SEARCH("Aplicar",$R538))+ISNUMBER(SEARCH("Razonar",$R538))),0)</f>
        <v>0</v>
      </c>
      <c r="V538" s="8" t="s">
        <v>53</v>
      </c>
      <c r="W538" s="8" t="s">
        <v>53</v>
      </c>
    </row>
    <row r="539" customFormat="false" ht="15" hidden="false" customHeight="false" outlineLevel="0" collapsed="false">
      <c r="A539" s="8" t="s">
        <v>2579</v>
      </c>
      <c r="B539" s="8" t="n">
        <v>9</v>
      </c>
      <c r="C539" s="8" t="s">
        <v>411</v>
      </c>
      <c r="D539" s="8" t="s">
        <v>2570</v>
      </c>
      <c r="E539" s="8" t="s">
        <v>2571</v>
      </c>
      <c r="F539" s="8" t="n">
        <v>5</v>
      </c>
      <c r="G539" s="8" t="s">
        <v>2572</v>
      </c>
      <c r="H539" s="8" t="s">
        <v>2573</v>
      </c>
      <c r="I539" s="27" t="s">
        <v>2580</v>
      </c>
      <c r="J539" s="8" t="s">
        <v>185</v>
      </c>
      <c r="K539" s="8" t="s">
        <v>266</v>
      </c>
      <c r="L539" s="8"/>
      <c r="M539" s="8" t="str">
        <f aca="false">IF(K539="FUERA","Fuera del marco",IF(K539="N/A","Sin marco",IFERROR(INDEX(Catalogo_TIMSS!$C$5:$C$105,MATCH(K539,Catalogo_TIMSS!$A$5:$A$105,0)),"Pendiente de clasificar")))</f>
        <v>Física</v>
      </c>
      <c r="N539" s="8" t="str">
        <f aca="false">IF(K539="FUERA","Fuera del marco",IF(K539="N/A","Sin marco",IFERROR(INDEX(Catalogo_TIMSS!$F$5:$F$105,MATCH(K539,Catalogo_TIMSS!$A$5:$A$105,0)),"Pendiente de clasificar")))</f>
        <v>Movimiento y fuerzas</v>
      </c>
      <c r="O539" s="8" t="str">
        <f aca="false">IF(L539="","",IFERROR(INDEX(Catalogo_TIMSS!$C$5:$C$105,MATCH(L539,Catalogo_TIMSS!$A$5:$A$105,0)),"?"))</f>
        <v/>
      </c>
      <c r="P539" s="8" t="s">
        <v>513</v>
      </c>
      <c r="Q539" s="27" t="s">
        <v>2581</v>
      </c>
      <c r="R539" s="27" t="s">
        <v>2582</v>
      </c>
      <c r="S539" s="28" t="n">
        <f aca="false">IFERROR(ISNUMBER(SEARCH("Conocer",$R539))/(ISNUMBER(SEARCH("Conocer",$R539))+ISNUMBER(SEARCH("Aplicar",$R539))+ISNUMBER(SEARCH("Razonar",$R539))),0)</f>
        <v>0</v>
      </c>
      <c r="T539" s="28" t="n">
        <f aca="false">IFERROR(ISNUMBER(SEARCH("Aplicar",$R539))/(ISNUMBER(SEARCH("Conocer",$R539))+ISNUMBER(SEARCH("Aplicar",$R539))+ISNUMBER(SEARCH("Razonar",$R539))),0)</f>
        <v>1</v>
      </c>
      <c r="U539" s="28" t="n">
        <f aca="false">IFERROR(ISNUMBER(SEARCH("Razonar",$R539))/(ISNUMBER(SEARCH("Conocer",$R539))+ISNUMBER(SEARCH("Aplicar",$R539))+ISNUMBER(SEARCH("Razonar",$R539))),0)</f>
        <v>0</v>
      </c>
      <c r="V539" s="8" t="s">
        <v>53</v>
      </c>
      <c r="W539" s="8" t="s">
        <v>53</v>
      </c>
    </row>
    <row r="540" customFormat="false" ht="15" hidden="false" customHeight="false" outlineLevel="0" collapsed="false">
      <c r="A540" s="8" t="s">
        <v>2583</v>
      </c>
      <c r="B540" s="8" t="n">
        <v>9</v>
      </c>
      <c r="C540" s="8" t="s">
        <v>411</v>
      </c>
      <c r="D540" s="8" t="s">
        <v>2570</v>
      </c>
      <c r="E540" s="8" t="s">
        <v>2571</v>
      </c>
      <c r="F540" s="8" t="n">
        <v>6</v>
      </c>
      <c r="G540" s="8" t="s">
        <v>2572</v>
      </c>
      <c r="H540" s="8" t="s">
        <v>2584</v>
      </c>
      <c r="I540" s="27" t="s">
        <v>2585</v>
      </c>
      <c r="J540" s="8" t="s">
        <v>185</v>
      </c>
      <c r="K540" s="8" t="s">
        <v>266</v>
      </c>
      <c r="L540" s="8"/>
      <c r="M540" s="8" t="str">
        <f aca="false">IF(K540="FUERA","Fuera del marco",IF(K540="N/A","Sin marco",IFERROR(INDEX(Catalogo_TIMSS!$C$5:$C$105,MATCH(K540,Catalogo_TIMSS!$A$5:$A$105,0)),"Pendiente de clasificar")))</f>
        <v>Física</v>
      </c>
      <c r="N540" s="8" t="str">
        <f aca="false">IF(K540="FUERA","Fuera del marco",IF(K540="N/A","Sin marco",IFERROR(INDEX(Catalogo_TIMSS!$F$5:$F$105,MATCH(K540,Catalogo_TIMSS!$A$5:$A$105,0)),"Pendiente de clasificar")))</f>
        <v>Movimiento y fuerzas</v>
      </c>
      <c r="O540" s="8" t="str">
        <f aca="false">IF(L540="","",IFERROR(INDEX(Catalogo_TIMSS!$C$5:$C$105,MATCH(L540,Catalogo_TIMSS!$A$5:$A$105,0)),"?"))</f>
        <v/>
      </c>
      <c r="P540" s="8" t="s">
        <v>418</v>
      </c>
      <c r="Q540" s="27" t="s">
        <v>2586</v>
      </c>
      <c r="R540" s="27" t="s">
        <v>1501</v>
      </c>
      <c r="S540" s="28" t="n">
        <f aca="false">IFERROR(ISNUMBER(SEARCH("Conocer",$R540))/(ISNUMBER(SEARCH("Conocer",$R540))+ISNUMBER(SEARCH("Aplicar",$R540))+ISNUMBER(SEARCH("Razonar",$R540))),0)</f>
        <v>0</v>
      </c>
      <c r="T540" s="28" t="n">
        <f aca="false">IFERROR(ISNUMBER(SEARCH("Aplicar",$R540))/(ISNUMBER(SEARCH("Conocer",$R540))+ISNUMBER(SEARCH("Aplicar",$R540))+ISNUMBER(SEARCH("Razonar",$R540))),0)</f>
        <v>1</v>
      </c>
      <c r="U540" s="28" t="n">
        <f aca="false">IFERROR(ISNUMBER(SEARCH("Razonar",$R540))/(ISNUMBER(SEARCH("Conocer",$R540))+ISNUMBER(SEARCH("Aplicar",$R540))+ISNUMBER(SEARCH("Razonar",$R540))),0)</f>
        <v>0</v>
      </c>
      <c r="V540" s="8" t="s">
        <v>53</v>
      </c>
      <c r="W540" s="8" t="s">
        <v>53</v>
      </c>
    </row>
    <row r="541" customFormat="false" ht="15" hidden="false" customHeight="false" outlineLevel="0" collapsed="false">
      <c r="A541" s="8" t="s">
        <v>2587</v>
      </c>
      <c r="B541" s="8" t="n">
        <v>9</v>
      </c>
      <c r="C541" s="8" t="s">
        <v>411</v>
      </c>
      <c r="D541" s="8" t="s">
        <v>2570</v>
      </c>
      <c r="E541" s="8" t="s">
        <v>2571</v>
      </c>
      <c r="F541" s="8" t="n">
        <v>7</v>
      </c>
      <c r="G541" s="8" t="s">
        <v>2572</v>
      </c>
      <c r="H541" s="8" t="s">
        <v>2584</v>
      </c>
      <c r="I541" s="27" t="s">
        <v>2588</v>
      </c>
      <c r="J541" s="8" t="s">
        <v>185</v>
      </c>
      <c r="K541" s="8" t="s">
        <v>266</v>
      </c>
      <c r="L541" s="8"/>
      <c r="M541" s="8" t="str">
        <f aca="false">IF(K541="FUERA","Fuera del marco",IF(K541="N/A","Sin marco",IFERROR(INDEX(Catalogo_TIMSS!$C$5:$C$105,MATCH(K541,Catalogo_TIMSS!$A$5:$A$105,0)),"Pendiente de clasificar")))</f>
        <v>Física</v>
      </c>
      <c r="N541" s="8" t="str">
        <f aca="false">IF(K541="FUERA","Fuera del marco",IF(K541="N/A","Sin marco",IFERROR(INDEX(Catalogo_TIMSS!$F$5:$F$105,MATCH(K541,Catalogo_TIMSS!$A$5:$A$105,0)),"Pendiente de clasificar")))</f>
        <v>Movimiento y fuerzas</v>
      </c>
      <c r="O541" s="8" t="str">
        <f aca="false">IF(L541="","",IFERROR(INDEX(Catalogo_TIMSS!$C$5:$C$105,MATCH(L541,Catalogo_TIMSS!$A$5:$A$105,0)),"?"))</f>
        <v/>
      </c>
      <c r="P541" s="8" t="s">
        <v>418</v>
      </c>
      <c r="Q541" s="27" t="s">
        <v>2589</v>
      </c>
      <c r="R541" s="27" t="s">
        <v>1347</v>
      </c>
      <c r="S541" s="28" t="n">
        <f aca="false">IFERROR(ISNUMBER(SEARCH("Conocer",$R541))/(ISNUMBER(SEARCH("Conocer",$R541))+ISNUMBER(SEARCH("Aplicar",$R541))+ISNUMBER(SEARCH("Razonar",$R541))),0)</f>
        <v>0</v>
      </c>
      <c r="T541" s="28" t="n">
        <f aca="false">IFERROR(ISNUMBER(SEARCH("Aplicar",$R541))/(ISNUMBER(SEARCH("Conocer",$R541))+ISNUMBER(SEARCH("Aplicar",$R541))+ISNUMBER(SEARCH("Razonar",$R541))),0)</f>
        <v>1</v>
      </c>
      <c r="U541" s="28" t="n">
        <f aca="false">IFERROR(ISNUMBER(SEARCH("Razonar",$R541))/(ISNUMBER(SEARCH("Conocer",$R541))+ISNUMBER(SEARCH("Aplicar",$R541))+ISNUMBER(SEARCH("Razonar",$R541))),0)</f>
        <v>0</v>
      </c>
      <c r="V541" s="8" t="s">
        <v>53</v>
      </c>
      <c r="W541" s="8" t="s">
        <v>53</v>
      </c>
    </row>
    <row r="542" customFormat="false" ht="15" hidden="false" customHeight="false" outlineLevel="0" collapsed="false">
      <c r="A542" s="8" t="s">
        <v>2590</v>
      </c>
      <c r="B542" s="8" t="n">
        <v>9</v>
      </c>
      <c r="C542" s="8" t="s">
        <v>411</v>
      </c>
      <c r="D542" s="8" t="s">
        <v>2570</v>
      </c>
      <c r="E542" s="8" t="s">
        <v>2571</v>
      </c>
      <c r="F542" s="8" t="n">
        <v>8</v>
      </c>
      <c r="G542" s="8" t="s">
        <v>2572</v>
      </c>
      <c r="H542" s="8" t="s">
        <v>2591</v>
      </c>
      <c r="I542" s="27" t="s">
        <v>2592</v>
      </c>
      <c r="J542" s="8" t="s">
        <v>185</v>
      </c>
      <c r="K542" s="8" t="s">
        <v>266</v>
      </c>
      <c r="L542" s="8"/>
      <c r="M542" s="8" t="str">
        <f aca="false">IF(K542="FUERA","Fuera del marco",IF(K542="N/A","Sin marco",IFERROR(INDEX(Catalogo_TIMSS!$C$5:$C$105,MATCH(K542,Catalogo_TIMSS!$A$5:$A$105,0)),"Pendiente de clasificar")))</f>
        <v>Física</v>
      </c>
      <c r="N542" s="8" t="str">
        <f aca="false">IF(K542="FUERA","Fuera del marco",IF(K542="N/A","Sin marco",IFERROR(INDEX(Catalogo_TIMSS!$F$5:$F$105,MATCH(K542,Catalogo_TIMSS!$A$5:$A$105,0)),"Pendiente de clasificar")))</f>
        <v>Movimiento y fuerzas</v>
      </c>
      <c r="O542" s="8" t="str">
        <f aca="false">IF(L542="","",IFERROR(INDEX(Catalogo_TIMSS!$C$5:$C$105,MATCH(L542,Catalogo_TIMSS!$A$5:$A$105,0)),"?"))</f>
        <v/>
      </c>
      <c r="P542" s="8" t="s">
        <v>418</v>
      </c>
      <c r="Q542" s="27" t="s">
        <v>2593</v>
      </c>
      <c r="R542" s="27" t="s">
        <v>2239</v>
      </c>
      <c r="S542" s="28" t="n">
        <f aca="false">IFERROR(ISNUMBER(SEARCH("Conocer",$R542))/(ISNUMBER(SEARCH("Conocer",$R542))+ISNUMBER(SEARCH("Aplicar",$R542))+ISNUMBER(SEARCH("Razonar",$R542))),0)</f>
        <v>0</v>
      </c>
      <c r="T542" s="28" t="n">
        <f aca="false">IFERROR(ISNUMBER(SEARCH("Aplicar",$R542))/(ISNUMBER(SEARCH("Conocer",$R542))+ISNUMBER(SEARCH("Aplicar",$R542))+ISNUMBER(SEARCH("Razonar",$R542))),0)</f>
        <v>1</v>
      </c>
      <c r="U542" s="28" t="n">
        <f aca="false">IFERROR(ISNUMBER(SEARCH("Razonar",$R542))/(ISNUMBER(SEARCH("Conocer",$R542))+ISNUMBER(SEARCH("Aplicar",$R542))+ISNUMBER(SEARCH("Razonar",$R542))),0)</f>
        <v>0</v>
      </c>
      <c r="V542" s="8" t="s">
        <v>53</v>
      </c>
      <c r="W542" s="8" t="s">
        <v>53</v>
      </c>
    </row>
    <row r="543" customFormat="false" ht="15" hidden="false" customHeight="false" outlineLevel="0" collapsed="false">
      <c r="A543" s="8" t="s">
        <v>2594</v>
      </c>
      <c r="B543" s="8" t="n">
        <v>9</v>
      </c>
      <c r="C543" s="8" t="s">
        <v>411</v>
      </c>
      <c r="D543" s="8" t="s">
        <v>2570</v>
      </c>
      <c r="E543" s="8" t="s">
        <v>2571</v>
      </c>
      <c r="F543" s="8" t="n">
        <v>9</v>
      </c>
      <c r="G543" s="8" t="s">
        <v>2572</v>
      </c>
      <c r="H543" s="8" t="s">
        <v>2595</v>
      </c>
      <c r="I543" s="27" t="s">
        <v>2596</v>
      </c>
      <c r="J543" s="8" t="s">
        <v>185</v>
      </c>
      <c r="K543" s="8" t="s">
        <v>266</v>
      </c>
      <c r="L543" s="8"/>
      <c r="M543" s="8" t="str">
        <f aca="false">IF(K543="FUERA","Fuera del marco",IF(K543="N/A","Sin marco",IFERROR(INDEX(Catalogo_TIMSS!$C$5:$C$105,MATCH(K543,Catalogo_TIMSS!$A$5:$A$105,0)),"Pendiente de clasificar")))</f>
        <v>Física</v>
      </c>
      <c r="N543" s="8" t="str">
        <f aca="false">IF(K543="FUERA","Fuera del marco",IF(K543="N/A","Sin marco",IFERROR(INDEX(Catalogo_TIMSS!$F$5:$F$105,MATCH(K543,Catalogo_TIMSS!$A$5:$A$105,0)),"Pendiente de clasificar")))</f>
        <v>Movimiento y fuerzas</v>
      </c>
      <c r="O543" s="8" t="str">
        <f aca="false">IF(L543="","",IFERROR(INDEX(Catalogo_TIMSS!$C$5:$C$105,MATCH(L543,Catalogo_TIMSS!$A$5:$A$105,0)),"?"))</f>
        <v/>
      </c>
      <c r="P543" s="8" t="s">
        <v>460</v>
      </c>
      <c r="Q543" s="27" t="s">
        <v>2597</v>
      </c>
      <c r="R543" s="27" t="s">
        <v>2598</v>
      </c>
      <c r="S543" s="28" t="n">
        <f aca="false">IFERROR(ISNUMBER(SEARCH("Conocer",$R543))/(ISNUMBER(SEARCH("Conocer",$R543))+ISNUMBER(SEARCH("Aplicar",$R543))+ISNUMBER(SEARCH("Razonar",$R543))),0)</f>
        <v>0</v>
      </c>
      <c r="T543" s="28" t="n">
        <f aca="false">IFERROR(ISNUMBER(SEARCH("Aplicar",$R543))/(ISNUMBER(SEARCH("Conocer",$R543))+ISNUMBER(SEARCH("Aplicar",$R543))+ISNUMBER(SEARCH("Razonar",$R543))),0)</f>
        <v>0.5</v>
      </c>
      <c r="U543" s="28" t="n">
        <f aca="false">IFERROR(ISNUMBER(SEARCH("Razonar",$R543))/(ISNUMBER(SEARCH("Conocer",$R543))+ISNUMBER(SEARCH("Aplicar",$R543))+ISNUMBER(SEARCH("Razonar",$R543))),0)</f>
        <v>0.5</v>
      </c>
      <c r="V543" s="8" t="s">
        <v>53</v>
      </c>
      <c r="W543" s="8" t="s">
        <v>53</v>
      </c>
    </row>
    <row r="544" customFormat="false" ht="15" hidden="false" customHeight="false" outlineLevel="0" collapsed="false">
      <c r="A544" s="8" t="s">
        <v>2599</v>
      </c>
      <c r="B544" s="8" t="n">
        <v>9</v>
      </c>
      <c r="C544" s="8" t="s">
        <v>411</v>
      </c>
      <c r="D544" s="8" t="s">
        <v>2570</v>
      </c>
      <c r="E544" s="8" t="s">
        <v>2571</v>
      </c>
      <c r="F544" s="8" t="n">
        <v>10</v>
      </c>
      <c r="G544" s="8" t="s">
        <v>2572</v>
      </c>
      <c r="H544" s="8" t="s">
        <v>2600</v>
      </c>
      <c r="I544" s="27" t="s">
        <v>2601</v>
      </c>
      <c r="J544" s="8" t="s">
        <v>185</v>
      </c>
      <c r="K544" s="8" t="s">
        <v>266</v>
      </c>
      <c r="L544" s="8"/>
      <c r="M544" s="8" t="str">
        <f aca="false">IF(K544="FUERA","Fuera del marco",IF(K544="N/A","Sin marco",IFERROR(INDEX(Catalogo_TIMSS!$C$5:$C$105,MATCH(K544,Catalogo_TIMSS!$A$5:$A$105,0)),"Pendiente de clasificar")))</f>
        <v>Física</v>
      </c>
      <c r="N544" s="8" t="str">
        <f aca="false">IF(K544="FUERA","Fuera del marco",IF(K544="N/A","Sin marco",IFERROR(INDEX(Catalogo_TIMSS!$F$5:$F$105,MATCH(K544,Catalogo_TIMSS!$A$5:$A$105,0)),"Pendiente de clasificar")))</f>
        <v>Movimiento y fuerzas</v>
      </c>
      <c r="O544" s="8" t="str">
        <f aca="false">IF(L544="","",IFERROR(INDEX(Catalogo_TIMSS!$C$5:$C$105,MATCH(L544,Catalogo_TIMSS!$A$5:$A$105,0)),"?"))</f>
        <v/>
      </c>
      <c r="P544" s="8" t="s">
        <v>460</v>
      </c>
      <c r="Q544" s="27" t="s">
        <v>2602</v>
      </c>
      <c r="R544" s="27" t="s">
        <v>1355</v>
      </c>
      <c r="S544" s="28" t="n">
        <f aca="false">IFERROR(ISNUMBER(SEARCH("Conocer",$R544))/(ISNUMBER(SEARCH("Conocer",$R544))+ISNUMBER(SEARCH("Aplicar",$R544))+ISNUMBER(SEARCH("Razonar",$R544))),0)</f>
        <v>0</v>
      </c>
      <c r="T544" s="28" t="n">
        <f aca="false">IFERROR(ISNUMBER(SEARCH("Aplicar",$R544))/(ISNUMBER(SEARCH("Conocer",$R544))+ISNUMBER(SEARCH("Aplicar",$R544))+ISNUMBER(SEARCH("Razonar",$R544))),0)</f>
        <v>0.5</v>
      </c>
      <c r="U544" s="28" t="n">
        <f aca="false">IFERROR(ISNUMBER(SEARCH("Razonar",$R544))/(ISNUMBER(SEARCH("Conocer",$R544))+ISNUMBER(SEARCH("Aplicar",$R544))+ISNUMBER(SEARCH("Razonar",$R544))),0)</f>
        <v>0.5</v>
      </c>
      <c r="V544" s="8" t="s">
        <v>53</v>
      </c>
      <c r="W544" s="8" t="s">
        <v>53</v>
      </c>
    </row>
    <row r="545" customFormat="false" ht="15" hidden="false" customHeight="false" outlineLevel="0" collapsed="false">
      <c r="A545" s="8" t="s">
        <v>2603</v>
      </c>
      <c r="B545" s="8" t="n">
        <v>9</v>
      </c>
      <c r="C545" s="8" t="s">
        <v>411</v>
      </c>
      <c r="D545" s="8" t="s">
        <v>2570</v>
      </c>
      <c r="E545" s="8" t="s">
        <v>2571</v>
      </c>
      <c r="F545" s="8" t="n">
        <v>11</v>
      </c>
      <c r="G545" s="8" t="s">
        <v>2572</v>
      </c>
      <c r="H545" s="8" t="s">
        <v>2600</v>
      </c>
      <c r="I545" s="27" t="s">
        <v>2604</v>
      </c>
      <c r="J545" s="8" t="s">
        <v>185</v>
      </c>
      <c r="K545" s="8" t="s">
        <v>266</v>
      </c>
      <c r="L545" s="8"/>
      <c r="M545" s="8" t="str">
        <f aca="false">IF(K545="FUERA","Fuera del marco",IF(K545="N/A","Sin marco",IFERROR(INDEX(Catalogo_TIMSS!$C$5:$C$105,MATCH(K545,Catalogo_TIMSS!$A$5:$A$105,0)),"Pendiente de clasificar")))</f>
        <v>Física</v>
      </c>
      <c r="N545" s="8" t="str">
        <f aca="false">IF(K545="FUERA","Fuera del marco",IF(K545="N/A","Sin marco",IFERROR(INDEX(Catalogo_TIMSS!$F$5:$F$105,MATCH(K545,Catalogo_TIMSS!$A$5:$A$105,0)),"Pendiente de clasificar")))</f>
        <v>Movimiento y fuerzas</v>
      </c>
      <c r="O545" s="8" t="str">
        <f aca="false">IF(L545="","",IFERROR(INDEX(Catalogo_TIMSS!$C$5:$C$105,MATCH(L545,Catalogo_TIMSS!$A$5:$A$105,0)),"?"))</f>
        <v/>
      </c>
      <c r="P545" s="8" t="s">
        <v>460</v>
      </c>
      <c r="Q545" s="27" t="s">
        <v>2605</v>
      </c>
      <c r="R545" s="27" t="s">
        <v>1408</v>
      </c>
      <c r="S545" s="28" t="n">
        <f aca="false">IFERROR(ISNUMBER(SEARCH("Conocer",$R545))/(ISNUMBER(SEARCH("Conocer",$R545))+ISNUMBER(SEARCH("Aplicar",$R545))+ISNUMBER(SEARCH("Razonar",$R545))),0)</f>
        <v>0</v>
      </c>
      <c r="T545" s="28" t="n">
        <f aca="false">IFERROR(ISNUMBER(SEARCH("Aplicar",$R545))/(ISNUMBER(SEARCH("Conocer",$R545))+ISNUMBER(SEARCH("Aplicar",$R545))+ISNUMBER(SEARCH("Razonar",$R545))),0)</f>
        <v>1</v>
      </c>
      <c r="U545" s="28" t="n">
        <f aca="false">IFERROR(ISNUMBER(SEARCH("Razonar",$R545))/(ISNUMBER(SEARCH("Conocer",$R545))+ISNUMBER(SEARCH("Aplicar",$R545))+ISNUMBER(SEARCH("Razonar",$R545))),0)</f>
        <v>0</v>
      </c>
      <c r="V545" s="8" t="s">
        <v>53</v>
      </c>
      <c r="W545" s="8" t="s">
        <v>53</v>
      </c>
    </row>
    <row r="546" customFormat="false" ht="15" hidden="false" customHeight="false" outlineLevel="0" collapsed="false">
      <c r="A546" s="8" t="s">
        <v>2606</v>
      </c>
      <c r="B546" s="8" t="n">
        <v>9</v>
      </c>
      <c r="C546" s="8" t="s">
        <v>411</v>
      </c>
      <c r="D546" s="8" t="s">
        <v>2570</v>
      </c>
      <c r="E546" s="8" t="s">
        <v>2571</v>
      </c>
      <c r="F546" s="8" t="n">
        <v>12</v>
      </c>
      <c r="G546" s="8" t="s">
        <v>2572</v>
      </c>
      <c r="H546" s="8" t="s">
        <v>2607</v>
      </c>
      <c r="I546" s="27" t="s">
        <v>2608</v>
      </c>
      <c r="J546" s="8" t="s">
        <v>185</v>
      </c>
      <c r="K546" s="8" t="s">
        <v>264</v>
      </c>
      <c r="L546" s="8"/>
      <c r="M546" s="8" t="str">
        <f aca="false">IF(K546="FUERA","Fuera del marco",IF(K546="N/A","Sin marco",IFERROR(INDEX(Catalogo_TIMSS!$C$5:$C$105,MATCH(K546,Catalogo_TIMSS!$A$5:$A$105,0)),"Pendiente de clasificar")))</f>
        <v>Física</v>
      </c>
      <c r="N546" s="8" t="str">
        <f aca="false">IF(K546="FUERA","Fuera del marco",IF(K546="N/A","Sin marco",IFERROR(INDEX(Catalogo_TIMSS!$F$5:$F$105,MATCH(K546,Catalogo_TIMSS!$A$5:$A$105,0)),"Pendiente de clasificar")))</f>
        <v>Movimiento y fuerzas</v>
      </c>
      <c r="O546" s="8" t="str">
        <f aca="false">IF(L546="","",IFERROR(INDEX(Catalogo_TIMSS!$C$5:$C$105,MATCH(L546,Catalogo_TIMSS!$A$5:$A$105,0)),"?"))</f>
        <v/>
      </c>
      <c r="P546" s="8" t="s">
        <v>460</v>
      </c>
      <c r="Q546" s="27" t="s">
        <v>2609</v>
      </c>
      <c r="R546" s="27" t="s">
        <v>2610</v>
      </c>
      <c r="S546" s="28" t="n">
        <f aca="false">IFERROR(ISNUMBER(SEARCH("Conocer",$R546))/(ISNUMBER(SEARCH("Conocer",$R546))+ISNUMBER(SEARCH("Aplicar",$R546))+ISNUMBER(SEARCH("Razonar",$R546))),0)</f>
        <v>0</v>
      </c>
      <c r="T546" s="28" t="n">
        <f aca="false">IFERROR(ISNUMBER(SEARCH("Aplicar",$R546))/(ISNUMBER(SEARCH("Conocer",$R546))+ISNUMBER(SEARCH("Aplicar",$R546))+ISNUMBER(SEARCH("Razonar",$R546))),0)</f>
        <v>1</v>
      </c>
      <c r="U546" s="28" t="n">
        <f aca="false">IFERROR(ISNUMBER(SEARCH("Razonar",$R546))/(ISNUMBER(SEARCH("Conocer",$R546))+ISNUMBER(SEARCH("Aplicar",$R546))+ISNUMBER(SEARCH("Razonar",$R546))),0)</f>
        <v>0</v>
      </c>
      <c r="V546" s="8" t="s">
        <v>53</v>
      </c>
      <c r="W546" s="8" t="s">
        <v>53</v>
      </c>
    </row>
    <row r="547" customFormat="false" ht="15" hidden="false" customHeight="false" outlineLevel="0" collapsed="false">
      <c r="A547" s="8" t="s">
        <v>2611</v>
      </c>
      <c r="B547" s="8" t="n">
        <v>9</v>
      </c>
      <c r="C547" s="8" t="s">
        <v>411</v>
      </c>
      <c r="D547" s="8" t="s">
        <v>2570</v>
      </c>
      <c r="E547" s="8" t="s">
        <v>2571</v>
      </c>
      <c r="F547" s="8" t="n">
        <v>13</v>
      </c>
      <c r="G547" s="8" t="s">
        <v>2572</v>
      </c>
      <c r="H547" s="8" t="s">
        <v>2607</v>
      </c>
      <c r="I547" s="27" t="s">
        <v>2612</v>
      </c>
      <c r="J547" s="8" t="s">
        <v>185</v>
      </c>
      <c r="K547" s="8" t="s">
        <v>264</v>
      </c>
      <c r="L547" s="8"/>
      <c r="M547" s="8" t="str">
        <f aca="false">IF(K547="FUERA","Fuera del marco",IF(K547="N/A","Sin marco",IFERROR(INDEX(Catalogo_TIMSS!$C$5:$C$105,MATCH(K547,Catalogo_TIMSS!$A$5:$A$105,0)),"Pendiente de clasificar")))</f>
        <v>Física</v>
      </c>
      <c r="N547" s="8" t="str">
        <f aca="false">IF(K547="FUERA","Fuera del marco",IF(K547="N/A","Sin marco",IFERROR(INDEX(Catalogo_TIMSS!$F$5:$F$105,MATCH(K547,Catalogo_TIMSS!$A$5:$A$105,0)),"Pendiente de clasificar")))</f>
        <v>Movimiento y fuerzas</v>
      </c>
      <c r="O547" s="8" t="str">
        <f aca="false">IF(L547="","",IFERROR(INDEX(Catalogo_TIMSS!$C$5:$C$105,MATCH(L547,Catalogo_TIMSS!$A$5:$A$105,0)),"?"))</f>
        <v/>
      </c>
      <c r="P547" s="8" t="s">
        <v>460</v>
      </c>
      <c r="Q547" s="27" t="s">
        <v>2613</v>
      </c>
      <c r="R547" s="27" t="s">
        <v>2614</v>
      </c>
      <c r="S547" s="28" t="n">
        <f aca="false">IFERROR(ISNUMBER(SEARCH("Conocer",$R547))/(ISNUMBER(SEARCH("Conocer",$R547))+ISNUMBER(SEARCH("Aplicar",$R547))+ISNUMBER(SEARCH("Razonar",$R547))),0)</f>
        <v>0</v>
      </c>
      <c r="T547" s="28" t="n">
        <f aca="false">IFERROR(ISNUMBER(SEARCH("Aplicar",$R547))/(ISNUMBER(SEARCH("Conocer",$R547))+ISNUMBER(SEARCH("Aplicar",$R547))+ISNUMBER(SEARCH("Razonar",$R547))),0)</f>
        <v>0</v>
      </c>
      <c r="U547" s="28" t="n">
        <f aca="false">IFERROR(ISNUMBER(SEARCH("Razonar",$R547))/(ISNUMBER(SEARCH("Conocer",$R547))+ISNUMBER(SEARCH("Aplicar",$R547))+ISNUMBER(SEARCH("Razonar",$R547))),0)</f>
        <v>1</v>
      </c>
      <c r="V547" s="8" t="s">
        <v>53</v>
      </c>
      <c r="W547" s="8" t="s">
        <v>53</v>
      </c>
    </row>
    <row r="548" customFormat="false" ht="15" hidden="false" customHeight="false" outlineLevel="0" collapsed="false">
      <c r="A548" s="8" t="s">
        <v>2615</v>
      </c>
      <c r="B548" s="8" t="n">
        <v>9</v>
      </c>
      <c r="C548" s="8" t="s">
        <v>411</v>
      </c>
      <c r="D548" s="8" t="s">
        <v>2570</v>
      </c>
      <c r="E548" s="8" t="s">
        <v>2571</v>
      </c>
      <c r="F548" s="8" t="n">
        <v>14</v>
      </c>
      <c r="G548" s="8" t="s">
        <v>2572</v>
      </c>
      <c r="H548" s="8" t="s">
        <v>2607</v>
      </c>
      <c r="I548" s="27" t="s">
        <v>2616</v>
      </c>
      <c r="J548" s="8" t="s">
        <v>185</v>
      </c>
      <c r="K548" s="8" t="s">
        <v>266</v>
      </c>
      <c r="L548" s="8"/>
      <c r="M548" s="8" t="str">
        <f aca="false">IF(K548="FUERA","Fuera del marco",IF(K548="N/A","Sin marco",IFERROR(INDEX(Catalogo_TIMSS!$C$5:$C$105,MATCH(K548,Catalogo_TIMSS!$A$5:$A$105,0)),"Pendiente de clasificar")))</f>
        <v>Física</v>
      </c>
      <c r="N548" s="8" t="str">
        <f aca="false">IF(K548="FUERA","Fuera del marco",IF(K548="N/A","Sin marco",IFERROR(INDEX(Catalogo_TIMSS!$F$5:$F$105,MATCH(K548,Catalogo_TIMSS!$A$5:$A$105,0)),"Pendiente de clasificar")))</f>
        <v>Movimiento y fuerzas</v>
      </c>
      <c r="O548" s="8" t="str">
        <f aca="false">IF(L548="","",IFERROR(INDEX(Catalogo_TIMSS!$C$5:$C$105,MATCH(L548,Catalogo_TIMSS!$A$5:$A$105,0)),"?"))</f>
        <v/>
      </c>
      <c r="P548" s="8" t="s">
        <v>460</v>
      </c>
      <c r="Q548" s="27" t="s">
        <v>2617</v>
      </c>
      <c r="R548" s="27" t="s">
        <v>2239</v>
      </c>
      <c r="S548" s="28" t="n">
        <f aca="false">IFERROR(ISNUMBER(SEARCH("Conocer",$R548))/(ISNUMBER(SEARCH("Conocer",$R548))+ISNUMBER(SEARCH("Aplicar",$R548))+ISNUMBER(SEARCH("Razonar",$R548))),0)</f>
        <v>0</v>
      </c>
      <c r="T548" s="28" t="n">
        <f aca="false">IFERROR(ISNUMBER(SEARCH("Aplicar",$R548))/(ISNUMBER(SEARCH("Conocer",$R548))+ISNUMBER(SEARCH("Aplicar",$R548))+ISNUMBER(SEARCH("Razonar",$R548))),0)</f>
        <v>1</v>
      </c>
      <c r="U548" s="28" t="n">
        <f aca="false">IFERROR(ISNUMBER(SEARCH("Razonar",$R548))/(ISNUMBER(SEARCH("Conocer",$R548))+ISNUMBER(SEARCH("Aplicar",$R548))+ISNUMBER(SEARCH("Razonar",$R548))),0)</f>
        <v>0</v>
      </c>
      <c r="V548" s="8" t="s">
        <v>53</v>
      </c>
      <c r="W548" s="8" t="s">
        <v>53</v>
      </c>
    </row>
    <row r="549" customFormat="false" ht="15" hidden="false" customHeight="false" outlineLevel="0" collapsed="false">
      <c r="A549" s="8" t="s">
        <v>2618</v>
      </c>
      <c r="B549" s="8" t="n">
        <v>9</v>
      </c>
      <c r="C549" s="8" t="s">
        <v>411</v>
      </c>
      <c r="D549" s="8" t="s">
        <v>2570</v>
      </c>
      <c r="E549" s="8" t="s">
        <v>1619</v>
      </c>
      <c r="F549" s="8" t="n">
        <v>3</v>
      </c>
      <c r="G549" s="8" t="s">
        <v>2619</v>
      </c>
      <c r="H549" s="8" t="s">
        <v>2620</v>
      </c>
      <c r="I549" s="27" t="s">
        <v>2621</v>
      </c>
      <c r="J549" s="8" t="s">
        <v>185</v>
      </c>
      <c r="K549" s="8" t="s">
        <v>245</v>
      </c>
      <c r="L549" s="8"/>
      <c r="M549" s="8" t="str">
        <f aca="false">IF(K549="FUERA","Fuera del marco",IF(K549="N/A","Sin marco",IFERROR(INDEX(Catalogo_TIMSS!$C$5:$C$105,MATCH(K549,Catalogo_TIMSS!$A$5:$A$105,0)),"Pendiente de clasificar")))</f>
        <v>Física</v>
      </c>
      <c r="N549" s="8" t="str">
        <f aca="false">IF(K549="FUERA","Fuera del marco",IF(K549="N/A","Sin marco",IFERROR(INDEX(Catalogo_TIMSS!$F$5:$F$105,MATCH(K549,Catalogo_TIMSS!$A$5:$A$105,0)),"Pendiente de clasificar")))</f>
        <v>Estados físicos y cambios de la materia</v>
      </c>
      <c r="O549" s="8" t="str">
        <f aca="false">IF(L549="","",IFERROR(INDEX(Catalogo_TIMSS!$C$5:$C$105,MATCH(L549,Catalogo_TIMSS!$A$5:$A$105,0)),"?"))</f>
        <v/>
      </c>
      <c r="P549" s="8" t="s">
        <v>418</v>
      </c>
      <c r="Q549" s="27" t="s">
        <v>2622</v>
      </c>
      <c r="R549" s="27" t="s">
        <v>2623</v>
      </c>
      <c r="S549" s="28" t="n">
        <f aca="false">IFERROR(ISNUMBER(SEARCH("Conocer",$R549))/(ISNUMBER(SEARCH("Conocer",$R549))+ISNUMBER(SEARCH("Aplicar",$R549))+ISNUMBER(SEARCH("Razonar",$R549))),0)</f>
        <v>1</v>
      </c>
      <c r="T549" s="28" t="n">
        <f aca="false">IFERROR(ISNUMBER(SEARCH("Aplicar",$R549))/(ISNUMBER(SEARCH("Conocer",$R549))+ISNUMBER(SEARCH("Aplicar",$R549))+ISNUMBER(SEARCH("Razonar",$R549))),0)</f>
        <v>0</v>
      </c>
      <c r="U549" s="28" t="n">
        <f aca="false">IFERROR(ISNUMBER(SEARCH("Razonar",$R549))/(ISNUMBER(SEARCH("Conocer",$R549))+ISNUMBER(SEARCH("Aplicar",$R549))+ISNUMBER(SEARCH("Razonar",$R549))),0)</f>
        <v>0</v>
      </c>
      <c r="V549" s="8" t="s">
        <v>53</v>
      </c>
      <c r="W549" s="8" t="s">
        <v>53</v>
      </c>
    </row>
    <row r="550" customFormat="false" ht="15" hidden="false" customHeight="false" outlineLevel="0" collapsed="false">
      <c r="A550" s="8" t="s">
        <v>2624</v>
      </c>
      <c r="B550" s="8" t="n">
        <v>9</v>
      </c>
      <c r="C550" s="8" t="s">
        <v>411</v>
      </c>
      <c r="D550" s="8" t="s">
        <v>2570</v>
      </c>
      <c r="E550" s="8" t="s">
        <v>1619</v>
      </c>
      <c r="F550" s="8" t="n">
        <v>4</v>
      </c>
      <c r="G550" s="8" t="s">
        <v>2619</v>
      </c>
      <c r="H550" s="8" t="s">
        <v>2620</v>
      </c>
      <c r="I550" s="27" t="s">
        <v>2625</v>
      </c>
      <c r="J550" s="8" t="s">
        <v>185</v>
      </c>
      <c r="K550" s="8" t="s">
        <v>250</v>
      </c>
      <c r="L550" s="8" t="s">
        <v>245</v>
      </c>
      <c r="M550" s="8" t="str">
        <f aca="false">IF(K550="FUERA","Fuera del marco",IF(K550="N/A","Sin marco",IFERROR(INDEX(Catalogo_TIMSS!$C$5:$C$105,MATCH(K550,Catalogo_TIMSS!$A$5:$A$105,0)),"Pendiente de clasificar")))</f>
        <v>Física</v>
      </c>
      <c r="N550" s="8" t="str">
        <f aca="false">IF(K550="FUERA","Fuera del marco",IF(K550="N/A","Sin marco",IFERROR(INDEX(Catalogo_TIMSS!$F$5:$F$105,MATCH(K550,Catalogo_TIMSS!$A$5:$A$105,0)),"Pendiente de clasificar")))</f>
        <v>Transformación y transferencia de energía</v>
      </c>
      <c r="O550" s="8" t="str">
        <f aca="false">IF(L550="","",IFERROR(INDEX(Catalogo_TIMSS!$C$5:$C$105,MATCH(L550,Catalogo_TIMSS!$A$5:$A$105,0)),"?"))</f>
        <v>Física</v>
      </c>
      <c r="P550" s="8" t="s">
        <v>418</v>
      </c>
      <c r="Q550" s="27" t="s">
        <v>2626</v>
      </c>
      <c r="R550" s="27" t="s">
        <v>1637</v>
      </c>
      <c r="S550" s="28" t="n">
        <f aca="false">IFERROR(ISNUMBER(SEARCH("Conocer",$R550))/(ISNUMBER(SEARCH("Conocer",$R550))+ISNUMBER(SEARCH("Aplicar",$R550))+ISNUMBER(SEARCH("Razonar",$R550))),0)</f>
        <v>0</v>
      </c>
      <c r="T550" s="28" t="n">
        <f aca="false">IFERROR(ISNUMBER(SEARCH("Aplicar",$R550))/(ISNUMBER(SEARCH("Conocer",$R550))+ISNUMBER(SEARCH("Aplicar",$R550))+ISNUMBER(SEARCH("Razonar",$R550))),0)</f>
        <v>0.5</v>
      </c>
      <c r="U550" s="28" t="n">
        <f aca="false">IFERROR(ISNUMBER(SEARCH("Razonar",$R550))/(ISNUMBER(SEARCH("Conocer",$R550))+ISNUMBER(SEARCH("Aplicar",$R550))+ISNUMBER(SEARCH("Razonar",$R550))),0)</f>
        <v>0.5</v>
      </c>
      <c r="V550" s="8" t="s">
        <v>53</v>
      </c>
      <c r="W550" s="8" t="s">
        <v>53</v>
      </c>
    </row>
    <row r="551" customFormat="false" ht="15" hidden="false" customHeight="false" outlineLevel="0" collapsed="false">
      <c r="A551" s="8" t="s">
        <v>2627</v>
      </c>
      <c r="B551" s="8" t="n">
        <v>9</v>
      </c>
      <c r="C551" s="8" t="s">
        <v>411</v>
      </c>
      <c r="D551" s="8" t="s">
        <v>2570</v>
      </c>
      <c r="E551" s="8" t="s">
        <v>1619</v>
      </c>
      <c r="F551" s="8" t="n">
        <v>5</v>
      </c>
      <c r="G551" s="8" t="s">
        <v>2619</v>
      </c>
      <c r="H551" s="8" t="s">
        <v>2620</v>
      </c>
      <c r="I551" s="27" t="s">
        <v>2628</v>
      </c>
      <c r="J551" s="8" t="s">
        <v>185</v>
      </c>
      <c r="K551" s="8" t="s">
        <v>250</v>
      </c>
      <c r="L551" s="8" t="s">
        <v>245</v>
      </c>
      <c r="M551" s="8" t="str">
        <f aca="false">IF(K551="FUERA","Fuera del marco",IF(K551="N/A","Sin marco",IFERROR(INDEX(Catalogo_TIMSS!$C$5:$C$105,MATCH(K551,Catalogo_TIMSS!$A$5:$A$105,0)),"Pendiente de clasificar")))</f>
        <v>Física</v>
      </c>
      <c r="N551" s="8" t="str">
        <f aca="false">IF(K551="FUERA","Fuera del marco",IF(K551="N/A","Sin marco",IFERROR(INDEX(Catalogo_TIMSS!$F$5:$F$105,MATCH(K551,Catalogo_TIMSS!$A$5:$A$105,0)),"Pendiente de clasificar")))</f>
        <v>Transformación y transferencia de energía</v>
      </c>
      <c r="O551" s="8" t="str">
        <f aca="false">IF(L551="","",IFERROR(INDEX(Catalogo_TIMSS!$C$5:$C$105,MATCH(L551,Catalogo_TIMSS!$A$5:$A$105,0)),"?"))</f>
        <v>Física</v>
      </c>
      <c r="P551" s="8" t="s">
        <v>418</v>
      </c>
      <c r="Q551" s="27" t="s">
        <v>2629</v>
      </c>
      <c r="R551" s="27" t="s">
        <v>1408</v>
      </c>
      <c r="S551" s="28" t="n">
        <f aca="false">IFERROR(ISNUMBER(SEARCH("Conocer",$R551))/(ISNUMBER(SEARCH("Conocer",$R551))+ISNUMBER(SEARCH("Aplicar",$R551))+ISNUMBER(SEARCH("Razonar",$R551))),0)</f>
        <v>0</v>
      </c>
      <c r="T551" s="28" t="n">
        <f aca="false">IFERROR(ISNUMBER(SEARCH("Aplicar",$R551))/(ISNUMBER(SEARCH("Conocer",$R551))+ISNUMBER(SEARCH("Aplicar",$R551))+ISNUMBER(SEARCH("Razonar",$R551))),0)</f>
        <v>1</v>
      </c>
      <c r="U551" s="28" t="n">
        <f aca="false">IFERROR(ISNUMBER(SEARCH("Razonar",$R551))/(ISNUMBER(SEARCH("Conocer",$R551))+ISNUMBER(SEARCH("Aplicar",$R551))+ISNUMBER(SEARCH("Razonar",$R551))),0)</f>
        <v>0</v>
      </c>
      <c r="V551" s="8" t="s">
        <v>53</v>
      </c>
      <c r="W551" s="8" t="s">
        <v>53</v>
      </c>
    </row>
    <row r="552" customFormat="false" ht="15" hidden="false" customHeight="false" outlineLevel="0" collapsed="false">
      <c r="A552" s="8" t="s">
        <v>2630</v>
      </c>
      <c r="B552" s="8" t="n">
        <v>9</v>
      </c>
      <c r="C552" s="8" t="s">
        <v>411</v>
      </c>
      <c r="D552" s="8" t="s">
        <v>2570</v>
      </c>
      <c r="E552" s="8" t="s">
        <v>1619</v>
      </c>
      <c r="F552" s="8" t="n">
        <v>6</v>
      </c>
      <c r="G552" s="8" t="s">
        <v>2619</v>
      </c>
      <c r="H552" s="8" t="s">
        <v>2631</v>
      </c>
      <c r="I552" s="27" t="s">
        <v>2632</v>
      </c>
      <c r="J552" s="8" t="s">
        <v>185</v>
      </c>
      <c r="K552" s="8" t="s">
        <v>242</v>
      </c>
      <c r="L552" s="8" t="s">
        <v>250</v>
      </c>
      <c r="M552" s="8" t="str">
        <f aca="false">IF(K552="FUERA","Fuera del marco",IF(K552="N/A","Sin marco",IFERROR(INDEX(Catalogo_TIMSS!$C$5:$C$105,MATCH(K552,Catalogo_TIMSS!$A$5:$A$105,0)),"Pendiente de clasificar")))</f>
        <v>Física</v>
      </c>
      <c r="N552" s="8" t="str">
        <f aca="false">IF(K552="FUERA","Fuera del marco",IF(K552="N/A","Sin marco",IFERROR(INDEX(Catalogo_TIMSS!$F$5:$F$105,MATCH(K552,Catalogo_TIMSS!$A$5:$A$105,0)),"Pendiente de clasificar")))</f>
        <v>Estados físicos y cambios de la materia</v>
      </c>
      <c r="O552" s="8" t="str">
        <f aca="false">IF(L552="","",IFERROR(INDEX(Catalogo_TIMSS!$C$5:$C$105,MATCH(L552,Catalogo_TIMSS!$A$5:$A$105,0)),"?"))</f>
        <v>Física</v>
      </c>
      <c r="P552" s="8" t="s">
        <v>460</v>
      </c>
      <c r="Q552" s="27" t="s">
        <v>2633</v>
      </c>
      <c r="R552" s="27" t="s">
        <v>2634</v>
      </c>
      <c r="S552" s="28" t="n">
        <f aca="false">IFERROR(ISNUMBER(SEARCH("Conocer",$R552))/(ISNUMBER(SEARCH("Conocer",$R552))+ISNUMBER(SEARCH("Aplicar",$R552))+ISNUMBER(SEARCH("Razonar",$R552))),0)</f>
        <v>0</v>
      </c>
      <c r="T552" s="28" t="n">
        <f aca="false">IFERROR(ISNUMBER(SEARCH("Aplicar",$R552))/(ISNUMBER(SEARCH("Conocer",$R552))+ISNUMBER(SEARCH("Aplicar",$R552))+ISNUMBER(SEARCH("Razonar",$R552))),0)</f>
        <v>1</v>
      </c>
      <c r="U552" s="28" t="n">
        <f aca="false">IFERROR(ISNUMBER(SEARCH("Razonar",$R552))/(ISNUMBER(SEARCH("Conocer",$R552))+ISNUMBER(SEARCH("Aplicar",$R552))+ISNUMBER(SEARCH("Razonar",$R552))),0)</f>
        <v>0</v>
      </c>
      <c r="V552" s="8" t="s">
        <v>53</v>
      </c>
      <c r="W552" s="8" t="s">
        <v>53</v>
      </c>
    </row>
    <row r="553" customFormat="false" ht="15" hidden="false" customHeight="false" outlineLevel="0" collapsed="false">
      <c r="A553" s="8" t="s">
        <v>2635</v>
      </c>
      <c r="B553" s="8" t="n">
        <v>9</v>
      </c>
      <c r="C553" s="8" t="s">
        <v>411</v>
      </c>
      <c r="D553" s="8" t="s">
        <v>2570</v>
      </c>
      <c r="E553" s="8" t="s">
        <v>1619</v>
      </c>
      <c r="F553" s="8" t="n">
        <v>7</v>
      </c>
      <c r="G553" s="8" t="s">
        <v>2619</v>
      </c>
      <c r="H553" s="8" t="s">
        <v>2631</v>
      </c>
      <c r="I553" s="27" t="s">
        <v>2636</v>
      </c>
      <c r="J553" s="8" t="s">
        <v>185</v>
      </c>
      <c r="K553" s="8" t="s">
        <v>247</v>
      </c>
      <c r="L553" s="8" t="s">
        <v>242</v>
      </c>
      <c r="M553" s="8" t="str">
        <f aca="false">IF(K553="FUERA","Fuera del marco",IF(K553="N/A","Sin marco",IFERROR(INDEX(Catalogo_TIMSS!$C$5:$C$105,MATCH(K553,Catalogo_TIMSS!$A$5:$A$105,0)),"Pendiente de clasificar")))</f>
        <v>Física</v>
      </c>
      <c r="N553" s="8" t="str">
        <f aca="false">IF(K553="FUERA","Fuera del marco",IF(K553="N/A","Sin marco",IFERROR(INDEX(Catalogo_TIMSS!$F$5:$F$105,MATCH(K553,Catalogo_TIMSS!$A$5:$A$105,0)),"Pendiente de clasificar")))</f>
        <v>Transformación y transferencia de energía</v>
      </c>
      <c r="O553" s="8" t="str">
        <f aca="false">IF(L553="","",IFERROR(INDEX(Catalogo_TIMSS!$C$5:$C$105,MATCH(L553,Catalogo_TIMSS!$A$5:$A$105,0)),"?"))</f>
        <v>Física</v>
      </c>
      <c r="P553" s="8" t="s">
        <v>513</v>
      </c>
      <c r="Q553" s="27" t="s">
        <v>2637</v>
      </c>
      <c r="R553" s="27" t="s">
        <v>2638</v>
      </c>
      <c r="S553" s="28" t="n">
        <f aca="false">IFERROR(ISNUMBER(SEARCH("Conocer",$R553))/(ISNUMBER(SEARCH("Conocer",$R553))+ISNUMBER(SEARCH("Aplicar",$R553))+ISNUMBER(SEARCH("Razonar",$R553))),0)</f>
        <v>0</v>
      </c>
      <c r="T553" s="28" t="n">
        <f aca="false">IFERROR(ISNUMBER(SEARCH("Aplicar",$R553))/(ISNUMBER(SEARCH("Conocer",$R553))+ISNUMBER(SEARCH("Aplicar",$R553))+ISNUMBER(SEARCH("Razonar",$R553))),0)</f>
        <v>1</v>
      </c>
      <c r="U553" s="28" t="n">
        <f aca="false">IFERROR(ISNUMBER(SEARCH("Razonar",$R553))/(ISNUMBER(SEARCH("Conocer",$R553))+ISNUMBER(SEARCH("Aplicar",$R553))+ISNUMBER(SEARCH("Razonar",$R553))),0)</f>
        <v>0</v>
      </c>
      <c r="V553" s="8" t="s">
        <v>53</v>
      </c>
      <c r="W553" s="8" t="s">
        <v>53</v>
      </c>
    </row>
    <row r="554" customFormat="false" ht="15" hidden="false" customHeight="false" outlineLevel="0" collapsed="false">
      <c r="A554" s="8" t="s">
        <v>2639</v>
      </c>
      <c r="B554" s="8" t="n">
        <v>9</v>
      </c>
      <c r="C554" s="8" t="s">
        <v>411</v>
      </c>
      <c r="D554" s="8" t="s">
        <v>2570</v>
      </c>
      <c r="E554" s="8" t="s">
        <v>1619</v>
      </c>
      <c r="F554" s="8" t="n">
        <v>8</v>
      </c>
      <c r="G554" s="8" t="s">
        <v>2619</v>
      </c>
      <c r="H554" s="8" t="s">
        <v>2640</v>
      </c>
      <c r="I554" s="27" t="s">
        <v>2641</v>
      </c>
      <c r="J554" s="8" t="s">
        <v>185</v>
      </c>
      <c r="K554" s="8" t="s">
        <v>250</v>
      </c>
      <c r="L554" s="8"/>
      <c r="M554" s="8" t="str">
        <f aca="false">IF(K554="FUERA","Fuera del marco",IF(K554="N/A","Sin marco",IFERROR(INDEX(Catalogo_TIMSS!$C$5:$C$105,MATCH(K554,Catalogo_TIMSS!$A$5:$A$105,0)),"Pendiente de clasificar")))</f>
        <v>Física</v>
      </c>
      <c r="N554" s="8" t="str">
        <f aca="false">IF(K554="FUERA","Fuera del marco",IF(K554="N/A","Sin marco",IFERROR(INDEX(Catalogo_TIMSS!$F$5:$F$105,MATCH(K554,Catalogo_TIMSS!$A$5:$A$105,0)),"Pendiente de clasificar")))</f>
        <v>Transformación y transferencia de energía</v>
      </c>
      <c r="O554" s="8" t="str">
        <f aca="false">IF(L554="","",IFERROR(INDEX(Catalogo_TIMSS!$C$5:$C$105,MATCH(L554,Catalogo_TIMSS!$A$5:$A$105,0)),"?"))</f>
        <v/>
      </c>
      <c r="P554" s="8" t="s">
        <v>418</v>
      </c>
      <c r="Q554" s="27" t="s">
        <v>2642</v>
      </c>
      <c r="R554" s="27" t="s">
        <v>1718</v>
      </c>
      <c r="S554" s="28" t="n">
        <f aca="false">IFERROR(ISNUMBER(SEARCH("Conocer",$R554))/(ISNUMBER(SEARCH("Conocer",$R554))+ISNUMBER(SEARCH("Aplicar",$R554))+ISNUMBER(SEARCH("Razonar",$R554))),0)</f>
        <v>1</v>
      </c>
      <c r="T554" s="28" t="n">
        <f aca="false">IFERROR(ISNUMBER(SEARCH("Aplicar",$R554))/(ISNUMBER(SEARCH("Conocer",$R554))+ISNUMBER(SEARCH("Aplicar",$R554))+ISNUMBER(SEARCH("Razonar",$R554))),0)</f>
        <v>0</v>
      </c>
      <c r="U554" s="28" t="n">
        <f aca="false">IFERROR(ISNUMBER(SEARCH("Razonar",$R554))/(ISNUMBER(SEARCH("Conocer",$R554))+ISNUMBER(SEARCH("Aplicar",$R554))+ISNUMBER(SEARCH("Razonar",$R554))),0)</f>
        <v>0</v>
      </c>
      <c r="V554" s="8" t="s">
        <v>53</v>
      </c>
      <c r="W554" s="8" t="s">
        <v>53</v>
      </c>
    </row>
    <row r="555" customFormat="false" ht="15" hidden="false" customHeight="false" outlineLevel="0" collapsed="false">
      <c r="A555" s="8" t="s">
        <v>2643</v>
      </c>
      <c r="B555" s="8" t="n">
        <v>9</v>
      </c>
      <c r="C555" s="8" t="s">
        <v>411</v>
      </c>
      <c r="D555" s="8" t="s">
        <v>2570</v>
      </c>
      <c r="E555" s="8" t="s">
        <v>1619</v>
      </c>
      <c r="F555" s="8" t="n">
        <v>9</v>
      </c>
      <c r="G555" s="8" t="s">
        <v>2619</v>
      </c>
      <c r="H555" s="8" t="s">
        <v>305</v>
      </c>
      <c r="I555" s="27" t="s">
        <v>2644</v>
      </c>
      <c r="J555" s="8" t="s">
        <v>185</v>
      </c>
      <c r="K555" s="8" t="s">
        <v>247</v>
      </c>
      <c r="L555" s="8"/>
      <c r="M555" s="8" t="str">
        <f aca="false">IF(K555="FUERA","Fuera del marco",IF(K555="N/A","Sin marco",IFERROR(INDEX(Catalogo_TIMSS!$C$5:$C$105,MATCH(K555,Catalogo_TIMSS!$A$5:$A$105,0)),"Pendiente de clasificar")))</f>
        <v>Física</v>
      </c>
      <c r="N555" s="8" t="str">
        <f aca="false">IF(K555="FUERA","Fuera del marco",IF(K555="N/A","Sin marco",IFERROR(INDEX(Catalogo_TIMSS!$F$5:$F$105,MATCH(K555,Catalogo_TIMSS!$A$5:$A$105,0)),"Pendiente de clasificar")))</f>
        <v>Transformación y transferencia de energía</v>
      </c>
      <c r="O555" s="8" t="str">
        <f aca="false">IF(L555="","",IFERROR(INDEX(Catalogo_TIMSS!$C$5:$C$105,MATCH(L555,Catalogo_TIMSS!$A$5:$A$105,0)),"?"))</f>
        <v/>
      </c>
      <c r="P555" s="8" t="s">
        <v>418</v>
      </c>
      <c r="Q555" s="27" t="s">
        <v>2645</v>
      </c>
      <c r="R555" s="27" t="s">
        <v>2126</v>
      </c>
      <c r="S555" s="28" t="n">
        <f aca="false">IFERROR(ISNUMBER(SEARCH("Conocer",$R555))/(ISNUMBER(SEARCH("Conocer",$R555))+ISNUMBER(SEARCH("Aplicar",$R555))+ISNUMBER(SEARCH("Razonar",$R555))),0)</f>
        <v>0</v>
      </c>
      <c r="T555" s="28" t="n">
        <f aca="false">IFERROR(ISNUMBER(SEARCH("Aplicar",$R555))/(ISNUMBER(SEARCH("Conocer",$R555))+ISNUMBER(SEARCH("Aplicar",$R555))+ISNUMBER(SEARCH("Razonar",$R555))),0)</f>
        <v>0.5</v>
      </c>
      <c r="U555" s="28" t="n">
        <f aca="false">IFERROR(ISNUMBER(SEARCH("Razonar",$R555))/(ISNUMBER(SEARCH("Conocer",$R555))+ISNUMBER(SEARCH("Aplicar",$R555))+ISNUMBER(SEARCH("Razonar",$R555))),0)</f>
        <v>0.5</v>
      </c>
      <c r="V555" s="8" t="s">
        <v>53</v>
      </c>
      <c r="W555" s="8" t="s">
        <v>53</v>
      </c>
    </row>
    <row r="556" customFormat="false" ht="15" hidden="false" customHeight="false" outlineLevel="0" collapsed="false">
      <c r="A556" s="8" t="s">
        <v>2646</v>
      </c>
      <c r="B556" s="8" t="n">
        <v>9</v>
      </c>
      <c r="C556" s="8" t="s">
        <v>411</v>
      </c>
      <c r="D556" s="8" t="s">
        <v>2570</v>
      </c>
      <c r="E556" s="8" t="s">
        <v>1619</v>
      </c>
      <c r="F556" s="8" t="n">
        <v>10</v>
      </c>
      <c r="G556" s="8" t="s">
        <v>2619</v>
      </c>
      <c r="H556" s="8" t="s">
        <v>305</v>
      </c>
      <c r="I556" s="27" t="s">
        <v>2647</v>
      </c>
      <c r="J556" s="8" t="s">
        <v>185</v>
      </c>
      <c r="K556" s="8" t="s">
        <v>247</v>
      </c>
      <c r="L556" s="8"/>
      <c r="M556" s="8" t="str">
        <f aca="false">IF(K556="FUERA","Fuera del marco",IF(K556="N/A","Sin marco",IFERROR(INDEX(Catalogo_TIMSS!$C$5:$C$105,MATCH(K556,Catalogo_TIMSS!$A$5:$A$105,0)),"Pendiente de clasificar")))</f>
        <v>Física</v>
      </c>
      <c r="N556" s="8" t="str">
        <f aca="false">IF(K556="FUERA","Fuera del marco",IF(K556="N/A","Sin marco",IFERROR(INDEX(Catalogo_TIMSS!$F$5:$F$105,MATCH(K556,Catalogo_TIMSS!$A$5:$A$105,0)),"Pendiente de clasificar")))</f>
        <v>Transformación y transferencia de energía</v>
      </c>
      <c r="O556" s="8" t="str">
        <f aca="false">IF(L556="","",IFERROR(INDEX(Catalogo_TIMSS!$C$5:$C$105,MATCH(L556,Catalogo_TIMSS!$A$5:$A$105,0)),"?"))</f>
        <v/>
      </c>
      <c r="P556" s="8" t="s">
        <v>418</v>
      </c>
      <c r="Q556" s="27" t="s">
        <v>2648</v>
      </c>
      <c r="R556" s="27" t="s">
        <v>2239</v>
      </c>
      <c r="S556" s="28" t="n">
        <f aca="false">IFERROR(ISNUMBER(SEARCH("Conocer",$R556))/(ISNUMBER(SEARCH("Conocer",$R556))+ISNUMBER(SEARCH("Aplicar",$R556))+ISNUMBER(SEARCH("Razonar",$R556))),0)</f>
        <v>0</v>
      </c>
      <c r="T556" s="28" t="n">
        <f aca="false">IFERROR(ISNUMBER(SEARCH("Aplicar",$R556))/(ISNUMBER(SEARCH("Conocer",$R556))+ISNUMBER(SEARCH("Aplicar",$R556))+ISNUMBER(SEARCH("Razonar",$R556))),0)</f>
        <v>1</v>
      </c>
      <c r="U556" s="28" t="n">
        <f aca="false">IFERROR(ISNUMBER(SEARCH("Razonar",$R556))/(ISNUMBER(SEARCH("Conocer",$R556))+ISNUMBER(SEARCH("Aplicar",$R556))+ISNUMBER(SEARCH("Razonar",$R556))),0)</f>
        <v>0</v>
      </c>
      <c r="V556" s="8" t="s">
        <v>53</v>
      </c>
      <c r="W556" s="8" t="s">
        <v>53</v>
      </c>
    </row>
    <row r="557" customFormat="false" ht="15" hidden="false" customHeight="false" outlineLevel="0" collapsed="false">
      <c r="A557" s="8" t="s">
        <v>2649</v>
      </c>
      <c r="B557" s="8" t="n">
        <v>9</v>
      </c>
      <c r="C557" s="8" t="s">
        <v>411</v>
      </c>
      <c r="D557" s="8" t="s">
        <v>2570</v>
      </c>
      <c r="E557" s="8" t="s">
        <v>1619</v>
      </c>
      <c r="F557" s="8" t="n">
        <v>11</v>
      </c>
      <c r="G557" s="8" t="s">
        <v>2619</v>
      </c>
      <c r="H557" s="8" t="s">
        <v>2650</v>
      </c>
      <c r="I557" s="27" t="s">
        <v>2651</v>
      </c>
      <c r="J557" s="8" t="s">
        <v>185</v>
      </c>
      <c r="K557" s="8" t="s">
        <v>250</v>
      </c>
      <c r="L557" s="8" t="s">
        <v>247</v>
      </c>
      <c r="M557" s="8" t="str">
        <f aca="false">IF(K557="FUERA","Fuera del marco",IF(K557="N/A","Sin marco",IFERROR(INDEX(Catalogo_TIMSS!$C$5:$C$105,MATCH(K557,Catalogo_TIMSS!$A$5:$A$105,0)),"Pendiente de clasificar")))</f>
        <v>Física</v>
      </c>
      <c r="N557" s="8" t="str">
        <f aca="false">IF(K557="FUERA","Fuera del marco",IF(K557="N/A","Sin marco",IFERROR(INDEX(Catalogo_TIMSS!$F$5:$F$105,MATCH(K557,Catalogo_TIMSS!$A$5:$A$105,0)),"Pendiente de clasificar")))</f>
        <v>Transformación y transferencia de energía</v>
      </c>
      <c r="O557" s="8" t="str">
        <f aca="false">IF(L557="","",IFERROR(INDEX(Catalogo_TIMSS!$C$5:$C$105,MATCH(L557,Catalogo_TIMSS!$A$5:$A$105,0)),"?"))</f>
        <v>Física</v>
      </c>
      <c r="P557" s="8" t="s">
        <v>460</v>
      </c>
      <c r="Q557" s="27" t="s">
        <v>2652</v>
      </c>
      <c r="R557" s="27" t="s">
        <v>1776</v>
      </c>
      <c r="S557" s="28" t="n">
        <f aca="false">IFERROR(ISNUMBER(SEARCH("Conocer",$R557))/(ISNUMBER(SEARCH("Conocer",$R557))+ISNUMBER(SEARCH("Aplicar",$R557))+ISNUMBER(SEARCH("Razonar",$R557))),0)</f>
        <v>1</v>
      </c>
      <c r="T557" s="28" t="n">
        <f aca="false">IFERROR(ISNUMBER(SEARCH("Aplicar",$R557))/(ISNUMBER(SEARCH("Conocer",$R557))+ISNUMBER(SEARCH("Aplicar",$R557))+ISNUMBER(SEARCH("Razonar",$R557))),0)</f>
        <v>0</v>
      </c>
      <c r="U557" s="28" t="n">
        <f aca="false">IFERROR(ISNUMBER(SEARCH("Razonar",$R557))/(ISNUMBER(SEARCH("Conocer",$R557))+ISNUMBER(SEARCH("Aplicar",$R557))+ISNUMBER(SEARCH("Razonar",$R557))),0)</f>
        <v>0</v>
      </c>
      <c r="V557" s="8" t="s">
        <v>53</v>
      </c>
      <c r="W557" s="8" t="s">
        <v>53</v>
      </c>
    </row>
    <row r="558" customFormat="false" ht="15" hidden="false" customHeight="false" outlineLevel="0" collapsed="false">
      <c r="A558" s="8" t="s">
        <v>2653</v>
      </c>
      <c r="B558" s="8" t="n">
        <v>9</v>
      </c>
      <c r="C558" s="8" t="s">
        <v>411</v>
      </c>
      <c r="D558" s="8" t="s">
        <v>2570</v>
      </c>
      <c r="E558" s="8" t="s">
        <v>1619</v>
      </c>
      <c r="F558" s="8" t="n">
        <v>12</v>
      </c>
      <c r="G558" s="8" t="s">
        <v>2619</v>
      </c>
      <c r="H558" s="8" t="s">
        <v>2650</v>
      </c>
      <c r="I558" s="27" t="s">
        <v>2654</v>
      </c>
      <c r="J558" s="8" t="s">
        <v>185</v>
      </c>
      <c r="K558" s="8" t="s">
        <v>247</v>
      </c>
      <c r="L558" s="8"/>
      <c r="M558" s="8" t="str">
        <f aca="false">IF(K558="FUERA","Fuera del marco",IF(K558="N/A","Sin marco",IFERROR(INDEX(Catalogo_TIMSS!$C$5:$C$105,MATCH(K558,Catalogo_TIMSS!$A$5:$A$105,0)),"Pendiente de clasificar")))</f>
        <v>Física</v>
      </c>
      <c r="N558" s="8" t="str">
        <f aca="false">IF(K558="FUERA","Fuera del marco",IF(K558="N/A","Sin marco",IFERROR(INDEX(Catalogo_TIMSS!$F$5:$F$105,MATCH(K558,Catalogo_TIMSS!$A$5:$A$105,0)),"Pendiente de clasificar")))</f>
        <v>Transformación y transferencia de energía</v>
      </c>
      <c r="O558" s="8" t="str">
        <f aca="false">IF(L558="","",IFERROR(INDEX(Catalogo_TIMSS!$C$5:$C$105,MATCH(L558,Catalogo_TIMSS!$A$5:$A$105,0)),"?"))</f>
        <v/>
      </c>
      <c r="P558" s="8" t="s">
        <v>460</v>
      </c>
      <c r="Q558" s="27" t="s">
        <v>2655</v>
      </c>
      <c r="R558" s="27" t="s">
        <v>2656</v>
      </c>
      <c r="S558" s="28" t="n">
        <f aca="false">IFERROR(ISNUMBER(SEARCH("Conocer",$R558))/(ISNUMBER(SEARCH("Conocer",$R558))+ISNUMBER(SEARCH("Aplicar",$R558))+ISNUMBER(SEARCH("Razonar",$R558))),0)</f>
        <v>0</v>
      </c>
      <c r="T558" s="28" t="n">
        <f aca="false">IFERROR(ISNUMBER(SEARCH("Aplicar",$R558))/(ISNUMBER(SEARCH("Conocer",$R558))+ISNUMBER(SEARCH("Aplicar",$R558))+ISNUMBER(SEARCH("Razonar",$R558))),0)</f>
        <v>0.5</v>
      </c>
      <c r="U558" s="28" t="n">
        <f aca="false">IFERROR(ISNUMBER(SEARCH("Razonar",$R558))/(ISNUMBER(SEARCH("Conocer",$R558))+ISNUMBER(SEARCH("Aplicar",$R558))+ISNUMBER(SEARCH("Razonar",$R558))),0)</f>
        <v>0.5</v>
      </c>
      <c r="V558" s="8" t="s">
        <v>53</v>
      </c>
      <c r="W558" s="8" t="s">
        <v>53</v>
      </c>
    </row>
    <row r="559" customFormat="false" ht="15" hidden="false" customHeight="false" outlineLevel="0" collapsed="false">
      <c r="A559" s="8" t="s">
        <v>2657</v>
      </c>
      <c r="B559" s="8" t="n">
        <v>9</v>
      </c>
      <c r="C559" s="8" t="s">
        <v>411</v>
      </c>
      <c r="D559" s="8" t="s">
        <v>2570</v>
      </c>
      <c r="E559" s="8" t="s">
        <v>2658</v>
      </c>
      <c r="F559" s="8" t="n">
        <v>3</v>
      </c>
      <c r="G559" s="8" t="s">
        <v>2659</v>
      </c>
      <c r="H559" s="8" t="s">
        <v>2660</v>
      </c>
      <c r="I559" s="27" t="s">
        <v>2661</v>
      </c>
      <c r="J559" s="8" t="s">
        <v>185</v>
      </c>
      <c r="K559" s="8" t="s">
        <v>238</v>
      </c>
      <c r="L559" s="8"/>
      <c r="M559" s="8" t="str">
        <f aca="false">IF(K559="FUERA","Fuera del marco",IF(K559="N/A","Sin marco",IFERROR(INDEX(Catalogo_TIMSS!$C$5:$C$105,MATCH(K559,Catalogo_TIMSS!$A$5:$A$105,0)),"Pendiente de clasificar")))</f>
        <v>Química</v>
      </c>
      <c r="N559" s="8" t="str">
        <f aca="false">IF(K559="FUERA","Fuera del marco",IF(K559="N/A","Sin marco",IFERROR(INDEX(Catalogo_TIMSS!$F$5:$F$105,MATCH(K559,Catalogo_TIMSS!$A$5:$A$105,0)),"Pendiente de clasificar")))</f>
        <v>Cambio químico</v>
      </c>
      <c r="O559" s="8" t="str">
        <f aca="false">IF(L559="","",IFERROR(INDEX(Catalogo_TIMSS!$C$5:$C$105,MATCH(L559,Catalogo_TIMSS!$A$5:$A$105,0)),"?"))</f>
        <v/>
      </c>
      <c r="P559" s="8" t="s">
        <v>460</v>
      </c>
      <c r="Q559" s="27" t="s">
        <v>2662</v>
      </c>
      <c r="R559" s="27" t="s">
        <v>2663</v>
      </c>
      <c r="S559" s="28" t="n">
        <f aca="false">IFERROR(ISNUMBER(SEARCH("Conocer",$R559))/(ISNUMBER(SEARCH("Conocer",$R559))+ISNUMBER(SEARCH("Aplicar",$R559))+ISNUMBER(SEARCH("Razonar",$R559))),0)</f>
        <v>0.5</v>
      </c>
      <c r="T559" s="28" t="n">
        <f aca="false">IFERROR(ISNUMBER(SEARCH("Aplicar",$R559))/(ISNUMBER(SEARCH("Conocer",$R559))+ISNUMBER(SEARCH("Aplicar",$R559))+ISNUMBER(SEARCH("Razonar",$R559))),0)</f>
        <v>0.5</v>
      </c>
      <c r="U559" s="28" t="n">
        <f aca="false">IFERROR(ISNUMBER(SEARCH("Razonar",$R559))/(ISNUMBER(SEARCH("Conocer",$R559))+ISNUMBER(SEARCH("Aplicar",$R559))+ISNUMBER(SEARCH("Razonar",$R559))),0)</f>
        <v>0</v>
      </c>
      <c r="V559" s="8" t="s">
        <v>53</v>
      </c>
      <c r="W559" s="8" t="s">
        <v>53</v>
      </c>
    </row>
    <row r="560" customFormat="false" ht="15" hidden="false" customHeight="false" outlineLevel="0" collapsed="false">
      <c r="A560" s="8" t="s">
        <v>2664</v>
      </c>
      <c r="B560" s="8" t="n">
        <v>9</v>
      </c>
      <c r="C560" s="8" t="s">
        <v>411</v>
      </c>
      <c r="D560" s="8" t="s">
        <v>2570</v>
      </c>
      <c r="E560" s="8" t="s">
        <v>2658</v>
      </c>
      <c r="F560" s="8" t="n">
        <v>4</v>
      </c>
      <c r="G560" s="8" t="s">
        <v>2659</v>
      </c>
      <c r="H560" s="8" t="s">
        <v>2660</v>
      </c>
      <c r="I560" s="27" t="s">
        <v>2665</v>
      </c>
      <c r="J560" s="8" t="s">
        <v>185</v>
      </c>
      <c r="K560" s="8" t="s">
        <v>238</v>
      </c>
      <c r="L560" s="8"/>
      <c r="M560" s="8" t="str">
        <f aca="false">IF(K560="FUERA","Fuera del marco",IF(K560="N/A","Sin marco",IFERROR(INDEX(Catalogo_TIMSS!$C$5:$C$105,MATCH(K560,Catalogo_TIMSS!$A$5:$A$105,0)),"Pendiente de clasificar")))</f>
        <v>Química</v>
      </c>
      <c r="N560" s="8" t="str">
        <f aca="false">IF(K560="FUERA","Fuera del marco",IF(K560="N/A","Sin marco",IFERROR(INDEX(Catalogo_TIMSS!$F$5:$F$105,MATCH(K560,Catalogo_TIMSS!$A$5:$A$105,0)),"Pendiente de clasificar")))</f>
        <v>Cambio químico</v>
      </c>
      <c r="O560" s="8" t="str">
        <f aca="false">IF(L560="","",IFERROR(INDEX(Catalogo_TIMSS!$C$5:$C$105,MATCH(L560,Catalogo_TIMSS!$A$5:$A$105,0)),"?"))</f>
        <v/>
      </c>
      <c r="P560" s="8" t="s">
        <v>418</v>
      </c>
      <c r="Q560" s="27" t="s">
        <v>2666</v>
      </c>
      <c r="R560" s="27" t="s">
        <v>1566</v>
      </c>
      <c r="S560" s="28" t="n">
        <f aca="false">IFERROR(ISNUMBER(SEARCH("Conocer",$R560))/(ISNUMBER(SEARCH("Conocer",$R560))+ISNUMBER(SEARCH("Aplicar",$R560))+ISNUMBER(SEARCH("Razonar",$R560))),0)</f>
        <v>0</v>
      </c>
      <c r="T560" s="28" t="n">
        <f aca="false">IFERROR(ISNUMBER(SEARCH("Aplicar",$R560))/(ISNUMBER(SEARCH("Conocer",$R560))+ISNUMBER(SEARCH("Aplicar",$R560))+ISNUMBER(SEARCH("Razonar",$R560))),0)</f>
        <v>0</v>
      </c>
      <c r="U560" s="28" t="n">
        <f aca="false">IFERROR(ISNUMBER(SEARCH("Razonar",$R560))/(ISNUMBER(SEARCH("Conocer",$R560))+ISNUMBER(SEARCH("Aplicar",$R560))+ISNUMBER(SEARCH("Razonar",$R560))),0)</f>
        <v>1</v>
      </c>
      <c r="V560" s="8" t="s">
        <v>53</v>
      </c>
      <c r="W560" s="8" t="s">
        <v>53</v>
      </c>
    </row>
    <row r="561" customFormat="false" ht="15" hidden="false" customHeight="false" outlineLevel="0" collapsed="false">
      <c r="A561" s="8" t="s">
        <v>2667</v>
      </c>
      <c r="B561" s="8" t="n">
        <v>9</v>
      </c>
      <c r="C561" s="8" t="s">
        <v>411</v>
      </c>
      <c r="D561" s="8" t="s">
        <v>2570</v>
      </c>
      <c r="E561" s="8" t="s">
        <v>2658</v>
      </c>
      <c r="F561" s="8" t="n">
        <v>5</v>
      </c>
      <c r="G561" s="8" t="s">
        <v>2659</v>
      </c>
      <c r="H561" s="8" t="s">
        <v>2660</v>
      </c>
      <c r="I561" s="27" t="s">
        <v>2668</v>
      </c>
      <c r="J561" s="8" t="s">
        <v>185</v>
      </c>
      <c r="K561" s="8" t="s">
        <v>238</v>
      </c>
      <c r="L561" s="8"/>
      <c r="M561" s="8" t="str">
        <f aca="false">IF(K561="FUERA","Fuera del marco",IF(K561="N/A","Sin marco",IFERROR(INDEX(Catalogo_TIMSS!$C$5:$C$105,MATCH(K561,Catalogo_TIMSS!$A$5:$A$105,0)),"Pendiente de clasificar")))</f>
        <v>Química</v>
      </c>
      <c r="N561" s="8" t="str">
        <f aca="false">IF(K561="FUERA","Fuera del marco",IF(K561="N/A","Sin marco",IFERROR(INDEX(Catalogo_TIMSS!$F$5:$F$105,MATCH(K561,Catalogo_TIMSS!$A$5:$A$105,0)),"Pendiente de clasificar")))</f>
        <v>Cambio químico</v>
      </c>
      <c r="O561" s="8" t="str">
        <f aca="false">IF(L561="","",IFERROR(INDEX(Catalogo_TIMSS!$C$5:$C$105,MATCH(L561,Catalogo_TIMSS!$A$5:$A$105,0)),"?"))</f>
        <v/>
      </c>
      <c r="P561" s="8" t="s">
        <v>513</v>
      </c>
      <c r="Q561" s="27" t="s">
        <v>2669</v>
      </c>
      <c r="R561" s="27" t="s">
        <v>1265</v>
      </c>
      <c r="S561" s="28" t="n">
        <f aca="false">IFERROR(ISNUMBER(SEARCH("Conocer",$R561))/(ISNUMBER(SEARCH("Conocer",$R561))+ISNUMBER(SEARCH("Aplicar",$R561))+ISNUMBER(SEARCH("Razonar",$R561))),0)</f>
        <v>0</v>
      </c>
      <c r="T561" s="28" t="n">
        <f aca="false">IFERROR(ISNUMBER(SEARCH("Aplicar",$R561))/(ISNUMBER(SEARCH("Conocer",$R561))+ISNUMBER(SEARCH("Aplicar",$R561))+ISNUMBER(SEARCH("Razonar",$R561))),0)</f>
        <v>1</v>
      </c>
      <c r="U561" s="28" t="n">
        <f aca="false">IFERROR(ISNUMBER(SEARCH("Razonar",$R561))/(ISNUMBER(SEARCH("Conocer",$R561))+ISNUMBER(SEARCH("Aplicar",$R561))+ISNUMBER(SEARCH("Razonar",$R561))),0)</f>
        <v>0</v>
      </c>
      <c r="V561" s="8" t="s">
        <v>53</v>
      </c>
      <c r="W561" s="8" t="s">
        <v>53</v>
      </c>
    </row>
    <row r="562" customFormat="false" ht="15" hidden="false" customHeight="false" outlineLevel="0" collapsed="false">
      <c r="A562" s="8" t="s">
        <v>2670</v>
      </c>
      <c r="B562" s="8" t="n">
        <v>9</v>
      </c>
      <c r="C562" s="8" t="s">
        <v>411</v>
      </c>
      <c r="D562" s="8" t="s">
        <v>2570</v>
      </c>
      <c r="E562" s="8" t="s">
        <v>2658</v>
      </c>
      <c r="F562" s="8" t="n">
        <v>6</v>
      </c>
      <c r="G562" s="8" t="s">
        <v>2659</v>
      </c>
      <c r="H562" s="8" t="s">
        <v>2671</v>
      </c>
      <c r="I562" s="27" t="s">
        <v>2672</v>
      </c>
      <c r="J562" s="8" t="s">
        <v>185</v>
      </c>
      <c r="K562" s="8" t="s">
        <v>238</v>
      </c>
      <c r="L562" s="8" t="s">
        <v>235</v>
      </c>
      <c r="M562" s="8" t="str">
        <f aca="false">IF(K562="FUERA","Fuera del marco",IF(K562="N/A","Sin marco",IFERROR(INDEX(Catalogo_TIMSS!$C$5:$C$105,MATCH(K562,Catalogo_TIMSS!$A$5:$A$105,0)),"Pendiente de clasificar")))</f>
        <v>Química</v>
      </c>
      <c r="N562" s="8" t="str">
        <f aca="false">IF(K562="FUERA","Fuera del marco",IF(K562="N/A","Sin marco",IFERROR(INDEX(Catalogo_TIMSS!$F$5:$F$105,MATCH(K562,Catalogo_TIMSS!$A$5:$A$105,0)),"Pendiente de clasificar")))</f>
        <v>Cambio químico</v>
      </c>
      <c r="O562" s="8" t="str">
        <f aca="false">IF(L562="","",IFERROR(INDEX(Catalogo_TIMSS!$C$5:$C$105,MATCH(L562,Catalogo_TIMSS!$A$5:$A$105,0)),"?"))</f>
        <v>Química</v>
      </c>
      <c r="P562" s="8" t="s">
        <v>513</v>
      </c>
      <c r="Q562" s="27" t="s">
        <v>2673</v>
      </c>
      <c r="R562" s="27" t="s">
        <v>2099</v>
      </c>
      <c r="S562" s="28" t="n">
        <f aca="false">IFERROR(ISNUMBER(SEARCH("Conocer",$R562))/(ISNUMBER(SEARCH("Conocer",$R562))+ISNUMBER(SEARCH("Aplicar",$R562))+ISNUMBER(SEARCH("Razonar",$R562))),0)</f>
        <v>0</v>
      </c>
      <c r="T562" s="28" t="n">
        <f aca="false">IFERROR(ISNUMBER(SEARCH("Aplicar",$R562))/(ISNUMBER(SEARCH("Conocer",$R562))+ISNUMBER(SEARCH("Aplicar",$R562))+ISNUMBER(SEARCH("Razonar",$R562))),0)</f>
        <v>0.5</v>
      </c>
      <c r="U562" s="28" t="n">
        <f aca="false">IFERROR(ISNUMBER(SEARCH("Razonar",$R562))/(ISNUMBER(SEARCH("Conocer",$R562))+ISNUMBER(SEARCH("Aplicar",$R562))+ISNUMBER(SEARCH("Razonar",$R562))),0)</f>
        <v>0.5</v>
      </c>
      <c r="V562" s="8" t="s">
        <v>53</v>
      </c>
      <c r="W562" s="8" t="s">
        <v>53</v>
      </c>
    </row>
    <row r="563" customFormat="false" ht="15" hidden="false" customHeight="false" outlineLevel="0" collapsed="false">
      <c r="A563" s="8" t="s">
        <v>2674</v>
      </c>
      <c r="B563" s="8" t="n">
        <v>9</v>
      </c>
      <c r="C563" s="8" t="s">
        <v>411</v>
      </c>
      <c r="D563" s="8" t="s">
        <v>2570</v>
      </c>
      <c r="E563" s="8" t="s">
        <v>2658</v>
      </c>
      <c r="F563" s="8" t="n">
        <v>7</v>
      </c>
      <c r="G563" s="8" t="s">
        <v>2659</v>
      </c>
      <c r="H563" s="8" t="s">
        <v>2671</v>
      </c>
      <c r="I563" s="27" t="s">
        <v>2675</v>
      </c>
      <c r="J563" s="8" t="s">
        <v>185</v>
      </c>
      <c r="K563" s="8" t="s">
        <v>238</v>
      </c>
      <c r="L563" s="8"/>
      <c r="M563" s="8" t="str">
        <f aca="false">IF(K563="FUERA","Fuera del marco",IF(K563="N/A","Sin marco",IFERROR(INDEX(Catalogo_TIMSS!$C$5:$C$105,MATCH(K563,Catalogo_TIMSS!$A$5:$A$105,0)),"Pendiente de clasificar")))</f>
        <v>Química</v>
      </c>
      <c r="N563" s="8" t="str">
        <f aca="false">IF(K563="FUERA","Fuera del marco",IF(K563="N/A","Sin marco",IFERROR(INDEX(Catalogo_TIMSS!$F$5:$F$105,MATCH(K563,Catalogo_TIMSS!$A$5:$A$105,0)),"Pendiente de clasificar")))</f>
        <v>Cambio químico</v>
      </c>
      <c r="O563" s="8" t="str">
        <f aca="false">IF(L563="","",IFERROR(INDEX(Catalogo_TIMSS!$C$5:$C$105,MATCH(L563,Catalogo_TIMSS!$A$5:$A$105,0)),"?"))</f>
        <v/>
      </c>
      <c r="P563" s="8" t="s">
        <v>513</v>
      </c>
      <c r="Q563" s="27" t="s">
        <v>2676</v>
      </c>
      <c r="R563" s="27" t="s">
        <v>665</v>
      </c>
      <c r="S563" s="28" t="n">
        <f aca="false">IFERROR(ISNUMBER(SEARCH("Conocer",$R563))/(ISNUMBER(SEARCH("Conocer",$R563))+ISNUMBER(SEARCH("Aplicar",$R563))+ISNUMBER(SEARCH("Razonar",$R563))),0)</f>
        <v>0</v>
      </c>
      <c r="T563" s="28" t="n">
        <f aca="false">IFERROR(ISNUMBER(SEARCH("Aplicar",$R563))/(ISNUMBER(SEARCH("Conocer",$R563))+ISNUMBER(SEARCH("Aplicar",$R563))+ISNUMBER(SEARCH("Razonar",$R563))),0)</f>
        <v>0</v>
      </c>
      <c r="U563" s="28" t="n">
        <f aca="false">IFERROR(ISNUMBER(SEARCH("Razonar",$R563))/(ISNUMBER(SEARCH("Conocer",$R563))+ISNUMBER(SEARCH("Aplicar",$R563))+ISNUMBER(SEARCH("Razonar",$R563))),0)</f>
        <v>1</v>
      </c>
      <c r="V563" s="8" t="s">
        <v>53</v>
      </c>
      <c r="W563" s="8" t="s">
        <v>53</v>
      </c>
    </row>
    <row r="564" customFormat="false" ht="15" hidden="false" customHeight="false" outlineLevel="0" collapsed="false">
      <c r="A564" s="8" t="s">
        <v>2677</v>
      </c>
      <c r="B564" s="8" t="n">
        <v>9</v>
      </c>
      <c r="C564" s="8" t="s">
        <v>411</v>
      </c>
      <c r="D564" s="8" t="s">
        <v>2570</v>
      </c>
      <c r="E564" s="8" t="s">
        <v>2658</v>
      </c>
      <c r="F564" s="8" t="n">
        <v>8</v>
      </c>
      <c r="G564" s="8" t="s">
        <v>2659</v>
      </c>
      <c r="H564" s="8" t="s">
        <v>2671</v>
      </c>
      <c r="I564" s="27" t="s">
        <v>2678</v>
      </c>
      <c r="J564" s="8" t="s">
        <v>185</v>
      </c>
      <c r="K564" s="8" t="s">
        <v>238</v>
      </c>
      <c r="L564" s="8"/>
      <c r="M564" s="8" t="str">
        <f aca="false">IF(K564="FUERA","Fuera del marco",IF(K564="N/A","Sin marco",IFERROR(INDEX(Catalogo_TIMSS!$C$5:$C$105,MATCH(K564,Catalogo_TIMSS!$A$5:$A$105,0)),"Pendiente de clasificar")))</f>
        <v>Química</v>
      </c>
      <c r="N564" s="8" t="str">
        <f aca="false">IF(K564="FUERA","Fuera del marco",IF(K564="N/A","Sin marco",IFERROR(INDEX(Catalogo_TIMSS!$F$5:$F$105,MATCH(K564,Catalogo_TIMSS!$A$5:$A$105,0)),"Pendiente de clasificar")))</f>
        <v>Cambio químico</v>
      </c>
      <c r="O564" s="8" t="str">
        <f aca="false">IF(L564="","",IFERROR(INDEX(Catalogo_TIMSS!$C$5:$C$105,MATCH(L564,Catalogo_TIMSS!$A$5:$A$105,0)),"?"))</f>
        <v/>
      </c>
      <c r="P564" s="8" t="s">
        <v>513</v>
      </c>
      <c r="Q564" s="27" t="s">
        <v>2679</v>
      </c>
      <c r="R564" s="27" t="s">
        <v>2680</v>
      </c>
      <c r="S564" s="28" t="n">
        <f aca="false">IFERROR(ISNUMBER(SEARCH("Conocer",$R564))/(ISNUMBER(SEARCH("Conocer",$R564))+ISNUMBER(SEARCH("Aplicar",$R564))+ISNUMBER(SEARCH("Razonar",$R564))),0)</f>
        <v>0</v>
      </c>
      <c r="T564" s="28" t="n">
        <f aca="false">IFERROR(ISNUMBER(SEARCH("Aplicar",$R564))/(ISNUMBER(SEARCH("Conocer",$R564))+ISNUMBER(SEARCH("Aplicar",$R564))+ISNUMBER(SEARCH("Razonar",$R564))),0)</f>
        <v>1</v>
      </c>
      <c r="U564" s="28" t="n">
        <f aca="false">IFERROR(ISNUMBER(SEARCH("Razonar",$R564))/(ISNUMBER(SEARCH("Conocer",$R564))+ISNUMBER(SEARCH("Aplicar",$R564))+ISNUMBER(SEARCH("Razonar",$R564))),0)</f>
        <v>0</v>
      </c>
      <c r="V564" s="8" t="s">
        <v>53</v>
      </c>
      <c r="W564" s="8" t="s">
        <v>53</v>
      </c>
    </row>
    <row r="565" customFormat="false" ht="15" hidden="false" customHeight="false" outlineLevel="0" collapsed="false">
      <c r="A565" s="8" t="s">
        <v>2681</v>
      </c>
      <c r="B565" s="8" t="n">
        <v>9</v>
      </c>
      <c r="C565" s="8" t="s">
        <v>411</v>
      </c>
      <c r="D565" s="8" t="s">
        <v>2570</v>
      </c>
      <c r="E565" s="8" t="s">
        <v>2658</v>
      </c>
      <c r="F565" s="8" t="n">
        <v>9</v>
      </c>
      <c r="G565" s="8" t="s">
        <v>2659</v>
      </c>
      <c r="H565" s="8" t="s">
        <v>2671</v>
      </c>
      <c r="I565" s="27" t="s">
        <v>2682</v>
      </c>
      <c r="J565" s="8" t="s">
        <v>185</v>
      </c>
      <c r="K565" s="8" t="s">
        <v>238</v>
      </c>
      <c r="L565" s="8"/>
      <c r="M565" s="8" t="str">
        <f aca="false">IF(K565="FUERA","Fuera del marco",IF(K565="N/A","Sin marco",IFERROR(INDEX(Catalogo_TIMSS!$C$5:$C$105,MATCH(K565,Catalogo_TIMSS!$A$5:$A$105,0)),"Pendiente de clasificar")))</f>
        <v>Química</v>
      </c>
      <c r="N565" s="8" t="str">
        <f aca="false">IF(K565="FUERA","Fuera del marco",IF(K565="N/A","Sin marco",IFERROR(INDEX(Catalogo_TIMSS!$F$5:$F$105,MATCH(K565,Catalogo_TIMSS!$A$5:$A$105,0)),"Pendiente de clasificar")))</f>
        <v>Cambio químico</v>
      </c>
      <c r="O565" s="8" t="str">
        <f aca="false">IF(L565="","",IFERROR(INDEX(Catalogo_TIMSS!$C$5:$C$105,MATCH(L565,Catalogo_TIMSS!$A$5:$A$105,0)),"?"))</f>
        <v/>
      </c>
      <c r="P565" s="8" t="s">
        <v>513</v>
      </c>
      <c r="Q565" s="27" t="s">
        <v>2683</v>
      </c>
      <c r="R565" s="27" t="s">
        <v>1408</v>
      </c>
      <c r="S565" s="28" t="n">
        <f aca="false">IFERROR(ISNUMBER(SEARCH("Conocer",$R565))/(ISNUMBER(SEARCH("Conocer",$R565))+ISNUMBER(SEARCH("Aplicar",$R565))+ISNUMBER(SEARCH("Razonar",$R565))),0)</f>
        <v>0</v>
      </c>
      <c r="T565" s="28" t="n">
        <f aca="false">IFERROR(ISNUMBER(SEARCH("Aplicar",$R565))/(ISNUMBER(SEARCH("Conocer",$R565))+ISNUMBER(SEARCH("Aplicar",$R565))+ISNUMBER(SEARCH("Razonar",$R565))),0)</f>
        <v>1</v>
      </c>
      <c r="U565" s="28" t="n">
        <f aca="false">IFERROR(ISNUMBER(SEARCH("Razonar",$R565))/(ISNUMBER(SEARCH("Conocer",$R565))+ISNUMBER(SEARCH("Aplicar",$R565))+ISNUMBER(SEARCH("Razonar",$R565))),0)</f>
        <v>0</v>
      </c>
      <c r="V565" s="8" t="s">
        <v>53</v>
      </c>
      <c r="W565" s="8" t="s">
        <v>53</v>
      </c>
    </row>
    <row r="566" customFormat="false" ht="15" hidden="false" customHeight="false" outlineLevel="0" collapsed="false">
      <c r="A566" s="8" t="s">
        <v>2684</v>
      </c>
      <c r="B566" s="8" t="n">
        <v>9</v>
      </c>
      <c r="C566" s="8" t="s">
        <v>411</v>
      </c>
      <c r="D566" s="8" t="s">
        <v>2570</v>
      </c>
      <c r="E566" s="8" t="s">
        <v>2658</v>
      </c>
      <c r="F566" s="8" t="n">
        <v>10</v>
      </c>
      <c r="G566" s="8" t="s">
        <v>2659</v>
      </c>
      <c r="H566" s="8" t="s">
        <v>2685</v>
      </c>
      <c r="I566" s="27" t="s">
        <v>2686</v>
      </c>
      <c r="J566" s="8" t="s">
        <v>185</v>
      </c>
      <c r="K566" s="8" t="s">
        <v>233</v>
      </c>
      <c r="L566" s="8"/>
      <c r="M566" s="8" t="str">
        <f aca="false">IF(K566="FUERA","Fuera del marco",IF(K566="N/A","Sin marco",IFERROR(INDEX(Catalogo_TIMSS!$C$5:$C$105,MATCH(K566,Catalogo_TIMSS!$A$5:$A$105,0)),"Pendiente de clasificar")))</f>
        <v>Química</v>
      </c>
      <c r="N566" s="8" t="str">
        <f aca="false">IF(K566="FUERA","Fuera del marco",IF(K566="N/A","Sin marco",IFERROR(INDEX(Catalogo_TIMSS!$F$5:$F$105,MATCH(K566,Catalogo_TIMSS!$A$5:$A$105,0)),"Pendiente de clasificar")))</f>
        <v>Propiedades de la materia</v>
      </c>
      <c r="O566" s="8" t="str">
        <f aca="false">IF(L566="","",IFERROR(INDEX(Catalogo_TIMSS!$C$5:$C$105,MATCH(L566,Catalogo_TIMSS!$A$5:$A$105,0)),"?"))</f>
        <v/>
      </c>
      <c r="P566" s="8" t="s">
        <v>418</v>
      </c>
      <c r="Q566" s="27" t="s">
        <v>2687</v>
      </c>
      <c r="R566" s="27" t="s">
        <v>2688</v>
      </c>
      <c r="S566" s="28" t="n">
        <f aca="false">IFERROR(ISNUMBER(SEARCH("Conocer",$R566))/(ISNUMBER(SEARCH("Conocer",$R566))+ISNUMBER(SEARCH("Aplicar",$R566))+ISNUMBER(SEARCH("Razonar",$R566))),0)</f>
        <v>0</v>
      </c>
      <c r="T566" s="28" t="n">
        <f aca="false">IFERROR(ISNUMBER(SEARCH("Aplicar",$R566))/(ISNUMBER(SEARCH("Conocer",$R566))+ISNUMBER(SEARCH("Aplicar",$R566))+ISNUMBER(SEARCH("Razonar",$R566))),0)</f>
        <v>1</v>
      </c>
      <c r="U566" s="28" t="n">
        <f aca="false">IFERROR(ISNUMBER(SEARCH("Razonar",$R566))/(ISNUMBER(SEARCH("Conocer",$R566))+ISNUMBER(SEARCH("Aplicar",$R566))+ISNUMBER(SEARCH("Razonar",$R566))),0)</f>
        <v>0</v>
      </c>
      <c r="V566" s="8" t="s">
        <v>53</v>
      </c>
      <c r="W566" s="8" t="s">
        <v>53</v>
      </c>
    </row>
    <row r="567" customFormat="false" ht="15" hidden="false" customHeight="false" outlineLevel="0" collapsed="false">
      <c r="A567" s="8" t="s">
        <v>2689</v>
      </c>
      <c r="B567" s="8" t="n">
        <v>9</v>
      </c>
      <c r="C567" s="8" t="s">
        <v>411</v>
      </c>
      <c r="D567" s="8" t="s">
        <v>2570</v>
      </c>
      <c r="E567" s="8" t="s">
        <v>2658</v>
      </c>
      <c r="F567" s="8" t="n">
        <v>11</v>
      </c>
      <c r="G567" s="8" t="s">
        <v>2659</v>
      </c>
      <c r="H567" s="8" t="s">
        <v>2685</v>
      </c>
      <c r="I567" s="27" t="s">
        <v>2690</v>
      </c>
      <c r="J567" s="8" t="s">
        <v>185</v>
      </c>
      <c r="K567" s="8" t="s">
        <v>233</v>
      </c>
      <c r="L567" s="8"/>
      <c r="M567" s="8" t="str">
        <f aca="false">IF(K567="FUERA","Fuera del marco",IF(K567="N/A","Sin marco",IFERROR(INDEX(Catalogo_TIMSS!$C$5:$C$105,MATCH(K567,Catalogo_TIMSS!$A$5:$A$105,0)),"Pendiente de clasificar")))</f>
        <v>Química</v>
      </c>
      <c r="N567" s="8" t="str">
        <f aca="false">IF(K567="FUERA","Fuera del marco",IF(K567="N/A","Sin marco",IFERROR(INDEX(Catalogo_TIMSS!$F$5:$F$105,MATCH(K567,Catalogo_TIMSS!$A$5:$A$105,0)),"Pendiente de clasificar")))</f>
        <v>Propiedades de la materia</v>
      </c>
      <c r="O567" s="8" t="str">
        <f aca="false">IF(L567="","",IFERROR(INDEX(Catalogo_TIMSS!$C$5:$C$105,MATCH(L567,Catalogo_TIMSS!$A$5:$A$105,0)),"?"))</f>
        <v/>
      </c>
      <c r="P567" s="8" t="s">
        <v>460</v>
      </c>
      <c r="Q567" s="27" t="s">
        <v>2691</v>
      </c>
      <c r="R567" s="27" t="s">
        <v>2692</v>
      </c>
      <c r="S567" s="28" t="n">
        <f aca="false">IFERROR(ISNUMBER(SEARCH("Conocer",$R567))/(ISNUMBER(SEARCH("Conocer",$R567))+ISNUMBER(SEARCH("Aplicar",$R567))+ISNUMBER(SEARCH("Razonar",$R567))),0)</f>
        <v>0</v>
      </c>
      <c r="T567" s="28" t="n">
        <f aca="false">IFERROR(ISNUMBER(SEARCH("Aplicar",$R567))/(ISNUMBER(SEARCH("Conocer",$R567))+ISNUMBER(SEARCH("Aplicar",$R567))+ISNUMBER(SEARCH("Razonar",$R567))),0)</f>
        <v>1</v>
      </c>
      <c r="U567" s="28" t="n">
        <f aca="false">IFERROR(ISNUMBER(SEARCH("Razonar",$R567))/(ISNUMBER(SEARCH("Conocer",$R567))+ISNUMBER(SEARCH("Aplicar",$R567))+ISNUMBER(SEARCH("Razonar",$R567))),0)</f>
        <v>0</v>
      </c>
      <c r="V567" s="8" t="s">
        <v>53</v>
      </c>
      <c r="W567" s="8" t="s">
        <v>53</v>
      </c>
    </row>
    <row r="568" customFormat="false" ht="15" hidden="false" customHeight="false" outlineLevel="0" collapsed="false">
      <c r="A568" s="8" t="s">
        <v>2693</v>
      </c>
      <c r="B568" s="8" t="n">
        <v>9</v>
      </c>
      <c r="C568" s="8" t="s">
        <v>411</v>
      </c>
      <c r="D568" s="8" t="s">
        <v>2570</v>
      </c>
      <c r="E568" s="8" t="s">
        <v>2658</v>
      </c>
      <c r="F568" s="8" t="n">
        <v>12</v>
      </c>
      <c r="G568" s="8" t="s">
        <v>2659</v>
      </c>
      <c r="H568" s="8" t="s">
        <v>2685</v>
      </c>
      <c r="I568" s="27" t="s">
        <v>2694</v>
      </c>
      <c r="J568" s="8" t="s">
        <v>185</v>
      </c>
      <c r="K568" s="8" t="s">
        <v>233</v>
      </c>
      <c r="L568" s="8"/>
      <c r="M568" s="8" t="str">
        <f aca="false">IF(K568="FUERA","Fuera del marco",IF(K568="N/A","Sin marco",IFERROR(INDEX(Catalogo_TIMSS!$C$5:$C$105,MATCH(K568,Catalogo_TIMSS!$A$5:$A$105,0)),"Pendiente de clasificar")))</f>
        <v>Química</v>
      </c>
      <c r="N568" s="8" t="str">
        <f aca="false">IF(K568="FUERA","Fuera del marco",IF(K568="N/A","Sin marco",IFERROR(INDEX(Catalogo_TIMSS!$F$5:$F$105,MATCH(K568,Catalogo_TIMSS!$A$5:$A$105,0)),"Pendiente de clasificar")))</f>
        <v>Propiedades de la materia</v>
      </c>
      <c r="O568" s="8" t="str">
        <f aca="false">IF(L568="","",IFERROR(INDEX(Catalogo_TIMSS!$C$5:$C$105,MATCH(L568,Catalogo_TIMSS!$A$5:$A$105,0)),"?"))</f>
        <v/>
      </c>
      <c r="P568" s="8" t="s">
        <v>418</v>
      </c>
      <c r="Q568" s="27" t="s">
        <v>2695</v>
      </c>
      <c r="R568" s="27" t="s">
        <v>2696</v>
      </c>
      <c r="S568" s="28" t="n">
        <f aca="false">IFERROR(ISNUMBER(SEARCH("Conocer",$R568))/(ISNUMBER(SEARCH("Conocer",$R568))+ISNUMBER(SEARCH("Aplicar",$R568))+ISNUMBER(SEARCH("Razonar",$R568))),0)</f>
        <v>0</v>
      </c>
      <c r="T568" s="28" t="n">
        <f aca="false">IFERROR(ISNUMBER(SEARCH("Aplicar",$R568))/(ISNUMBER(SEARCH("Conocer",$R568))+ISNUMBER(SEARCH("Aplicar",$R568))+ISNUMBER(SEARCH("Razonar",$R568))),0)</f>
        <v>1</v>
      </c>
      <c r="U568" s="28" t="n">
        <f aca="false">IFERROR(ISNUMBER(SEARCH("Razonar",$R568))/(ISNUMBER(SEARCH("Conocer",$R568))+ISNUMBER(SEARCH("Aplicar",$R568))+ISNUMBER(SEARCH("Razonar",$R568))),0)</f>
        <v>0</v>
      </c>
      <c r="V568" s="8" t="s">
        <v>53</v>
      </c>
      <c r="W568" s="8" t="s">
        <v>53</v>
      </c>
    </row>
    <row r="569" customFormat="false" ht="15" hidden="false" customHeight="false" outlineLevel="0" collapsed="false">
      <c r="A569" s="8" t="s">
        <v>2697</v>
      </c>
      <c r="B569" s="8" t="n">
        <v>9</v>
      </c>
      <c r="C569" s="8" t="s">
        <v>411</v>
      </c>
      <c r="D569" s="8" t="s">
        <v>2570</v>
      </c>
      <c r="E569" s="8" t="s">
        <v>2658</v>
      </c>
      <c r="F569" s="8" t="n">
        <v>13</v>
      </c>
      <c r="G569" s="8" t="s">
        <v>2659</v>
      </c>
      <c r="H569" s="8" t="s">
        <v>2685</v>
      </c>
      <c r="I569" s="27" t="s">
        <v>2698</v>
      </c>
      <c r="J569" s="8" t="s">
        <v>185</v>
      </c>
      <c r="K569" s="8" t="s">
        <v>233</v>
      </c>
      <c r="L569" s="8"/>
      <c r="M569" s="8" t="str">
        <f aca="false">IF(K569="FUERA","Fuera del marco",IF(K569="N/A","Sin marco",IFERROR(INDEX(Catalogo_TIMSS!$C$5:$C$105,MATCH(K569,Catalogo_TIMSS!$A$5:$A$105,0)),"Pendiente de clasificar")))</f>
        <v>Química</v>
      </c>
      <c r="N569" s="8" t="str">
        <f aca="false">IF(K569="FUERA","Fuera del marco",IF(K569="N/A","Sin marco",IFERROR(INDEX(Catalogo_TIMSS!$F$5:$F$105,MATCH(K569,Catalogo_TIMSS!$A$5:$A$105,0)),"Pendiente de clasificar")))</f>
        <v>Propiedades de la materia</v>
      </c>
      <c r="O569" s="8" t="str">
        <f aca="false">IF(L569="","",IFERROR(INDEX(Catalogo_TIMSS!$C$5:$C$105,MATCH(L569,Catalogo_TIMSS!$A$5:$A$105,0)),"?"))</f>
        <v/>
      </c>
      <c r="P569" s="8" t="s">
        <v>460</v>
      </c>
      <c r="Q569" s="27" t="s">
        <v>2699</v>
      </c>
      <c r="R569" s="27" t="s">
        <v>1408</v>
      </c>
      <c r="S569" s="28" t="n">
        <f aca="false">IFERROR(ISNUMBER(SEARCH("Conocer",$R569))/(ISNUMBER(SEARCH("Conocer",$R569))+ISNUMBER(SEARCH("Aplicar",$R569))+ISNUMBER(SEARCH("Razonar",$R569))),0)</f>
        <v>0</v>
      </c>
      <c r="T569" s="28" t="n">
        <f aca="false">IFERROR(ISNUMBER(SEARCH("Aplicar",$R569))/(ISNUMBER(SEARCH("Conocer",$R569))+ISNUMBER(SEARCH("Aplicar",$R569))+ISNUMBER(SEARCH("Razonar",$R569))),0)</f>
        <v>1</v>
      </c>
      <c r="U569" s="28" t="n">
        <f aca="false">IFERROR(ISNUMBER(SEARCH("Razonar",$R569))/(ISNUMBER(SEARCH("Conocer",$R569))+ISNUMBER(SEARCH("Aplicar",$R569))+ISNUMBER(SEARCH("Razonar",$R569))),0)</f>
        <v>0</v>
      </c>
      <c r="V569" s="8" t="s">
        <v>53</v>
      </c>
      <c r="W569" s="8" t="s">
        <v>53</v>
      </c>
    </row>
    <row r="570" customFormat="false" ht="15" hidden="false" customHeight="false" outlineLevel="0" collapsed="false">
      <c r="A570" s="8" t="s">
        <v>2700</v>
      </c>
      <c r="B570" s="8" t="n">
        <v>9</v>
      </c>
      <c r="C570" s="8" t="s">
        <v>411</v>
      </c>
      <c r="D570" s="8" t="s">
        <v>2570</v>
      </c>
      <c r="E570" s="8" t="s">
        <v>2658</v>
      </c>
      <c r="F570" s="8" t="n">
        <v>14</v>
      </c>
      <c r="G570" s="8" t="s">
        <v>2659</v>
      </c>
      <c r="H570" s="8" t="s">
        <v>2685</v>
      </c>
      <c r="I570" s="27" t="s">
        <v>2701</v>
      </c>
      <c r="J570" s="8" t="s">
        <v>185</v>
      </c>
      <c r="K570" s="8" t="s">
        <v>233</v>
      </c>
      <c r="L570" s="8"/>
      <c r="M570" s="8" t="str">
        <f aca="false">IF(K570="FUERA","Fuera del marco",IF(K570="N/A","Sin marco",IFERROR(INDEX(Catalogo_TIMSS!$C$5:$C$105,MATCH(K570,Catalogo_TIMSS!$A$5:$A$105,0)),"Pendiente de clasificar")))</f>
        <v>Química</v>
      </c>
      <c r="N570" s="8" t="str">
        <f aca="false">IF(K570="FUERA","Fuera del marco",IF(K570="N/A","Sin marco",IFERROR(INDEX(Catalogo_TIMSS!$F$5:$F$105,MATCH(K570,Catalogo_TIMSS!$A$5:$A$105,0)),"Pendiente de clasificar")))</f>
        <v>Propiedades de la materia</v>
      </c>
      <c r="O570" s="8" t="str">
        <f aca="false">IF(L570="","",IFERROR(INDEX(Catalogo_TIMSS!$C$5:$C$105,MATCH(L570,Catalogo_TIMSS!$A$5:$A$105,0)),"?"))</f>
        <v/>
      </c>
      <c r="P570" s="8" t="s">
        <v>418</v>
      </c>
      <c r="Q570" s="27" t="s">
        <v>2702</v>
      </c>
      <c r="R570" s="27" t="s">
        <v>429</v>
      </c>
      <c r="S570" s="28" t="n">
        <f aca="false">IFERROR(ISNUMBER(SEARCH("Conocer",$R570))/(ISNUMBER(SEARCH("Conocer",$R570))+ISNUMBER(SEARCH("Aplicar",$R570))+ISNUMBER(SEARCH("Razonar",$R570))),0)</f>
        <v>0</v>
      </c>
      <c r="T570" s="28" t="n">
        <f aca="false">IFERROR(ISNUMBER(SEARCH("Aplicar",$R570))/(ISNUMBER(SEARCH("Conocer",$R570))+ISNUMBER(SEARCH("Aplicar",$R570))+ISNUMBER(SEARCH("Razonar",$R570))),0)</f>
        <v>1</v>
      </c>
      <c r="U570" s="28" t="n">
        <f aca="false">IFERROR(ISNUMBER(SEARCH("Razonar",$R570))/(ISNUMBER(SEARCH("Conocer",$R570))+ISNUMBER(SEARCH("Aplicar",$R570))+ISNUMBER(SEARCH("Razonar",$R570))),0)</f>
        <v>0</v>
      </c>
      <c r="V570" s="8" t="s">
        <v>53</v>
      </c>
      <c r="W570" s="8" t="s">
        <v>53</v>
      </c>
    </row>
    <row r="571" customFormat="false" ht="15" hidden="false" customHeight="false" outlineLevel="0" collapsed="false">
      <c r="A571" s="8" t="s">
        <v>2703</v>
      </c>
      <c r="B571" s="8" t="n">
        <v>9</v>
      </c>
      <c r="C571" s="8" t="s">
        <v>411</v>
      </c>
      <c r="D571" s="8" t="s">
        <v>2570</v>
      </c>
      <c r="E571" s="8" t="s">
        <v>2658</v>
      </c>
      <c r="F571" s="8" t="n">
        <v>15</v>
      </c>
      <c r="G571" s="8" t="s">
        <v>2659</v>
      </c>
      <c r="H571" s="8" t="s">
        <v>2685</v>
      </c>
      <c r="I571" s="27" t="s">
        <v>2704</v>
      </c>
      <c r="J571" s="8" t="s">
        <v>185</v>
      </c>
      <c r="K571" s="8" t="s">
        <v>233</v>
      </c>
      <c r="L571" s="8"/>
      <c r="M571" s="8" t="str">
        <f aca="false">IF(K571="FUERA","Fuera del marco",IF(K571="N/A","Sin marco",IFERROR(INDEX(Catalogo_TIMSS!$C$5:$C$105,MATCH(K571,Catalogo_TIMSS!$A$5:$A$105,0)),"Pendiente de clasificar")))</f>
        <v>Química</v>
      </c>
      <c r="N571" s="8" t="str">
        <f aca="false">IF(K571="FUERA","Fuera del marco",IF(K571="N/A","Sin marco",IFERROR(INDEX(Catalogo_TIMSS!$F$5:$F$105,MATCH(K571,Catalogo_TIMSS!$A$5:$A$105,0)),"Pendiente de clasificar")))</f>
        <v>Propiedades de la materia</v>
      </c>
      <c r="O571" s="8" t="str">
        <f aca="false">IF(L571="","",IFERROR(INDEX(Catalogo_TIMSS!$C$5:$C$105,MATCH(L571,Catalogo_TIMSS!$A$5:$A$105,0)),"?"))</f>
        <v/>
      </c>
      <c r="P571" s="8" t="s">
        <v>460</v>
      </c>
      <c r="Q571" s="27" t="s">
        <v>2705</v>
      </c>
      <c r="R571" s="27" t="s">
        <v>429</v>
      </c>
      <c r="S571" s="28" t="n">
        <f aca="false">IFERROR(ISNUMBER(SEARCH("Conocer",$R571))/(ISNUMBER(SEARCH("Conocer",$R571))+ISNUMBER(SEARCH("Aplicar",$R571))+ISNUMBER(SEARCH("Razonar",$R571))),0)</f>
        <v>0</v>
      </c>
      <c r="T571" s="28" t="n">
        <f aca="false">IFERROR(ISNUMBER(SEARCH("Aplicar",$R571))/(ISNUMBER(SEARCH("Conocer",$R571))+ISNUMBER(SEARCH("Aplicar",$R571))+ISNUMBER(SEARCH("Razonar",$R571))),0)</f>
        <v>1</v>
      </c>
      <c r="U571" s="28" t="n">
        <f aca="false">IFERROR(ISNUMBER(SEARCH("Razonar",$R571))/(ISNUMBER(SEARCH("Conocer",$R571))+ISNUMBER(SEARCH("Aplicar",$R571))+ISNUMBER(SEARCH("Razonar",$R571))),0)</f>
        <v>0</v>
      </c>
      <c r="V571" s="8" t="s">
        <v>53</v>
      </c>
      <c r="W571" s="8" t="s">
        <v>53</v>
      </c>
    </row>
    <row r="572" customFormat="false" ht="15" hidden="false" customHeight="false" outlineLevel="0" collapsed="false">
      <c r="A572" s="8" t="s">
        <v>2706</v>
      </c>
      <c r="B572" s="8" t="n">
        <v>9</v>
      </c>
      <c r="C572" s="8" t="s">
        <v>411</v>
      </c>
      <c r="D572" s="8" t="s">
        <v>2570</v>
      </c>
      <c r="E572" s="8" t="s">
        <v>2658</v>
      </c>
      <c r="F572" s="8" t="n">
        <v>16</v>
      </c>
      <c r="G572" s="8" t="s">
        <v>2659</v>
      </c>
      <c r="H572" s="8" t="s">
        <v>2685</v>
      </c>
      <c r="I572" s="27" t="s">
        <v>2707</v>
      </c>
      <c r="J572" s="8" t="s">
        <v>185</v>
      </c>
      <c r="K572" s="8" t="s">
        <v>233</v>
      </c>
      <c r="L572" s="8"/>
      <c r="M572" s="8" t="str">
        <f aca="false">IF(K572="FUERA","Fuera del marco",IF(K572="N/A","Sin marco",IFERROR(INDEX(Catalogo_TIMSS!$C$5:$C$105,MATCH(K572,Catalogo_TIMSS!$A$5:$A$105,0)),"Pendiente de clasificar")))</f>
        <v>Química</v>
      </c>
      <c r="N572" s="8" t="str">
        <f aca="false">IF(K572="FUERA","Fuera del marco",IF(K572="N/A","Sin marco",IFERROR(INDEX(Catalogo_TIMSS!$F$5:$F$105,MATCH(K572,Catalogo_TIMSS!$A$5:$A$105,0)),"Pendiente de clasificar")))</f>
        <v>Propiedades de la materia</v>
      </c>
      <c r="O572" s="8" t="str">
        <f aca="false">IF(L572="","",IFERROR(INDEX(Catalogo_TIMSS!$C$5:$C$105,MATCH(L572,Catalogo_TIMSS!$A$5:$A$105,0)),"?"))</f>
        <v/>
      </c>
      <c r="P572" s="8" t="s">
        <v>513</v>
      </c>
      <c r="Q572" s="27" t="s">
        <v>2708</v>
      </c>
      <c r="R572" s="27" t="s">
        <v>1265</v>
      </c>
      <c r="S572" s="28" t="n">
        <f aca="false">IFERROR(ISNUMBER(SEARCH("Conocer",$R572))/(ISNUMBER(SEARCH("Conocer",$R572))+ISNUMBER(SEARCH("Aplicar",$R572))+ISNUMBER(SEARCH("Razonar",$R572))),0)</f>
        <v>0</v>
      </c>
      <c r="T572" s="28" t="n">
        <f aca="false">IFERROR(ISNUMBER(SEARCH("Aplicar",$R572))/(ISNUMBER(SEARCH("Conocer",$R572))+ISNUMBER(SEARCH("Aplicar",$R572))+ISNUMBER(SEARCH("Razonar",$R572))),0)</f>
        <v>1</v>
      </c>
      <c r="U572" s="28" t="n">
        <f aca="false">IFERROR(ISNUMBER(SEARCH("Razonar",$R572))/(ISNUMBER(SEARCH("Conocer",$R572))+ISNUMBER(SEARCH("Aplicar",$R572))+ISNUMBER(SEARCH("Razonar",$R572))),0)</f>
        <v>0</v>
      </c>
      <c r="V572" s="8" t="s">
        <v>53</v>
      </c>
      <c r="W572" s="8" t="s">
        <v>53</v>
      </c>
    </row>
    <row r="573" customFormat="false" ht="15" hidden="false" customHeight="false" outlineLevel="0" collapsed="false">
      <c r="A573" s="8" t="s">
        <v>2709</v>
      </c>
      <c r="B573" s="8" t="n">
        <v>9</v>
      </c>
      <c r="C573" s="8" t="s">
        <v>411</v>
      </c>
      <c r="D573" s="8" t="s">
        <v>2570</v>
      </c>
      <c r="E573" s="8" t="s">
        <v>2658</v>
      </c>
      <c r="F573" s="8" t="n">
        <v>17</v>
      </c>
      <c r="G573" s="8" t="s">
        <v>2659</v>
      </c>
      <c r="H573" s="8" t="s">
        <v>2685</v>
      </c>
      <c r="I573" s="27" t="s">
        <v>2710</v>
      </c>
      <c r="J573" s="8" t="s">
        <v>185</v>
      </c>
      <c r="K573" s="8" t="s">
        <v>233</v>
      </c>
      <c r="L573" s="8"/>
      <c r="M573" s="8" t="str">
        <f aca="false">IF(K573="FUERA","Fuera del marco",IF(K573="N/A","Sin marco",IFERROR(INDEX(Catalogo_TIMSS!$C$5:$C$105,MATCH(K573,Catalogo_TIMSS!$A$5:$A$105,0)),"Pendiente de clasificar")))</f>
        <v>Química</v>
      </c>
      <c r="N573" s="8" t="str">
        <f aca="false">IF(K573="FUERA","Fuera del marco",IF(K573="N/A","Sin marco",IFERROR(INDEX(Catalogo_TIMSS!$F$5:$F$105,MATCH(K573,Catalogo_TIMSS!$A$5:$A$105,0)),"Pendiente de clasificar")))</f>
        <v>Propiedades de la materia</v>
      </c>
      <c r="O573" s="8" t="str">
        <f aca="false">IF(L573="","",IFERROR(INDEX(Catalogo_TIMSS!$C$5:$C$105,MATCH(L573,Catalogo_TIMSS!$A$5:$A$105,0)),"?"))</f>
        <v/>
      </c>
      <c r="P573" s="8" t="s">
        <v>460</v>
      </c>
      <c r="Q573" s="27" t="s">
        <v>2711</v>
      </c>
      <c r="R573" s="27" t="s">
        <v>1718</v>
      </c>
      <c r="S573" s="28" t="n">
        <f aca="false">IFERROR(ISNUMBER(SEARCH("Conocer",$R573))/(ISNUMBER(SEARCH("Conocer",$R573))+ISNUMBER(SEARCH("Aplicar",$R573))+ISNUMBER(SEARCH("Razonar",$R573))),0)</f>
        <v>1</v>
      </c>
      <c r="T573" s="28" t="n">
        <f aca="false">IFERROR(ISNUMBER(SEARCH("Aplicar",$R573))/(ISNUMBER(SEARCH("Conocer",$R573))+ISNUMBER(SEARCH("Aplicar",$R573))+ISNUMBER(SEARCH("Razonar",$R573))),0)</f>
        <v>0</v>
      </c>
      <c r="U573" s="28" t="n">
        <f aca="false">IFERROR(ISNUMBER(SEARCH("Razonar",$R573))/(ISNUMBER(SEARCH("Conocer",$R573))+ISNUMBER(SEARCH("Aplicar",$R573))+ISNUMBER(SEARCH("Razonar",$R573))),0)</f>
        <v>0</v>
      </c>
      <c r="V573" s="8" t="s">
        <v>53</v>
      </c>
      <c r="W573" s="8" t="s">
        <v>53</v>
      </c>
    </row>
    <row r="574" customFormat="false" ht="15" hidden="false" customHeight="false" outlineLevel="0" collapsed="false">
      <c r="A574" s="8" t="s">
        <v>2712</v>
      </c>
      <c r="B574" s="8" t="n">
        <v>9</v>
      </c>
      <c r="C574" s="8" t="s">
        <v>411</v>
      </c>
      <c r="D574" s="8" t="s">
        <v>2570</v>
      </c>
      <c r="E574" s="8" t="s">
        <v>2658</v>
      </c>
      <c r="F574" s="8" t="n">
        <v>18</v>
      </c>
      <c r="G574" s="8" t="s">
        <v>2659</v>
      </c>
      <c r="H574" s="8" t="s">
        <v>2685</v>
      </c>
      <c r="I574" s="27" t="s">
        <v>2713</v>
      </c>
      <c r="J574" s="8" t="s">
        <v>185</v>
      </c>
      <c r="K574" s="8" t="s">
        <v>233</v>
      </c>
      <c r="L574" s="8"/>
      <c r="M574" s="8" t="str">
        <f aca="false">IF(K574="FUERA","Fuera del marco",IF(K574="N/A","Sin marco",IFERROR(INDEX(Catalogo_TIMSS!$C$5:$C$105,MATCH(K574,Catalogo_TIMSS!$A$5:$A$105,0)),"Pendiente de clasificar")))</f>
        <v>Química</v>
      </c>
      <c r="N574" s="8" t="str">
        <f aca="false">IF(K574="FUERA","Fuera del marco",IF(K574="N/A","Sin marco",IFERROR(INDEX(Catalogo_TIMSS!$F$5:$F$105,MATCH(K574,Catalogo_TIMSS!$A$5:$A$105,0)),"Pendiente de clasificar")))</f>
        <v>Propiedades de la materia</v>
      </c>
      <c r="O574" s="8" t="str">
        <f aca="false">IF(L574="","",IFERROR(INDEX(Catalogo_TIMSS!$C$5:$C$105,MATCH(L574,Catalogo_TIMSS!$A$5:$A$105,0)),"?"))</f>
        <v/>
      </c>
      <c r="P574" s="8" t="s">
        <v>460</v>
      </c>
      <c r="Q574" s="27" t="s">
        <v>2714</v>
      </c>
      <c r="R574" s="27" t="s">
        <v>1558</v>
      </c>
      <c r="S574" s="28" t="n">
        <f aca="false">IFERROR(ISNUMBER(SEARCH("Conocer",$R574))/(ISNUMBER(SEARCH("Conocer",$R574))+ISNUMBER(SEARCH("Aplicar",$R574))+ISNUMBER(SEARCH("Razonar",$R574))),0)</f>
        <v>0</v>
      </c>
      <c r="T574" s="28" t="n">
        <f aca="false">IFERROR(ISNUMBER(SEARCH("Aplicar",$R574))/(ISNUMBER(SEARCH("Conocer",$R574))+ISNUMBER(SEARCH("Aplicar",$R574))+ISNUMBER(SEARCH("Razonar",$R574))),0)</f>
        <v>0</v>
      </c>
      <c r="U574" s="28" t="n">
        <f aca="false">IFERROR(ISNUMBER(SEARCH("Razonar",$R574))/(ISNUMBER(SEARCH("Conocer",$R574))+ISNUMBER(SEARCH("Aplicar",$R574))+ISNUMBER(SEARCH("Razonar",$R574))),0)</f>
        <v>1</v>
      </c>
      <c r="V574" s="8" t="s">
        <v>53</v>
      </c>
      <c r="W574" s="8" t="s">
        <v>53</v>
      </c>
    </row>
    <row r="575" customFormat="false" ht="15" hidden="false" customHeight="false" outlineLevel="0" collapsed="false">
      <c r="A575" s="8" t="s">
        <v>2715</v>
      </c>
      <c r="B575" s="8" t="n">
        <v>9</v>
      </c>
      <c r="C575" s="8" t="s">
        <v>411</v>
      </c>
      <c r="D575" s="8" t="s">
        <v>2570</v>
      </c>
      <c r="E575" s="8" t="s">
        <v>2658</v>
      </c>
      <c r="F575" s="8" t="n">
        <v>19</v>
      </c>
      <c r="G575" s="8" t="s">
        <v>2659</v>
      </c>
      <c r="H575" s="8" t="s">
        <v>2685</v>
      </c>
      <c r="I575" s="27" t="s">
        <v>2716</v>
      </c>
      <c r="J575" s="8" t="s">
        <v>185</v>
      </c>
      <c r="K575" s="8" t="s">
        <v>233</v>
      </c>
      <c r="L575" s="8"/>
      <c r="M575" s="8" t="str">
        <f aca="false">IF(K575="FUERA","Fuera del marco",IF(K575="N/A","Sin marco",IFERROR(INDEX(Catalogo_TIMSS!$C$5:$C$105,MATCH(K575,Catalogo_TIMSS!$A$5:$A$105,0)),"Pendiente de clasificar")))</f>
        <v>Química</v>
      </c>
      <c r="N575" s="8" t="str">
        <f aca="false">IF(K575="FUERA","Fuera del marco",IF(K575="N/A","Sin marco",IFERROR(INDEX(Catalogo_TIMSS!$F$5:$F$105,MATCH(K575,Catalogo_TIMSS!$A$5:$A$105,0)),"Pendiente de clasificar")))</f>
        <v>Propiedades de la materia</v>
      </c>
      <c r="O575" s="8" t="str">
        <f aca="false">IF(L575="","",IFERROR(INDEX(Catalogo_TIMSS!$C$5:$C$105,MATCH(L575,Catalogo_TIMSS!$A$5:$A$105,0)),"?"))</f>
        <v/>
      </c>
      <c r="P575" s="8" t="s">
        <v>460</v>
      </c>
      <c r="Q575" s="27" t="s">
        <v>2717</v>
      </c>
      <c r="R575" s="27" t="s">
        <v>2068</v>
      </c>
      <c r="S575" s="28" t="n">
        <f aca="false">IFERROR(ISNUMBER(SEARCH("Conocer",$R575))/(ISNUMBER(SEARCH("Conocer",$R575))+ISNUMBER(SEARCH("Aplicar",$R575))+ISNUMBER(SEARCH("Razonar",$R575))),0)</f>
        <v>0</v>
      </c>
      <c r="T575" s="28" t="n">
        <f aca="false">IFERROR(ISNUMBER(SEARCH("Aplicar",$R575))/(ISNUMBER(SEARCH("Conocer",$R575))+ISNUMBER(SEARCH("Aplicar",$R575))+ISNUMBER(SEARCH("Razonar",$R575))),0)</f>
        <v>1</v>
      </c>
      <c r="U575" s="28" t="n">
        <f aca="false">IFERROR(ISNUMBER(SEARCH("Razonar",$R575))/(ISNUMBER(SEARCH("Conocer",$R575))+ISNUMBER(SEARCH("Aplicar",$R575))+ISNUMBER(SEARCH("Razonar",$R575))),0)</f>
        <v>0</v>
      </c>
      <c r="V575" s="8" t="s">
        <v>53</v>
      </c>
      <c r="W575" s="8" t="s">
        <v>53</v>
      </c>
    </row>
    <row r="576" customFormat="false" ht="15" hidden="false" customHeight="false" outlineLevel="0" collapsed="false">
      <c r="A576" s="8" t="s">
        <v>2718</v>
      </c>
      <c r="B576" s="8" t="n">
        <v>9</v>
      </c>
      <c r="C576" s="8" t="s">
        <v>411</v>
      </c>
      <c r="D576" s="8" t="s">
        <v>2570</v>
      </c>
      <c r="E576" s="8" t="s">
        <v>2658</v>
      </c>
      <c r="F576" s="8" t="n">
        <v>20</v>
      </c>
      <c r="G576" s="8" t="s">
        <v>2659</v>
      </c>
      <c r="H576" s="8" t="s">
        <v>2685</v>
      </c>
      <c r="I576" s="27" t="s">
        <v>2719</v>
      </c>
      <c r="J576" s="8" t="s">
        <v>185</v>
      </c>
      <c r="K576" s="8" t="s">
        <v>233</v>
      </c>
      <c r="L576" s="8" t="s">
        <v>238</v>
      </c>
      <c r="M576" s="8" t="str">
        <f aca="false">IF(K576="FUERA","Fuera del marco",IF(K576="N/A","Sin marco",IFERROR(INDEX(Catalogo_TIMSS!$C$5:$C$105,MATCH(K576,Catalogo_TIMSS!$A$5:$A$105,0)),"Pendiente de clasificar")))</f>
        <v>Química</v>
      </c>
      <c r="N576" s="8" t="str">
        <f aca="false">IF(K576="FUERA","Fuera del marco",IF(K576="N/A","Sin marco",IFERROR(INDEX(Catalogo_TIMSS!$F$5:$F$105,MATCH(K576,Catalogo_TIMSS!$A$5:$A$105,0)),"Pendiente de clasificar")))</f>
        <v>Propiedades de la materia</v>
      </c>
      <c r="O576" s="8" t="str">
        <f aca="false">IF(L576="","",IFERROR(INDEX(Catalogo_TIMSS!$C$5:$C$105,MATCH(L576,Catalogo_TIMSS!$A$5:$A$105,0)),"?"))</f>
        <v>Química</v>
      </c>
      <c r="P576" s="8" t="s">
        <v>460</v>
      </c>
      <c r="Q576" s="27" t="s">
        <v>2720</v>
      </c>
      <c r="R576" s="27" t="s">
        <v>2721</v>
      </c>
      <c r="S576" s="28" t="n">
        <f aca="false">IFERROR(ISNUMBER(SEARCH("Conocer",$R576))/(ISNUMBER(SEARCH("Conocer",$R576))+ISNUMBER(SEARCH("Aplicar",$R576))+ISNUMBER(SEARCH("Razonar",$R576))),0)</f>
        <v>0</v>
      </c>
      <c r="T576" s="28" t="n">
        <f aca="false">IFERROR(ISNUMBER(SEARCH("Aplicar",$R576))/(ISNUMBER(SEARCH("Conocer",$R576))+ISNUMBER(SEARCH("Aplicar",$R576))+ISNUMBER(SEARCH("Razonar",$R576))),0)</f>
        <v>1</v>
      </c>
      <c r="U576" s="28" t="n">
        <f aca="false">IFERROR(ISNUMBER(SEARCH("Razonar",$R576))/(ISNUMBER(SEARCH("Conocer",$R576))+ISNUMBER(SEARCH("Aplicar",$R576))+ISNUMBER(SEARCH("Razonar",$R576))),0)</f>
        <v>0</v>
      </c>
      <c r="V576" s="8" t="s">
        <v>53</v>
      </c>
      <c r="W576" s="8" t="s">
        <v>53</v>
      </c>
    </row>
    <row r="577" customFormat="false" ht="15" hidden="false" customHeight="false" outlineLevel="0" collapsed="false">
      <c r="A577" s="8" t="s">
        <v>2722</v>
      </c>
      <c r="B577" s="8" t="n">
        <v>9</v>
      </c>
      <c r="C577" s="8" t="s">
        <v>411</v>
      </c>
      <c r="D577" s="8" t="s">
        <v>2570</v>
      </c>
      <c r="E577" s="8" t="s">
        <v>2658</v>
      </c>
      <c r="F577" s="8" t="n">
        <v>21</v>
      </c>
      <c r="G577" s="8" t="s">
        <v>2659</v>
      </c>
      <c r="H577" s="8" t="s">
        <v>2685</v>
      </c>
      <c r="I577" s="27" t="s">
        <v>2723</v>
      </c>
      <c r="J577" s="8" t="s">
        <v>185</v>
      </c>
      <c r="K577" s="8" t="s">
        <v>233</v>
      </c>
      <c r="L577" s="8"/>
      <c r="M577" s="8" t="str">
        <f aca="false">IF(K577="FUERA","Fuera del marco",IF(K577="N/A","Sin marco",IFERROR(INDEX(Catalogo_TIMSS!$C$5:$C$105,MATCH(K577,Catalogo_TIMSS!$A$5:$A$105,0)),"Pendiente de clasificar")))</f>
        <v>Química</v>
      </c>
      <c r="N577" s="8" t="str">
        <f aca="false">IF(K577="FUERA","Fuera del marco",IF(K577="N/A","Sin marco",IFERROR(INDEX(Catalogo_TIMSS!$F$5:$F$105,MATCH(K577,Catalogo_TIMSS!$A$5:$A$105,0)),"Pendiente de clasificar")))</f>
        <v>Propiedades de la materia</v>
      </c>
      <c r="O577" s="8" t="str">
        <f aca="false">IF(L577="","",IFERROR(INDEX(Catalogo_TIMSS!$C$5:$C$105,MATCH(L577,Catalogo_TIMSS!$A$5:$A$105,0)),"?"))</f>
        <v/>
      </c>
      <c r="P577" s="8" t="s">
        <v>418</v>
      </c>
      <c r="Q577" s="27" t="s">
        <v>2724</v>
      </c>
      <c r="R577" s="27" t="s">
        <v>2725</v>
      </c>
      <c r="S577" s="28" t="n">
        <f aca="false">IFERROR(ISNUMBER(SEARCH("Conocer",$R577))/(ISNUMBER(SEARCH("Conocer",$R577))+ISNUMBER(SEARCH("Aplicar",$R577))+ISNUMBER(SEARCH("Razonar",$R577))),0)</f>
        <v>0</v>
      </c>
      <c r="T577" s="28" t="n">
        <f aca="false">IFERROR(ISNUMBER(SEARCH("Aplicar",$R577))/(ISNUMBER(SEARCH("Conocer",$R577))+ISNUMBER(SEARCH("Aplicar",$R577))+ISNUMBER(SEARCH("Razonar",$R577))),0)</f>
        <v>1</v>
      </c>
      <c r="U577" s="28" t="n">
        <f aca="false">IFERROR(ISNUMBER(SEARCH("Razonar",$R577))/(ISNUMBER(SEARCH("Conocer",$R577))+ISNUMBER(SEARCH("Aplicar",$R577))+ISNUMBER(SEARCH("Razonar",$R577))),0)</f>
        <v>0</v>
      </c>
      <c r="V577" s="8" t="s">
        <v>53</v>
      </c>
      <c r="W577" s="8" t="s">
        <v>53</v>
      </c>
    </row>
    <row r="578" customFormat="false" ht="15" hidden="false" customHeight="false" outlineLevel="0" collapsed="false">
      <c r="A578" s="8" t="s">
        <v>2726</v>
      </c>
      <c r="B578" s="8" t="n">
        <v>9</v>
      </c>
      <c r="C578" s="8" t="s">
        <v>411</v>
      </c>
      <c r="D578" s="8" t="s">
        <v>2570</v>
      </c>
      <c r="E578" s="8" t="s">
        <v>2658</v>
      </c>
      <c r="F578" s="8" t="n">
        <v>22</v>
      </c>
      <c r="G578" s="8" t="s">
        <v>2659</v>
      </c>
      <c r="H578" s="8" t="s">
        <v>2685</v>
      </c>
      <c r="I578" s="27" t="s">
        <v>2727</v>
      </c>
      <c r="J578" s="8" t="s">
        <v>185</v>
      </c>
      <c r="K578" s="8" t="s">
        <v>233</v>
      </c>
      <c r="L578" s="8" t="s">
        <v>226</v>
      </c>
      <c r="M578" s="8" t="str">
        <f aca="false">IF(K578="FUERA","Fuera del marco",IF(K578="N/A","Sin marco",IFERROR(INDEX(Catalogo_TIMSS!$C$5:$C$105,MATCH(K578,Catalogo_TIMSS!$A$5:$A$105,0)),"Pendiente de clasificar")))</f>
        <v>Química</v>
      </c>
      <c r="N578" s="8" t="str">
        <f aca="false">IF(K578="FUERA","Fuera del marco",IF(K578="N/A","Sin marco",IFERROR(INDEX(Catalogo_TIMSS!$F$5:$F$105,MATCH(K578,Catalogo_TIMSS!$A$5:$A$105,0)),"Pendiente de clasificar")))</f>
        <v>Propiedades de la materia</v>
      </c>
      <c r="O578" s="8" t="str">
        <f aca="false">IF(L578="","",IFERROR(INDEX(Catalogo_TIMSS!$C$5:$C$105,MATCH(L578,Catalogo_TIMSS!$A$5:$A$105,0)),"?"))</f>
        <v>Química</v>
      </c>
      <c r="P578" s="8" t="s">
        <v>460</v>
      </c>
      <c r="Q578" s="27" t="s">
        <v>2728</v>
      </c>
      <c r="R578" s="27" t="s">
        <v>1940</v>
      </c>
      <c r="S578" s="28" t="n">
        <f aca="false">IFERROR(ISNUMBER(SEARCH("Conocer",$R578))/(ISNUMBER(SEARCH("Conocer",$R578))+ISNUMBER(SEARCH("Aplicar",$R578))+ISNUMBER(SEARCH("Razonar",$R578))),0)</f>
        <v>0</v>
      </c>
      <c r="T578" s="28" t="n">
        <f aca="false">IFERROR(ISNUMBER(SEARCH("Aplicar",$R578))/(ISNUMBER(SEARCH("Conocer",$R578))+ISNUMBER(SEARCH("Aplicar",$R578))+ISNUMBER(SEARCH("Razonar",$R578))),0)</f>
        <v>0</v>
      </c>
      <c r="U578" s="28" t="n">
        <f aca="false">IFERROR(ISNUMBER(SEARCH("Razonar",$R578))/(ISNUMBER(SEARCH("Conocer",$R578))+ISNUMBER(SEARCH("Aplicar",$R578))+ISNUMBER(SEARCH("Razonar",$R578))),0)</f>
        <v>1</v>
      </c>
      <c r="V578" s="8" t="s">
        <v>53</v>
      </c>
      <c r="W578" s="8" t="s">
        <v>53</v>
      </c>
    </row>
    <row r="579" customFormat="false" ht="15" hidden="false" customHeight="false" outlineLevel="0" collapsed="false">
      <c r="A579" s="8" t="s">
        <v>2729</v>
      </c>
      <c r="B579" s="8" t="n">
        <v>9</v>
      </c>
      <c r="C579" s="8" t="s">
        <v>411</v>
      </c>
      <c r="D579" s="8" t="s">
        <v>2570</v>
      </c>
      <c r="E579" s="8" t="s">
        <v>2730</v>
      </c>
      <c r="F579" s="8" t="n">
        <v>3</v>
      </c>
      <c r="G579" s="8" t="s">
        <v>2731</v>
      </c>
      <c r="H579" s="8" t="s">
        <v>2732</v>
      </c>
      <c r="I579" s="27" t="s">
        <v>2733</v>
      </c>
      <c r="J579" s="8" t="s">
        <v>185</v>
      </c>
      <c r="K579" s="8" t="s">
        <v>280</v>
      </c>
      <c r="L579" s="8"/>
      <c r="M579" s="8" t="str">
        <f aca="false">IF(K579="FUERA","Fuera del marco",IF(K579="N/A","Sin marco",IFERROR(INDEX(Catalogo_TIMSS!$C$5:$C$105,MATCH(K579,Catalogo_TIMSS!$A$5:$A$105,0)),"Pendiente de clasificar")))</f>
        <v>Ciencias de la Tierra</v>
      </c>
      <c r="N579" s="8" t="str">
        <f aca="false">IF(K579="FUERA","Fuera del marco",IF(K579="N/A","Sin marco",IFERROR(INDEX(Catalogo_TIMSS!$F$5:$F$105,MATCH(K579,Catalogo_TIMSS!$A$5:$A$105,0)),"Pendiente de clasificar")))</f>
        <v>Recursos de la Tierra, uso y conservación</v>
      </c>
      <c r="O579" s="8" t="str">
        <f aca="false">IF(L579="","",IFERROR(INDEX(Catalogo_TIMSS!$C$5:$C$105,MATCH(L579,Catalogo_TIMSS!$A$5:$A$105,0)),"?"))</f>
        <v/>
      </c>
      <c r="P579" s="8" t="s">
        <v>513</v>
      </c>
      <c r="Q579" s="27" t="s">
        <v>2734</v>
      </c>
      <c r="R579" s="27" t="s">
        <v>1718</v>
      </c>
      <c r="S579" s="28" t="n">
        <f aca="false">IFERROR(ISNUMBER(SEARCH("Conocer",$R579))/(ISNUMBER(SEARCH("Conocer",$R579))+ISNUMBER(SEARCH("Aplicar",$R579))+ISNUMBER(SEARCH("Razonar",$R579))),0)</f>
        <v>1</v>
      </c>
      <c r="T579" s="28" t="n">
        <f aca="false">IFERROR(ISNUMBER(SEARCH("Aplicar",$R579))/(ISNUMBER(SEARCH("Conocer",$R579))+ISNUMBER(SEARCH("Aplicar",$R579))+ISNUMBER(SEARCH("Razonar",$R579))),0)</f>
        <v>0</v>
      </c>
      <c r="U579" s="28" t="n">
        <f aca="false">IFERROR(ISNUMBER(SEARCH("Razonar",$R579))/(ISNUMBER(SEARCH("Conocer",$R579))+ISNUMBER(SEARCH("Aplicar",$R579))+ISNUMBER(SEARCH("Razonar",$R579))),0)</f>
        <v>0</v>
      </c>
      <c r="V579" s="8" t="s">
        <v>53</v>
      </c>
      <c r="W579" s="8" t="s">
        <v>53</v>
      </c>
    </row>
    <row r="580" customFormat="false" ht="15" hidden="false" customHeight="false" outlineLevel="0" collapsed="false">
      <c r="A580" s="8" t="s">
        <v>2735</v>
      </c>
      <c r="B580" s="8" t="n">
        <v>9</v>
      </c>
      <c r="C580" s="8" t="s">
        <v>411</v>
      </c>
      <c r="D580" s="8" t="s">
        <v>2570</v>
      </c>
      <c r="E580" s="8" t="s">
        <v>2730</v>
      </c>
      <c r="F580" s="8" t="n">
        <v>4</v>
      </c>
      <c r="G580" s="8" t="s">
        <v>2731</v>
      </c>
      <c r="H580" s="8" t="s">
        <v>2732</v>
      </c>
      <c r="I580" s="27" t="s">
        <v>2736</v>
      </c>
      <c r="J580" s="8" t="s">
        <v>185</v>
      </c>
      <c r="K580" s="8" t="s">
        <v>268</v>
      </c>
      <c r="L580" s="8"/>
      <c r="M580" s="8" t="str">
        <f aca="false">IF(K580="FUERA","Fuera del marco",IF(K580="N/A","Sin marco",IFERROR(INDEX(Catalogo_TIMSS!$C$5:$C$105,MATCH(K580,Catalogo_TIMSS!$A$5:$A$105,0)),"Pendiente de clasificar")))</f>
        <v>Ciencias de la Tierra</v>
      </c>
      <c r="N580" s="8" t="str">
        <f aca="false">IF(K580="FUERA","Fuera del marco",IF(K580="N/A","Sin marco",IFERROR(INDEX(Catalogo_TIMSS!$F$5:$F$105,MATCH(K580,Catalogo_TIMSS!$A$5:$A$105,0)),"Pendiente de clasificar")))</f>
        <v>Estructura y rasgos físicos de la Tierra</v>
      </c>
      <c r="O580" s="8" t="str">
        <f aca="false">IF(L580="","",IFERROR(INDEX(Catalogo_TIMSS!$C$5:$C$105,MATCH(L580,Catalogo_TIMSS!$A$5:$A$105,0)),"?"))</f>
        <v/>
      </c>
      <c r="P580" s="8" t="s">
        <v>460</v>
      </c>
      <c r="Q580" s="27" t="s">
        <v>2737</v>
      </c>
      <c r="R580" s="27" t="s">
        <v>587</v>
      </c>
      <c r="S580" s="28" t="n">
        <f aca="false">IFERROR(ISNUMBER(SEARCH("Conocer",$R580))/(ISNUMBER(SEARCH("Conocer",$R580))+ISNUMBER(SEARCH("Aplicar",$R580))+ISNUMBER(SEARCH("Razonar",$R580))),0)</f>
        <v>0</v>
      </c>
      <c r="T580" s="28" t="n">
        <f aca="false">IFERROR(ISNUMBER(SEARCH("Aplicar",$R580))/(ISNUMBER(SEARCH("Conocer",$R580))+ISNUMBER(SEARCH("Aplicar",$R580))+ISNUMBER(SEARCH("Razonar",$R580))),0)</f>
        <v>1</v>
      </c>
      <c r="U580" s="28" t="n">
        <f aca="false">IFERROR(ISNUMBER(SEARCH("Razonar",$R580))/(ISNUMBER(SEARCH("Conocer",$R580))+ISNUMBER(SEARCH("Aplicar",$R580))+ISNUMBER(SEARCH("Razonar",$R580))),0)</f>
        <v>0</v>
      </c>
      <c r="V580" s="8" t="s">
        <v>53</v>
      </c>
      <c r="W580" s="8" t="s">
        <v>53</v>
      </c>
    </row>
    <row r="581" customFormat="false" ht="15" hidden="false" customHeight="false" outlineLevel="0" collapsed="false">
      <c r="A581" s="8" t="s">
        <v>2738</v>
      </c>
      <c r="B581" s="8" t="n">
        <v>9</v>
      </c>
      <c r="C581" s="8" t="s">
        <v>411</v>
      </c>
      <c r="D581" s="8" t="s">
        <v>2570</v>
      </c>
      <c r="E581" s="8" t="s">
        <v>2730</v>
      </c>
      <c r="F581" s="8" t="n">
        <v>5</v>
      </c>
      <c r="G581" s="8" t="s">
        <v>2731</v>
      </c>
      <c r="H581" s="8" t="s">
        <v>2732</v>
      </c>
      <c r="I581" s="27" t="s">
        <v>2739</v>
      </c>
      <c r="J581" s="8" t="s">
        <v>185</v>
      </c>
      <c r="K581" s="8" t="s">
        <v>268</v>
      </c>
      <c r="L581" s="8"/>
      <c r="M581" s="8" t="str">
        <f aca="false">IF(K581="FUERA","Fuera del marco",IF(K581="N/A","Sin marco",IFERROR(INDEX(Catalogo_TIMSS!$C$5:$C$105,MATCH(K581,Catalogo_TIMSS!$A$5:$A$105,0)),"Pendiente de clasificar")))</f>
        <v>Ciencias de la Tierra</v>
      </c>
      <c r="N581" s="8" t="str">
        <f aca="false">IF(K581="FUERA","Fuera del marco",IF(K581="N/A","Sin marco",IFERROR(INDEX(Catalogo_TIMSS!$F$5:$F$105,MATCH(K581,Catalogo_TIMSS!$A$5:$A$105,0)),"Pendiente de clasificar")))</f>
        <v>Estructura y rasgos físicos de la Tierra</v>
      </c>
      <c r="O581" s="8" t="str">
        <f aca="false">IF(L581="","",IFERROR(INDEX(Catalogo_TIMSS!$C$5:$C$105,MATCH(L581,Catalogo_TIMSS!$A$5:$A$105,0)),"?"))</f>
        <v/>
      </c>
      <c r="P581" s="8" t="s">
        <v>460</v>
      </c>
      <c r="Q581" s="27" t="s">
        <v>2740</v>
      </c>
      <c r="R581" s="27" t="s">
        <v>1265</v>
      </c>
      <c r="S581" s="28" t="n">
        <f aca="false">IFERROR(ISNUMBER(SEARCH("Conocer",$R581))/(ISNUMBER(SEARCH("Conocer",$R581))+ISNUMBER(SEARCH("Aplicar",$R581))+ISNUMBER(SEARCH("Razonar",$R581))),0)</f>
        <v>0</v>
      </c>
      <c r="T581" s="28" t="n">
        <f aca="false">IFERROR(ISNUMBER(SEARCH("Aplicar",$R581))/(ISNUMBER(SEARCH("Conocer",$R581))+ISNUMBER(SEARCH("Aplicar",$R581))+ISNUMBER(SEARCH("Razonar",$R581))),0)</f>
        <v>1</v>
      </c>
      <c r="U581" s="28" t="n">
        <f aca="false">IFERROR(ISNUMBER(SEARCH("Razonar",$R581))/(ISNUMBER(SEARCH("Conocer",$R581))+ISNUMBER(SEARCH("Aplicar",$R581))+ISNUMBER(SEARCH("Razonar",$R581))),0)</f>
        <v>0</v>
      </c>
      <c r="V581" s="8" t="s">
        <v>53</v>
      </c>
      <c r="W581" s="8" t="s">
        <v>53</v>
      </c>
    </row>
    <row r="582" customFormat="false" ht="15" hidden="false" customHeight="false" outlineLevel="0" collapsed="false">
      <c r="A582" s="8" t="s">
        <v>2741</v>
      </c>
      <c r="B582" s="8" t="n">
        <v>9</v>
      </c>
      <c r="C582" s="8" t="s">
        <v>411</v>
      </c>
      <c r="D582" s="8" t="s">
        <v>2570</v>
      </c>
      <c r="E582" s="8" t="s">
        <v>2730</v>
      </c>
      <c r="F582" s="8" t="n">
        <v>6</v>
      </c>
      <c r="G582" s="8" t="s">
        <v>2731</v>
      </c>
      <c r="H582" s="8" t="s">
        <v>2742</v>
      </c>
      <c r="I582" s="27" t="s">
        <v>2743</v>
      </c>
      <c r="J582" s="8" t="s">
        <v>185</v>
      </c>
      <c r="K582" s="8" t="s">
        <v>278</v>
      </c>
      <c r="L582" s="8" t="s">
        <v>250</v>
      </c>
      <c r="M582" s="8" t="str">
        <f aca="false">IF(K582="FUERA","Fuera del marco",IF(K582="N/A","Sin marco",IFERROR(INDEX(Catalogo_TIMSS!$C$5:$C$105,MATCH(K582,Catalogo_TIMSS!$A$5:$A$105,0)),"Pendiente de clasificar")))</f>
        <v>Ciencias de la Tierra</v>
      </c>
      <c r="N582" s="8" t="str">
        <f aca="false">IF(K582="FUERA","Fuera del marco",IF(K582="N/A","Sin marco",IFERROR(INDEX(Catalogo_TIMSS!$F$5:$F$105,MATCH(K582,Catalogo_TIMSS!$A$5:$A$105,0)),"Pendiente de clasificar")))</f>
        <v>Procesos, ciclos e historia de la Tierra</v>
      </c>
      <c r="O582" s="8" t="str">
        <f aca="false">IF(L582="","",IFERROR(INDEX(Catalogo_TIMSS!$C$5:$C$105,MATCH(L582,Catalogo_TIMSS!$A$5:$A$105,0)),"?"))</f>
        <v>Física</v>
      </c>
      <c r="P582" s="8" t="s">
        <v>460</v>
      </c>
      <c r="Q582" s="27" t="s">
        <v>2744</v>
      </c>
      <c r="R582" s="27" t="s">
        <v>2473</v>
      </c>
      <c r="S582" s="28" t="n">
        <f aca="false">IFERROR(ISNUMBER(SEARCH("Conocer",$R582))/(ISNUMBER(SEARCH("Conocer",$R582))+ISNUMBER(SEARCH("Aplicar",$R582))+ISNUMBER(SEARCH("Razonar",$R582))),0)</f>
        <v>0</v>
      </c>
      <c r="T582" s="28" t="n">
        <f aca="false">IFERROR(ISNUMBER(SEARCH("Aplicar",$R582))/(ISNUMBER(SEARCH("Conocer",$R582))+ISNUMBER(SEARCH("Aplicar",$R582))+ISNUMBER(SEARCH("Razonar",$R582))),0)</f>
        <v>1</v>
      </c>
      <c r="U582" s="28" t="n">
        <f aca="false">IFERROR(ISNUMBER(SEARCH("Razonar",$R582))/(ISNUMBER(SEARCH("Conocer",$R582))+ISNUMBER(SEARCH("Aplicar",$R582))+ISNUMBER(SEARCH("Razonar",$R582))),0)</f>
        <v>0</v>
      </c>
      <c r="V582" s="8" t="s">
        <v>53</v>
      </c>
      <c r="W582" s="8" t="s">
        <v>53</v>
      </c>
    </row>
    <row r="583" customFormat="false" ht="15" hidden="false" customHeight="false" outlineLevel="0" collapsed="false">
      <c r="A583" s="8" t="s">
        <v>2745</v>
      </c>
      <c r="B583" s="8" t="n">
        <v>9</v>
      </c>
      <c r="C583" s="8" t="s">
        <v>411</v>
      </c>
      <c r="D583" s="8" t="s">
        <v>2570</v>
      </c>
      <c r="E583" s="8" t="s">
        <v>2730</v>
      </c>
      <c r="F583" s="8" t="n">
        <v>7</v>
      </c>
      <c r="G583" s="8" t="s">
        <v>2731</v>
      </c>
      <c r="H583" s="8" t="s">
        <v>2742</v>
      </c>
      <c r="I583" s="27" t="s">
        <v>2746</v>
      </c>
      <c r="J583" s="8" t="s">
        <v>185</v>
      </c>
      <c r="K583" s="8" t="s">
        <v>278</v>
      </c>
      <c r="L583" s="8"/>
      <c r="M583" s="8" t="str">
        <f aca="false">IF(K583="FUERA","Fuera del marco",IF(K583="N/A","Sin marco",IFERROR(INDEX(Catalogo_TIMSS!$C$5:$C$105,MATCH(K583,Catalogo_TIMSS!$A$5:$A$105,0)),"Pendiente de clasificar")))</f>
        <v>Ciencias de la Tierra</v>
      </c>
      <c r="N583" s="8" t="str">
        <f aca="false">IF(K583="FUERA","Fuera del marco",IF(K583="N/A","Sin marco",IFERROR(INDEX(Catalogo_TIMSS!$F$5:$F$105,MATCH(K583,Catalogo_TIMSS!$A$5:$A$105,0)),"Pendiente de clasificar")))</f>
        <v>Procesos, ciclos e historia de la Tierra</v>
      </c>
      <c r="O583" s="8" t="str">
        <f aca="false">IF(L583="","",IFERROR(INDEX(Catalogo_TIMSS!$C$5:$C$105,MATCH(L583,Catalogo_TIMSS!$A$5:$A$105,0)),"?"))</f>
        <v/>
      </c>
      <c r="P583" s="8" t="s">
        <v>460</v>
      </c>
      <c r="Q583" s="27" t="s">
        <v>2747</v>
      </c>
      <c r="R583" s="27" t="s">
        <v>1718</v>
      </c>
      <c r="S583" s="28" t="n">
        <f aca="false">IFERROR(ISNUMBER(SEARCH("Conocer",$R583))/(ISNUMBER(SEARCH("Conocer",$R583))+ISNUMBER(SEARCH("Aplicar",$R583))+ISNUMBER(SEARCH("Razonar",$R583))),0)</f>
        <v>1</v>
      </c>
      <c r="T583" s="28" t="n">
        <f aca="false">IFERROR(ISNUMBER(SEARCH("Aplicar",$R583))/(ISNUMBER(SEARCH("Conocer",$R583))+ISNUMBER(SEARCH("Aplicar",$R583))+ISNUMBER(SEARCH("Razonar",$R583))),0)</f>
        <v>0</v>
      </c>
      <c r="U583" s="28" t="n">
        <f aca="false">IFERROR(ISNUMBER(SEARCH("Razonar",$R583))/(ISNUMBER(SEARCH("Conocer",$R583))+ISNUMBER(SEARCH("Aplicar",$R583))+ISNUMBER(SEARCH("Razonar",$R583))),0)</f>
        <v>0</v>
      </c>
      <c r="V583" s="8" t="s">
        <v>53</v>
      </c>
      <c r="W583" s="8" t="s">
        <v>53</v>
      </c>
    </row>
    <row r="584" customFormat="false" ht="15" hidden="false" customHeight="false" outlineLevel="0" collapsed="false">
      <c r="A584" s="8" t="s">
        <v>2748</v>
      </c>
      <c r="B584" s="8" t="n">
        <v>9</v>
      </c>
      <c r="C584" s="8" t="s">
        <v>411</v>
      </c>
      <c r="D584" s="8" t="s">
        <v>2570</v>
      </c>
      <c r="E584" s="8" t="s">
        <v>2730</v>
      </c>
      <c r="F584" s="8" t="n">
        <v>8</v>
      </c>
      <c r="G584" s="8" t="s">
        <v>2731</v>
      </c>
      <c r="H584" s="8" t="s">
        <v>2742</v>
      </c>
      <c r="I584" s="27" t="s">
        <v>2749</v>
      </c>
      <c r="J584" s="8" t="s">
        <v>185</v>
      </c>
      <c r="K584" s="8" t="s">
        <v>278</v>
      </c>
      <c r="L584" s="8"/>
      <c r="M584" s="8" t="str">
        <f aca="false">IF(K584="FUERA","Fuera del marco",IF(K584="N/A","Sin marco",IFERROR(INDEX(Catalogo_TIMSS!$C$5:$C$105,MATCH(K584,Catalogo_TIMSS!$A$5:$A$105,0)),"Pendiente de clasificar")))</f>
        <v>Ciencias de la Tierra</v>
      </c>
      <c r="N584" s="8" t="str">
        <f aca="false">IF(K584="FUERA","Fuera del marco",IF(K584="N/A","Sin marco",IFERROR(INDEX(Catalogo_TIMSS!$F$5:$F$105,MATCH(K584,Catalogo_TIMSS!$A$5:$A$105,0)),"Pendiente de clasificar")))</f>
        <v>Procesos, ciclos e historia de la Tierra</v>
      </c>
      <c r="O584" s="8" t="str">
        <f aca="false">IF(L584="","",IFERROR(INDEX(Catalogo_TIMSS!$C$5:$C$105,MATCH(L584,Catalogo_TIMSS!$A$5:$A$105,0)),"?"))</f>
        <v/>
      </c>
      <c r="P584" s="8" t="s">
        <v>513</v>
      </c>
      <c r="Q584" s="27" t="s">
        <v>2750</v>
      </c>
      <c r="R584" s="27" t="s">
        <v>1566</v>
      </c>
      <c r="S584" s="28" t="n">
        <f aca="false">IFERROR(ISNUMBER(SEARCH("Conocer",$R584))/(ISNUMBER(SEARCH("Conocer",$R584))+ISNUMBER(SEARCH("Aplicar",$R584))+ISNUMBER(SEARCH("Razonar",$R584))),0)</f>
        <v>0</v>
      </c>
      <c r="T584" s="28" t="n">
        <f aca="false">IFERROR(ISNUMBER(SEARCH("Aplicar",$R584))/(ISNUMBER(SEARCH("Conocer",$R584))+ISNUMBER(SEARCH("Aplicar",$R584))+ISNUMBER(SEARCH("Razonar",$R584))),0)</f>
        <v>0</v>
      </c>
      <c r="U584" s="28" t="n">
        <f aca="false">IFERROR(ISNUMBER(SEARCH("Razonar",$R584))/(ISNUMBER(SEARCH("Conocer",$R584))+ISNUMBER(SEARCH("Aplicar",$R584))+ISNUMBER(SEARCH("Razonar",$R584))),0)</f>
        <v>1</v>
      </c>
      <c r="V584" s="8" t="s">
        <v>53</v>
      </c>
      <c r="W584" s="8" t="s">
        <v>53</v>
      </c>
    </row>
    <row r="585" customFormat="false" ht="15" hidden="false" customHeight="false" outlineLevel="0" collapsed="false">
      <c r="A585" s="8" t="s">
        <v>2751</v>
      </c>
      <c r="B585" s="8" t="n">
        <v>9</v>
      </c>
      <c r="C585" s="8" t="s">
        <v>411</v>
      </c>
      <c r="D585" s="8" t="s">
        <v>2570</v>
      </c>
      <c r="E585" s="8" t="s">
        <v>2730</v>
      </c>
      <c r="F585" s="8" t="n">
        <v>9</v>
      </c>
      <c r="G585" s="8" t="s">
        <v>2731</v>
      </c>
      <c r="H585" s="8" t="s">
        <v>2742</v>
      </c>
      <c r="I585" s="27" t="s">
        <v>2752</v>
      </c>
      <c r="J585" s="8" t="s">
        <v>185</v>
      </c>
      <c r="K585" s="8" t="s">
        <v>278</v>
      </c>
      <c r="L585" s="8"/>
      <c r="M585" s="8" t="str">
        <f aca="false">IF(K585="FUERA","Fuera del marco",IF(K585="N/A","Sin marco",IFERROR(INDEX(Catalogo_TIMSS!$C$5:$C$105,MATCH(K585,Catalogo_TIMSS!$A$5:$A$105,0)),"Pendiente de clasificar")))</f>
        <v>Ciencias de la Tierra</v>
      </c>
      <c r="N585" s="8" t="str">
        <f aca="false">IF(K585="FUERA","Fuera del marco",IF(K585="N/A","Sin marco",IFERROR(INDEX(Catalogo_TIMSS!$F$5:$F$105,MATCH(K585,Catalogo_TIMSS!$A$5:$A$105,0)),"Pendiente de clasificar")))</f>
        <v>Procesos, ciclos e historia de la Tierra</v>
      </c>
      <c r="O585" s="8" t="str">
        <f aca="false">IF(L585="","",IFERROR(INDEX(Catalogo_TIMSS!$C$5:$C$105,MATCH(L585,Catalogo_TIMSS!$A$5:$A$105,0)),"?"))</f>
        <v/>
      </c>
      <c r="P585" s="8" t="s">
        <v>460</v>
      </c>
      <c r="Q585" s="27" t="s">
        <v>2753</v>
      </c>
      <c r="R585" s="27" t="s">
        <v>1265</v>
      </c>
      <c r="S585" s="28" t="n">
        <f aca="false">IFERROR(ISNUMBER(SEARCH("Conocer",$R585))/(ISNUMBER(SEARCH("Conocer",$R585))+ISNUMBER(SEARCH("Aplicar",$R585))+ISNUMBER(SEARCH("Razonar",$R585))),0)</f>
        <v>0</v>
      </c>
      <c r="T585" s="28" t="n">
        <f aca="false">IFERROR(ISNUMBER(SEARCH("Aplicar",$R585))/(ISNUMBER(SEARCH("Conocer",$R585))+ISNUMBER(SEARCH("Aplicar",$R585))+ISNUMBER(SEARCH("Razonar",$R585))),0)</f>
        <v>1</v>
      </c>
      <c r="U585" s="28" t="n">
        <f aca="false">IFERROR(ISNUMBER(SEARCH("Razonar",$R585))/(ISNUMBER(SEARCH("Conocer",$R585))+ISNUMBER(SEARCH("Aplicar",$R585))+ISNUMBER(SEARCH("Razonar",$R585))),0)</f>
        <v>0</v>
      </c>
      <c r="V585" s="8" t="s">
        <v>53</v>
      </c>
      <c r="W585" s="8" t="s">
        <v>53</v>
      </c>
    </row>
    <row r="586" customFormat="false" ht="15" hidden="false" customHeight="false" outlineLevel="0" collapsed="false">
      <c r="A586" s="8" t="s">
        <v>2754</v>
      </c>
      <c r="B586" s="8" t="n">
        <v>9</v>
      </c>
      <c r="C586" s="8" t="s">
        <v>411</v>
      </c>
      <c r="D586" s="8" t="s">
        <v>2570</v>
      </c>
      <c r="E586" s="8" t="s">
        <v>2730</v>
      </c>
      <c r="F586" s="8" t="n">
        <v>10</v>
      </c>
      <c r="G586" s="8" t="s">
        <v>2731</v>
      </c>
      <c r="H586" s="8" t="s">
        <v>2742</v>
      </c>
      <c r="I586" s="27" t="s">
        <v>2755</v>
      </c>
      <c r="J586" s="8" t="s">
        <v>185</v>
      </c>
      <c r="K586" s="8" t="s">
        <v>247</v>
      </c>
      <c r="L586" s="8"/>
      <c r="M586" s="8" t="str">
        <f aca="false">IF(K586="FUERA","Fuera del marco",IF(K586="N/A","Sin marco",IFERROR(INDEX(Catalogo_TIMSS!$C$5:$C$105,MATCH(K586,Catalogo_TIMSS!$A$5:$A$105,0)),"Pendiente de clasificar")))</f>
        <v>Física</v>
      </c>
      <c r="N586" s="8" t="str">
        <f aca="false">IF(K586="FUERA","Fuera del marco",IF(K586="N/A","Sin marco",IFERROR(INDEX(Catalogo_TIMSS!$F$5:$F$105,MATCH(K586,Catalogo_TIMSS!$A$5:$A$105,0)),"Pendiente de clasificar")))</f>
        <v>Transformación y transferencia de energía</v>
      </c>
      <c r="O586" s="8" t="str">
        <f aca="false">IF(L586="","",IFERROR(INDEX(Catalogo_TIMSS!$C$5:$C$105,MATCH(L586,Catalogo_TIMSS!$A$5:$A$105,0)),"?"))</f>
        <v/>
      </c>
      <c r="P586" s="8" t="s">
        <v>513</v>
      </c>
      <c r="Q586" s="27" t="s">
        <v>2756</v>
      </c>
      <c r="R586" s="27" t="s">
        <v>1032</v>
      </c>
      <c r="S586" s="28" t="n">
        <f aca="false">IFERROR(ISNUMBER(SEARCH("Conocer",$R586))/(ISNUMBER(SEARCH("Conocer",$R586))+ISNUMBER(SEARCH("Aplicar",$R586))+ISNUMBER(SEARCH("Razonar",$R586))),0)</f>
        <v>1</v>
      </c>
      <c r="T586" s="28" t="n">
        <f aca="false">IFERROR(ISNUMBER(SEARCH("Aplicar",$R586))/(ISNUMBER(SEARCH("Conocer",$R586))+ISNUMBER(SEARCH("Aplicar",$R586))+ISNUMBER(SEARCH("Razonar",$R586))),0)</f>
        <v>0</v>
      </c>
      <c r="U586" s="28" t="n">
        <f aca="false">IFERROR(ISNUMBER(SEARCH("Razonar",$R586))/(ISNUMBER(SEARCH("Conocer",$R586))+ISNUMBER(SEARCH("Aplicar",$R586))+ISNUMBER(SEARCH("Razonar",$R586))),0)</f>
        <v>0</v>
      </c>
      <c r="V586" s="8" t="s">
        <v>53</v>
      </c>
      <c r="W586" s="8" t="s">
        <v>53</v>
      </c>
    </row>
    <row r="587" customFormat="false" ht="15" hidden="false" customHeight="false" outlineLevel="0" collapsed="false">
      <c r="A587" s="8" t="s">
        <v>2757</v>
      </c>
      <c r="B587" s="8" t="n">
        <v>9</v>
      </c>
      <c r="C587" s="8" t="s">
        <v>411</v>
      </c>
      <c r="D587" s="8" t="s">
        <v>2570</v>
      </c>
      <c r="E587" s="8" t="s">
        <v>2730</v>
      </c>
      <c r="F587" s="8" t="n">
        <v>11</v>
      </c>
      <c r="G587" s="8" t="s">
        <v>2731</v>
      </c>
      <c r="H587" s="8" t="s">
        <v>2742</v>
      </c>
      <c r="I587" s="27" t="s">
        <v>2758</v>
      </c>
      <c r="J587" s="8" t="s">
        <v>185</v>
      </c>
      <c r="K587" s="8" t="s">
        <v>247</v>
      </c>
      <c r="L587" s="8" t="s">
        <v>273</v>
      </c>
      <c r="M587" s="8" t="str">
        <f aca="false">IF(K587="FUERA","Fuera del marco",IF(K587="N/A","Sin marco",IFERROR(INDEX(Catalogo_TIMSS!$C$5:$C$105,MATCH(K587,Catalogo_TIMSS!$A$5:$A$105,0)),"Pendiente de clasificar")))</f>
        <v>Física</v>
      </c>
      <c r="N587" s="8" t="str">
        <f aca="false">IF(K587="FUERA","Fuera del marco",IF(K587="N/A","Sin marco",IFERROR(INDEX(Catalogo_TIMSS!$F$5:$F$105,MATCH(K587,Catalogo_TIMSS!$A$5:$A$105,0)),"Pendiente de clasificar")))</f>
        <v>Transformación y transferencia de energía</v>
      </c>
      <c r="O587" s="8" t="str">
        <f aca="false">IF(L587="","",IFERROR(INDEX(Catalogo_TIMSS!$C$5:$C$105,MATCH(L587,Catalogo_TIMSS!$A$5:$A$105,0)),"?"))</f>
        <v>Ciencias de la Tierra</v>
      </c>
      <c r="P587" s="8" t="s">
        <v>513</v>
      </c>
      <c r="Q587" s="27" t="s">
        <v>2759</v>
      </c>
      <c r="R587" s="27" t="s">
        <v>2473</v>
      </c>
      <c r="S587" s="28" t="n">
        <f aca="false">IFERROR(ISNUMBER(SEARCH("Conocer",$R587))/(ISNUMBER(SEARCH("Conocer",$R587))+ISNUMBER(SEARCH("Aplicar",$R587))+ISNUMBER(SEARCH("Razonar",$R587))),0)</f>
        <v>0</v>
      </c>
      <c r="T587" s="28" t="n">
        <f aca="false">IFERROR(ISNUMBER(SEARCH("Aplicar",$R587))/(ISNUMBER(SEARCH("Conocer",$R587))+ISNUMBER(SEARCH("Aplicar",$R587))+ISNUMBER(SEARCH("Razonar",$R587))),0)</f>
        <v>1</v>
      </c>
      <c r="U587" s="28" t="n">
        <f aca="false">IFERROR(ISNUMBER(SEARCH("Razonar",$R587))/(ISNUMBER(SEARCH("Conocer",$R587))+ISNUMBER(SEARCH("Aplicar",$R587))+ISNUMBER(SEARCH("Razonar",$R587))),0)</f>
        <v>0</v>
      </c>
      <c r="V587" s="8" t="s">
        <v>53</v>
      </c>
      <c r="W587" s="8" t="s">
        <v>53</v>
      </c>
    </row>
    <row r="588" customFormat="false" ht="15" hidden="false" customHeight="false" outlineLevel="0" collapsed="false">
      <c r="A588" s="8" t="s">
        <v>2760</v>
      </c>
      <c r="B588" s="8" t="n">
        <v>9</v>
      </c>
      <c r="C588" s="8" t="s">
        <v>411</v>
      </c>
      <c r="D588" s="8" t="s">
        <v>2570</v>
      </c>
      <c r="E588" s="8" t="s">
        <v>2730</v>
      </c>
      <c r="F588" s="8" t="n">
        <v>12</v>
      </c>
      <c r="G588" s="8" t="s">
        <v>2731</v>
      </c>
      <c r="H588" s="8" t="s">
        <v>2742</v>
      </c>
      <c r="I588" s="27" t="s">
        <v>2761</v>
      </c>
      <c r="J588" s="8" t="s">
        <v>185</v>
      </c>
      <c r="K588" s="8" t="s">
        <v>285</v>
      </c>
      <c r="L588" s="8"/>
      <c r="M588" s="8" t="str">
        <f aca="false">IF(K588="FUERA","Fuera del marco",IF(K588="N/A","Sin marco",IFERROR(INDEX(Catalogo_TIMSS!$C$5:$C$105,MATCH(K588,Catalogo_TIMSS!$A$5:$A$105,0)),"Pendiente de clasificar")))</f>
        <v>Ciencias de la Tierra</v>
      </c>
      <c r="N588" s="8" t="str">
        <f aca="false">IF(K588="FUERA","Fuera del marco",IF(K588="N/A","Sin marco",IFERROR(INDEX(Catalogo_TIMSS!$F$5:$F$105,MATCH(K588,Catalogo_TIMSS!$A$5:$A$105,0)),"Pendiente de clasificar")))</f>
        <v>La Tierra en el Sistema Solar y el Universo</v>
      </c>
      <c r="O588" s="8" t="str">
        <f aca="false">IF(L588="","",IFERROR(INDEX(Catalogo_TIMSS!$C$5:$C$105,MATCH(L588,Catalogo_TIMSS!$A$5:$A$105,0)),"?"))</f>
        <v/>
      </c>
      <c r="P588" s="8" t="s">
        <v>418</v>
      </c>
      <c r="Q588" s="27" t="s">
        <v>2762</v>
      </c>
      <c r="R588" s="27" t="s">
        <v>642</v>
      </c>
      <c r="S588" s="28" t="n">
        <f aca="false">IFERROR(ISNUMBER(SEARCH("Conocer",$R588))/(ISNUMBER(SEARCH("Conocer",$R588))+ISNUMBER(SEARCH("Aplicar",$R588))+ISNUMBER(SEARCH("Razonar",$R588))),0)</f>
        <v>0</v>
      </c>
      <c r="T588" s="28" t="n">
        <f aca="false">IFERROR(ISNUMBER(SEARCH("Aplicar",$R588))/(ISNUMBER(SEARCH("Conocer",$R588))+ISNUMBER(SEARCH("Aplicar",$R588))+ISNUMBER(SEARCH("Razonar",$R588))),0)</f>
        <v>1</v>
      </c>
      <c r="U588" s="28" t="n">
        <f aca="false">IFERROR(ISNUMBER(SEARCH("Razonar",$R588))/(ISNUMBER(SEARCH("Conocer",$R588))+ISNUMBER(SEARCH("Aplicar",$R588))+ISNUMBER(SEARCH("Razonar",$R588))),0)</f>
        <v>0</v>
      </c>
      <c r="V588" s="8" t="s">
        <v>53</v>
      </c>
      <c r="W588" s="8" t="s">
        <v>53</v>
      </c>
    </row>
    <row r="589" customFormat="false" ht="15" hidden="false" customHeight="false" outlineLevel="0" collapsed="false">
      <c r="A589" s="8" t="s">
        <v>2763</v>
      </c>
      <c r="B589" s="8" t="n">
        <v>9</v>
      </c>
      <c r="C589" s="8" t="s">
        <v>411</v>
      </c>
      <c r="D589" s="8" t="s">
        <v>2570</v>
      </c>
      <c r="E589" s="8" t="s">
        <v>2730</v>
      </c>
      <c r="F589" s="8" t="n">
        <v>13</v>
      </c>
      <c r="G589" s="8" t="s">
        <v>2731</v>
      </c>
      <c r="H589" s="8" t="s">
        <v>2764</v>
      </c>
      <c r="I589" s="27" t="s">
        <v>2765</v>
      </c>
      <c r="J589" s="8" t="s">
        <v>185</v>
      </c>
      <c r="K589" s="8" t="s">
        <v>273</v>
      </c>
      <c r="L589" s="8"/>
      <c r="M589" s="8" t="str">
        <f aca="false">IF(K589="FUERA","Fuera del marco",IF(K589="N/A","Sin marco",IFERROR(INDEX(Catalogo_TIMSS!$C$5:$C$105,MATCH(K589,Catalogo_TIMSS!$A$5:$A$105,0)),"Pendiente de clasificar")))</f>
        <v>Ciencias de la Tierra</v>
      </c>
      <c r="N589" s="8" t="str">
        <f aca="false">IF(K589="FUERA","Fuera del marco",IF(K589="N/A","Sin marco",IFERROR(INDEX(Catalogo_TIMSS!$F$5:$F$105,MATCH(K589,Catalogo_TIMSS!$A$5:$A$105,0)),"Pendiente de clasificar")))</f>
        <v>Procesos, ciclos e historia de la Tierra</v>
      </c>
      <c r="O589" s="8" t="str">
        <f aca="false">IF(L589="","",IFERROR(INDEX(Catalogo_TIMSS!$C$5:$C$105,MATCH(L589,Catalogo_TIMSS!$A$5:$A$105,0)),"?"))</f>
        <v/>
      </c>
      <c r="P589" s="8" t="s">
        <v>418</v>
      </c>
      <c r="Q589" s="27" t="s">
        <v>2766</v>
      </c>
      <c r="R589" s="27" t="s">
        <v>642</v>
      </c>
      <c r="S589" s="28" t="n">
        <f aca="false">IFERROR(ISNUMBER(SEARCH("Conocer",$R589))/(ISNUMBER(SEARCH("Conocer",$R589))+ISNUMBER(SEARCH("Aplicar",$R589))+ISNUMBER(SEARCH("Razonar",$R589))),0)</f>
        <v>0</v>
      </c>
      <c r="T589" s="28" t="n">
        <f aca="false">IFERROR(ISNUMBER(SEARCH("Aplicar",$R589))/(ISNUMBER(SEARCH("Conocer",$R589))+ISNUMBER(SEARCH("Aplicar",$R589))+ISNUMBER(SEARCH("Razonar",$R589))),0)</f>
        <v>1</v>
      </c>
      <c r="U589" s="28" t="n">
        <f aca="false">IFERROR(ISNUMBER(SEARCH("Razonar",$R589))/(ISNUMBER(SEARCH("Conocer",$R589))+ISNUMBER(SEARCH("Aplicar",$R589))+ISNUMBER(SEARCH("Razonar",$R589))),0)</f>
        <v>0</v>
      </c>
      <c r="V589" s="8" t="s">
        <v>53</v>
      </c>
      <c r="W589" s="8" t="s">
        <v>53</v>
      </c>
    </row>
    <row r="590" customFormat="false" ht="15" hidden="false" customHeight="false" outlineLevel="0" collapsed="false">
      <c r="A590" s="8" t="s">
        <v>2767</v>
      </c>
      <c r="B590" s="8" t="n">
        <v>9</v>
      </c>
      <c r="C590" s="8" t="s">
        <v>411</v>
      </c>
      <c r="D590" s="8" t="s">
        <v>2570</v>
      </c>
      <c r="E590" s="8" t="s">
        <v>2730</v>
      </c>
      <c r="F590" s="8" t="n">
        <v>14</v>
      </c>
      <c r="G590" s="8" t="s">
        <v>2731</v>
      </c>
      <c r="H590" s="8" t="s">
        <v>2764</v>
      </c>
      <c r="I590" s="27" t="s">
        <v>2768</v>
      </c>
      <c r="J590" s="8" t="s">
        <v>185</v>
      </c>
      <c r="K590" s="8" t="s">
        <v>273</v>
      </c>
      <c r="L590" s="8"/>
      <c r="M590" s="8" t="str">
        <f aca="false">IF(K590="FUERA","Fuera del marco",IF(K590="N/A","Sin marco",IFERROR(INDEX(Catalogo_TIMSS!$C$5:$C$105,MATCH(K590,Catalogo_TIMSS!$A$5:$A$105,0)),"Pendiente de clasificar")))</f>
        <v>Ciencias de la Tierra</v>
      </c>
      <c r="N590" s="8" t="str">
        <f aca="false">IF(K590="FUERA","Fuera del marco",IF(K590="N/A","Sin marco",IFERROR(INDEX(Catalogo_TIMSS!$F$5:$F$105,MATCH(K590,Catalogo_TIMSS!$A$5:$A$105,0)),"Pendiente de clasificar")))</f>
        <v>Procesos, ciclos e historia de la Tierra</v>
      </c>
      <c r="O590" s="8" t="str">
        <f aca="false">IF(L590="","",IFERROR(INDEX(Catalogo_TIMSS!$C$5:$C$105,MATCH(L590,Catalogo_TIMSS!$A$5:$A$105,0)),"?"))</f>
        <v/>
      </c>
      <c r="P590" s="8" t="s">
        <v>418</v>
      </c>
      <c r="Q590" s="27" t="s">
        <v>2769</v>
      </c>
      <c r="R590" s="27" t="s">
        <v>2680</v>
      </c>
      <c r="S590" s="28" t="n">
        <f aca="false">IFERROR(ISNUMBER(SEARCH("Conocer",$R590))/(ISNUMBER(SEARCH("Conocer",$R590))+ISNUMBER(SEARCH("Aplicar",$R590))+ISNUMBER(SEARCH("Razonar",$R590))),0)</f>
        <v>0</v>
      </c>
      <c r="T590" s="28" t="n">
        <f aca="false">IFERROR(ISNUMBER(SEARCH("Aplicar",$R590))/(ISNUMBER(SEARCH("Conocer",$R590))+ISNUMBER(SEARCH("Aplicar",$R590))+ISNUMBER(SEARCH("Razonar",$R590))),0)</f>
        <v>1</v>
      </c>
      <c r="U590" s="28" t="n">
        <f aca="false">IFERROR(ISNUMBER(SEARCH("Razonar",$R590))/(ISNUMBER(SEARCH("Conocer",$R590))+ISNUMBER(SEARCH("Aplicar",$R590))+ISNUMBER(SEARCH("Razonar",$R590))),0)</f>
        <v>0</v>
      </c>
      <c r="V590" s="8" t="s">
        <v>53</v>
      </c>
      <c r="W590" s="8" t="s">
        <v>53</v>
      </c>
    </row>
    <row r="591" customFormat="false" ht="15" hidden="false" customHeight="false" outlineLevel="0" collapsed="false">
      <c r="A591" s="8" t="s">
        <v>2770</v>
      </c>
      <c r="B591" s="8" t="n">
        <v>9</v>
      </c>
      <c r="C591" s="8" t="s">
        <v>411</v>
      </c>
      <c r="D591" s="8" t="s">
        <v>2570</v>
      </c>
      <c r="E591" s="8" t="s">
        <v>2730</v>
      </c>
      <c r="F591" s="8" t="n">
        <v>15</v>
      </c>
      <c r="G591" s="8" t="s">
        <v>2731</v>
      </c>
      <c r="H591" s="8" t="s">
        <v>2771</v>
      </c>
      <c r="I591" s="27" t="s">
        <v>2772</v>
      </c>
      <c r="J591" s="8" t="s">
        <v>185</v>
      </c>
      <c r="K591" s="8" t="s">
        <v>205</v>
      </c>
      <c r="L591" s="8"/>
      <c r="M591" s="8" t="str">
        <f aca="false">IF(K591="FUERA","Fuera del marco",IF(K591="N/A","Sin marco",IFERROR(INDEX(Catalogo_TIMSS!$C$5:$C$105,MATCH(K591,Catalogo_TIMSS!$A$5:$A$105,0)),"Pendiente de clasificar")))</f>
        <v>Biología</v>
      </c>
      <c r="N591" s="8" t="str">
        <f aca="false">IF(K591="FUERA","Fuera del marco",IF(K591="N/A","Sin marco",IFERROR(INDEX(Catalogo_TIMSS!$F$5:$F$105,MATCH(K591,Catalogo_TIMSS!$A$5:$A$105,0)),"Pendiente de clasificar")))</f>
        <v>Ecosistemas</v>
      </c>
      <c r="O591" s="8" t="str">
        <f aca="false">IF(L591="","",IFERROR(INDEX(Catalogo_TIMSS!$C$5:$C$105,MATCH(L591,Catalogo_TIMSS!$A$5:$A$105,0)),"?"))</f>
        <v/>
      </c>
      <c r="P591" s="8" t="s">
        <v>460</v>
      </c>
      <c r="Q591" s="27" t="s">
        <v>2773</v>
      </c>
      <c r="R591" s="27" t="s">
        <v>2774</v>
      </c>
      <c r="S591" s="28" t="n">
        <f aca="false">IFERROR(ISNUMBER(SEARCH("Conocer",$R591))/(ISNUMBER(SEARCH("Conocer",$R591))+ISNUMBER(SEARCH("Aplicar",$R591))+ISNUMBER(SEARCH("Razonar",$R591))),0)</f>
        <v>1</v>
      </c>
      <c r="T591" s="28" t="n">
        <f aca="false">IFERROR(ISNUMBER(SEARCH("Aplicar",$R591))/(ISNUMBER(SEARCH("Conocer",$R591))+ISNUMBER(SEARCH("Aplicar",$R591))+ISNUMBER(SEARCH("Razonar",$R591))),0)</f>
        <v>0</v>
      </c>
      <c r="U591" s="28" t="n">
        <f aca="false">IFERROR(ISNUMBER(SEARCH("Razonar",$R591))/(ISNUMBER(SEARCH("Conocer",$R591))+ISNUMBER(SEARCH("Aplicar",$R591))+ISNUMBER(SEARCH("Razonar",$R591))),0)</f>
        <v>0</v>
      </c>
      <c r="V591" s="8" t="s">
        <v>53</v>
      </c>
      <c r="W591" s="8" t="s">
        <v>53</v>
      </c>
    </row>
    <row r="592" customFormat="false" ht="15" hidden="false" customHeight="false" outlineLevel="0" collapsed="false">
      <c r="A592" s="8" t="s">
        <v>2775</v>
      </c>
      <c r="B592" s="8" t="n">
        <v>9</v>
      </c>
      <c r="C592" s="8" t="s">
        <v>411</v>
      </c>
      <c r="D592" s="8" t="s">
        <v>2570</v>
      </c>
      <c r="E592" s="8" t="s">
        <v>2730</v>
      </c>
      <c r="F592" s="8" t="n">
        <v>16</v>
      </c>
      <c r="G592" s="8" t="s">
        <v>2731</v>
      </c>
      <c r="H592" s="8" t="s">
        <v>2771</v>
      </c>
      <c r="I592" s="27" t="s">
        <v>2776</v>
      </c>
      <c r="J592" s="8" t="s">
        <v>185</v>
      </c>
      <c r="K592" s="8" t="s">
        <v>211</v>
      </c>
      <c r="L592" s="8" t="s">
        <v>268</v>
      </c>
      <c r="M592" s="8" t="str">
        <f aca="false">IF(K592="FUERA","Fuera del marco",IF(K592="N/A","Sin marco",IFERROR(INDEX(Catalogo_TIMSS!$C$5:$C$105,MATCH(K592,Catalogo_TIMSS!$A$5:$A$105,0)),"Pendiente de clasificar")))</f>
        <v>Biología</v>
      </c>
      <c r="N592" s="8" t="str">
        <f aca="false">IF(K592="FUERA","Fuera del marco",IF(K592="N/A","Sin marco",IFERROR(INDEX(Catalogo_TIMSS!$F$5:$F$105,MATCH(K592,Catalogo_TIMSS!$A$5:$A$105,0)),"Pendiente de clasificar")))</f>
        <v>Ecosistemas</v>
      </c>
      <c r="O592" s="8" t="str">
        <f aca="false">IF(L592="","",IFERROR(INDEX(Catalogo_TIMSS!$C$5:$C$105,MATCH(L592,Catalogo_TIMSS!$A$5:$A$105,0)),"?"))</f>
        <v>Ciencias de la Tierra</v>
      </c>
      <c r="P592" s="8" t="s">
        <v>513</v>
      </c>
      <c r="Q592" s="27" t="s">
        <v>2777</v>
      </c>
      <c r="R592" s="27" t="s">
        <v>2778</v>
      </c>
      <c r="S592" s="28" t="n">
        <f aca="false">IFERROR(ISNUMBER(SEARCH("Conocer",$R592))/(ISNUMBER(SEARCH("Conocer",$R592))+ISNUMBER(SEARCH("Aplicar",$R592))+ISNUMBER(SEARCH("Razonar",$R592))),0)</f>
        <v>0</v>
      </c>
      <c r="T592" s="28" t="n">
        <f aca="false">IFERROR(ISNUMBER(SEARCH("Aplicar",$R592))/(ISNUMBER(SEARCH("Conocer",$R592))+ISNUMBER(SEARCH("Aplicar",$R592))+ISNUMBER(SEARCH("Razonar",$R592))),0)</f>
        <v>1</v>
      </c>
      <c r="U592" s="28" t="n">
        <f aca="false">IFERROR(ISNUMBER(SEARCH("Razonar",$R592))/(ISNUMBER(SEARCH("Conocer",$R592))+ISNUMBER(SEARCH("Aplicar",$R592))+ISNUMBER(SEARCH("Razonar",$R592))),0)</f>
        <v>0</v>
      </c>
      <c r="V592" s="8" t="s">
        <v>53</v>
      </c>
      <c r="W592" s="8" t="s">
        <v>53</v>
      </c>
    </row>
    <row r="593" customFormat="false" ht="15" hidden="false" customHeight="false" outlineLevel="0" collapsed="false">
      <c r="A593" s="8" t="s">
        <v>2779</v>
      </c>
      <c r="B593" s="8" t="n">
        <v>9</v>
      </c>
      <c r="C593" s="8" t="s">
        <v>411</v>
      </c>
      <c r="D593" s="8" t="s">
        <v>2570</v>
      </c>
      <c r="E593" s="8" t="s">
        <v>2730</v>
      </c>
      <c r="F593" s="8" t="n">
        <v>17</v>
      </c>
      <c r="G593" s="8" t="s">
        <v>2731</v>
      </c>
      <c r="H593" s="8" t="s">
        <v>2771</v>
      </c>
      <c r="I593" s="27" t="s">
        <v>2780</v>
      </c>
      <c r="J593" s="8" t="s">
        <v>185</v>
      </c>
      <c r="K593" s="8" t="s">
        <v>205</v>
      </c>
      <c r="L593" s="8" t="s">
        <v>209</v>
      </c>
      <c r="M593" s="8" t="str">
        <f aca="false">IF(K593="FUERA","Fuera del marco",IF(K593="N/A","Sin marco",IFERROR(INDEX(Catalogo_TIMSS!$C$5:$C$105,MATCH(K593,Catalogo_TIMSS!$A$5:$A$105,0)),"Pendiente de clasificar")))</f>
        <v>Biología</v>
      </c>
      <c r="N593" s="8" t="str">
        <f aca="false">IF(K593="FUERA","Fuera del marco",IF(K593="N/A","Sin marco",IFERROR(INDEX(Catalogo_TIMSS!$F$5:$F$105,MATCH(K593,Catalogo_TIMSS!$A$5:$A$105,0)),"Pendiente de clasificar")))</f>
        <v>Ecosistemas</v>
      </c>
      <c r="O593" s="8" t="str">
        <f aca="false">IF(L593="","",IFERROR(INDEX(Catalogo_TIMSS!$C$5:$C$105,MATCH(L593,Catalogo_TIMSS!$A$5:$A$105,0)),"?"))</f>
        <v>Biología</v>
      </c>
      <c r="P593" s="8" t="s">
        <v>418</v>
      </c>
      <c r="Q593" s="27" t="s">
        <v>2781</v>
      </c>
      <c r="R593" s="27" t="s">
        <v>1265</v>
      </c>
      <c r="S593" s="28" t="n">
        <f aca="false">IFERROR(ISNUMBER(SEARCH("Conocer",$R593))/(ISNUMBER(SEARCH("Conocer",$R593))+ISNUMBER(SEARCH("Aplicar",$R593))+ISNUMBER(SEARCH("Razonar",$R593))),0)</f>
        <v>0</v>
      </c>
      <c r="T593" s="28" t="n">
        <f aca="false">IFERROR(ISNUMBER(SEARCH("Aplicar",$R593))/(ISNUMBER(SEARCH("Conocer",$R593))+ISNUMBER(SEARCH("Aplicar",$R593))+ISNUMBER(SEARCH("Razonar",$R593))),0)</f>
        <v>1</v>
      </c>
      <c r="U593" s="28" t="n">
        <f aca="false">IFERROR(ISNUMBER(SEARCH("Razonar",$R593))/(ISNUMBER(SEARCH("Conocer",$R593))+ISNUMBER(SEARCH("Aplicar",$R593))+ISNUMBER(SEARCH("Razonar",$R593))),0)</f>
        <v>0</v>
      </c>
      <c r="V593" s="8" t="s">
        <v>53</v>
      </c>
      <c r="W593" s="8" t="s">
        <v>53</v>
      </c>
    </row>
    <row r="594" customFormat="false" ht="15" hidden="false" customHeight="false" outlineLevel="0" collapsed="false">
      <c r="A594" s="8" t="s">
        <v>2782</v>
      </c>
      <c r="B594" s="8" t="n">
        <v>9</v>
      </c>
      <c r="C594" s="8" t="s">
        <v>411</v>
      </c>
      <c r="D594" s="8" t="s">
        <v>2570</v>
      </c>
      <c r="E594" s="8" t="s">
        <v>2730</v>
      </c>
      <c r="F594" s="8" t="n">
        <v>18</v>
      </c>
      <c r="G594" s="8" t="s">
        <v>2731</v>
      </c>
      <c r="H594" s="8" t="s">
        <v>2771</v>
      </c>
      <c r="I594" s="27" t="s">
        <v>2783</v>
      </c>
      <c r="J594" s="8" t="s">
        <v>185</v>
      </c>
      <c r="K594" s="8" t="s">
        <v>213</v>
      </c>
      <c r="L594" s="8"/>
      <c r="M594" s="8" t="str">
        <f aca="false">IF(K594="FUERA","Fuera del marco",IF(K594="N/A","Sin marco",IFERROR(INDEX(Catalogo_TIMSS!$C$5:$C$105,MATCH(K594,Catalogo_TIMSS!$A$5:$A$105,0)),"Pendiente de clasificar")))</f>
        <v>Biología</v>
      </c>
      <c r="N594" s="8" t="str">
        <f aca="false">IF(K594="FUERA","Fuera del marco",IF(K594="N/A","Sin marco",IFERROR(INDEX(Catalogo_TIMSS!$F$5:$F$105,MATCH(K594,Catalogo_TIMSS!$A$5:$A$105,0)),"Pendiente de clasificar")))</f>
        <v>Ecosistemas</v>
      </c>
      <c r="O594" s="8" t="str">
        <f aca="false">IF(L594="","",IFERROR(INDEX(Catalogo_TIMSS!$C$5:$C$105,MATCH(L594,Catalogo_TIMSS!$A$5:$A$105,0)),"?"))</f>
        <v/>
      </c>
      <c r="P594" s="8" t="s">
        <v>418</v>
      </c>
      <c r="Q594" s="27" t="s">
        <v>2784</v>
      </c>
      <c r="R594" s="27" t="s">
        <v>1573</v>
      </c>
      <c r="S594" s="28" t="n">
        <f aca="false">IFERROR(ISNUMBER(SEARCH("Conocer",$R594))/(ISNUMBER(SEARCH("Conocer",$R594))+ISNUMBER(SEARCH("Aplicar",$R594))+ISNUMBER(SEARCH("Razonar",$R594))),0)</f>
        <v>0</v>
      </c>
      <c r="T594" s="28" t="n">
        <f aca="false">IFERROR(ISNUMBER(SEARCH("Aplicar",$R594))/(ISNUMBER(SEARCH("Conocer",$R594))+ISNUMBER(SEARCH("Aplicar",$R594))+ISNUMBER(SEARCH("Razonar",$R594))),0)</f>
        <v>0</v>
      </c>
      <c r="U594" s="28" t="n">
        <f aca="false">IFERROR(ISNUMBER(SEARCH("Razonar",$R594))/(ISNUMBER(SEARCH("Conocer",$R594))+ISNUMBER(SEARCH("Aplicar",$R594))+ISNUMBER(SEARCH("Razonar",$R594))),0)</f>
        <v>1</v>
      </c>
      <c r="V594" s="8" t="s">
        <v>53</v>
      </c>
      <c r="W594" s="8" t="s">
        <v>53</v>
      </c>
    </row>
    <row r="595" customFormat="false" ht="15" hidden="false" customHeight="false" outlineLevel="0" collapsed="false">
      <c r="A595" s="8" t="s">
        <v>2785</v>
      </c>
      <c r="B595" s="8" t="n">
        <v>9</v>
      </c>
      <c r="C595" s="8" t="s">
        <v>411</v>
      </c>
      <c r="D595" s="8" t="s">
        <v>2570</v>
      </c>
      <c r="E595" s="8" t="s">
        <v>2786</v>
      </c>
      <c r="F595" s="8" t="n">
        <v>3</v>
      </c>
      <c r="G595" s="8" t="s">
        <v>2787</v>
      </c>
      <c r="H595" s="8" t="s">
        <v>2788</v>
      </c>
      <c r="I595" s="27" t="s">
        <v>2789</v>
      </c>
      <c r="J595" s="8" t="s">
        <v>185</v>
      </c>
      <c r="K595" s="8" t="s">
        <v>273</v>
      </c>
      <c r="L595" s="8"/>
      <c r="M595" s="8" t="str">
        <f aca="false">IF(K595="FUERA","Fuera del marco",IF(K595="N/A","Sin marco",IFERROR(INDEX(Catalogo_TIMSS!$C$5:$C$105,MATCH(K595,Catalogo_TIMSS!$A$5:$A$105,0)),"Pendiente de clasificar")))</f>
        <v>Ciencias de la Tierra</v>
      </c>
      <c r="N595" s="8" t="str">
        <f aca="false">IF(K595="FUERA","Fuera del marco",IF(K595="N/A","Sin marco",IFERROR(INDEX(Catalogo_TIMSS!$F$5:$F$105,MATCH(K595,Catalogo_TIMSS!$A$5:$A$105,0)),"Pendiente de clasificar")))</f>
        <v>Procesos, ciclos e historia de la Tierra</v>
      </c>
      <c r="O595" s="8" t="str">
        <f aca="false">IF(L595="","",IFERROR(INDEX(Catalogo_TIMSS!$C$5:$C$105,MATCH(L595,Catalogo_TIMSS!$A$5:$A$105,0)),"?"))</f>
        <v/>
      </c>
      <c r="P595" s="8" t="s">
        <v>418</v>
      </c>
      <c r="Q595" s="27" t="s">
        <v>2790</v>
      </c>
      <c r="R595" s="27" t="s">
        <v>429</v>
      </c>
      <c r="S595" s="28" t="n">
        <f aca="false">IFERROR(ISNUMBER(SEARCH("Conocer",$R595))/(ISNUMBER(SEARCH("Conocer",$R595))+ISNUMBER(SEARCH("Aplicar",$R595))+ISNUMBER(SEARCH("Razonar",$R595))),0)</f>
        <v>0</v>
      </c>
      <c r="T595" s="28" t="n">
        <f aca="false">IFERROR(ISNUMBER(SEARCH("Aplicar",$R595))/(ISNUMBER(SEARCH("Conocer",$R595))+ISNUMBER(SEARCH("Aplicar",$R595))+ISNUMBER(SEARCH("Razonar",$R595))),0)</f>
        <v>1</v>
      </c>
      <c r="U595" s="28" t="n">
        <f aca="false">IFERROR(ISNUMBER(SEARCH("Razonar",$R595))/(ISNUMBER(SEARCH("Conocer",$R595))+ISNUMBER(SEARCH("Aplicar",$R595))+ISNUMBER(SEARCH("Razonar",$R595))),0)</f>
        <v>0</v>
      </c>
      <c r="V595" s="8" t="s">
        <v>53</v>
      </c>
      <c r="W595" s="8" t="s">
        <v>53</v>
      </c>
    </row>
    <row r="596" customFormat="false" ht="15" hidden="false" customHeight="false" outlineLevel="0" collapsed="false">
      <c r="A596" s="8" t="s">
        <v>2791</v>
      </c>
      <c r="B596" s="8" t="n">
        <v>9</v>
      </c>
      <c r="C596" s="8" t="s">
        <v>411</v>
      </c>
      <c r="D596" s="8" t="s">
        <v>2570</v>
      </c>
      <c r="E596" s="8" t="s">
        <v>2786</v>
      </c>
      <c r="F596" s="8" t="n">
        <v>4</v>
      </c>
      <c r="G596" s="8" t="s">
        <v>2787</v>
      </c>
      <c r="H596" s="8" t="s">
        <v>2788</v>
      </c>
      <c r="I596" s="27" t="s">
        <v>2792</v>
      </c>
      <c r="J596" s="8" t="s">
        <v>185</v>
      </c>
      <c r="K596" s="8" t="s">
        <v>273</v>
      </c>
      <c r="L596" s="8"/>
      <c r="M596" s="8" t="str">
        <f aca="false">IF(K596="FUERA","Fuera del marco",IF(K596="N/A","Sin marco",IFERROR(INDEX(Catalogo_TIMSS!$C$5:$C$105,MATCH(K596,Catalogo_TIMSS!$A$5:$A$105,0)),"Pendiente de clasificar")))</f>
        <v>Ciencias de la Tierra</v>
      </c>
      <c r="N596" s="8" t="str">
        <f aca="false">IF(K596="FUERA","Fuera del marco",IF(K596="N/A","Sin marco",IFERROR(INDEX(Catalogo_TIMSS!$F$5:$F$105,MATCH(K596,Catalogo_TIMSS!$A$5:$A$105,0)),"Pendiente de clasificar")))</f>
        <v>Procesos, ciclos e historia de la Tierra</v>
      </c>
      <c r="O596" s="8" t="str">
        <f aca="false">IF(L596="","",IFERROR(INDEX(Catalogo_TIMSS!$C$5:$C$105,MATCH(L596,Catalogo_TIMSS!$A$5:$A$105,0)),"?"))</f>
        <v/>
      </c>
      <c r="P596" s="8" t="s">
        <v>460</v>
      </c>
      <c r="Q596" s="27" t="s">
        <v>2793</v>
      </c>
      <c r="R596" s="27" t="s">
        <v>1529</v>
      </c>
      <c r="S596" s="28" t="n">
        <f aca="false">IFERROR(ISNUMBER(SEARCH("Conocer",$R596))/(ISNUMBER(SEARCH("Conocer",$R596))+ISNUMBER(SEARCH("Aplicar",$R596))+ISNUMBER(SEARCH("Razonar",$R596))),0)</f>
        <v>0</v>
      </c>
      <c r="T596" s="28" t="n">
        <f aca="false">IFERROR(ISNUMBER(SEARCH("Aplicar",$R596))/(ISNUMBER(SEARCH("Conocer",$R596))+ISNUMBER(SEARCH("Aplicar",$R596))+ISNUMBER(SEARCH("Razonar",$R596))),0)</f>
        <v>1</v>
      </c>
      <c r="U596" s="28" t="n">
        <f aca="false">IFERROR(ISNUMBER(SEARCH("Razonar",$R596))/(ISNUMBER(SEARCH("Conocer",$R596))+ISNUMBER(SEARCH("Aplicar",$R596))+ISNUMBER(SEARCH("Razonar",$R596))),0)</f>
        <v>0</v>
      </c>
      <c r="V596" s="8" t="s">
        <v>53</v>
      </c>
      <c r="W596" s="8" t="s">
        <v>53</v>
      </c>
    </row>
    <row r="597" customFormat="false" ht="15" hidden="false" customHeight="false" outlineLevel="0" collapsed="false">
      <c r="A597" s="8" t="s">
        <v>2794</v>
      </c>
      <c r="B597" s="8" t="n">
        <v>9</v>
      </c>
      <c r="C597" s="8" t="s">
        <v>411</v>
      </c>
      <c r="D597" s="8" t="s">
        <v>2570</v>
      </c>
      <c r="E597" s="8" t="s">
        <v>2786</v>
      </c>
      <c r="F597" s="8" t="n">
        <v>5</v>
      </c>
      <c r="G597" s="8" t="s">
        <v>2787</v>
      </c>
      <c r="H597" s="8" t="s">
        <v>2795</v>
      </c>
      <c r="I597" s="27" t="s">
        <v>2796</v>
      </c>
      <c r="J597" s="8" t="s">
        <v>185</v>
      </c>
      <c r="K597" s="8" t="s">
        <v>273</v>
      </c>
      <c r="L597" s="8" t="s">
        <v>268</v>
      </c>
      <c r="M597" s="8" t="str">
        <f aca="false">IF(K597="FUERA","Fuera del marco",IF(K597="N/A","Sin marco",IFERROR(INDEX(Catalogo_TIMSS!$C$5:$C$105,MATCH(K597,Catalogo_TIMSS!$A$5:$A$105,0)),"Pendiente de clasificar")))</f>
        <v>Ciencias de la Tierra</v>
      </c>
      <c r="N597" s="8" t="str">
        <f aca="false">IF(K597="FUERA","Fuera del marco",IF(K597="N/A","Sin marco",IFERROR(INDEX(Catalogo_TIMSS!$F$5:$F$105,MATCH(K597,Catalogo_TIMSS!$A$5:$A$105,0)),"Pendiente de clasificar")))</f>
        <v>Procesos, ciclos e historia de la Tierra</v>
      </c>
      <c r="O597" s="8" t="str">
        <f aca="false">IF(L597="","",IFERROR(INDEX(Catalogo_TIMSS!$C$5:$C$105,MATCH(L597,Catalogo_TIMSS!$A$5:$A$105,0)),"?"))</f>
        <v>Ciencias de la Tierra</v>
      </c>
      <c r="P597" s="8" t="s">
        <v>460</v>
      </c>
      <c r="Q597" s="27" t="s">
        <v>2797</v>
      </c>
      <c r="R597" s="27" t="s">
        <v>1718</v>
      </c>
      <c r="S597" s="28" t="n">
        <f aca="false">IFERROR(ISNUMBER(SEARCH("Conocer",$R597))/(ISNUMBER(SEARCH("Conocer",$R597))+ISNUMBER(SEARCH("Aplicar",$R597))+ISNUMBER(SEARCH("Razonar",$R597))),0)</f>
        <v>1</v>
      </c>
      <c r="T597" s="28" t="n">
        <f aca="false">IFERROR(ISNUMBER(SEARCH("Aplicar",$R597))/(ISNUMBER(SEARCH("Conocer",$R597))+ISNUMBER(SEARCH("Aplicar",$R597))+ISNUMBER(SEARCH("Razonar",$R597))),0)</f>
        <v>0</v>
      </c>
      <c r="U597" s="28" t="n">
        <f aca="false">IFERROR(ISNUMBER(SEARCH("Razonar",$R597))/(ISNUMBER(SEARCH("Conocer",$R597))+ISNUMBER(SEARCH("Aplicar",$R597))+ISNUMBER(SEARCH("Razonar",$R597))),0)</f>
        <v>0</v>
      </c>
      <c r="V597" s="8" t="s">
        <v>53</v>
      </c>
      <c r="W597" s="8" t="s">
        <v>53</v>
      </c>
    </row>
    <row r="598" customFormat="false" ht="15" hidden="false" customHeight="false" outlineLevel="0" collapsed="false">
      <c r="A598" s="8" t="s">
        <v>2798</v>
      </c>
      <c r="B598" s="8" t="n">
        <v>9</v>
      </c>
      <c r="C598" s="8" t="s">
        <v>411</v>
      </c>
      <c r="D598" s="8" t="s">
        <v>2570</v>
      </c>
      <c r="E598" s="8" t="s">
        <v>2786</v>
      </c>
      <c r="F598" s="8" t="n">
        <v>6</v>
      </c>
      <c r="G598" s="8" t="s">
        <v>2787</v>
      </c>
      <c r="H598" s="8" t="s">
        <v>2799</v>
      </c>
      <c r="I598" s="27" t="s">
        <v>2800</v>
      </c>
      <c r="J598" s="8" t="s">
        <v>185</v>
      </c>
      <c r="K598" s="8" t="s">
        <v>273</v>
      </c>
      <c r="L598" s="8"/>
      <c r="M598" s="8" t="str">
        <f aca="false">IF(K598="FUERA","Fuera del marco",IF(K598="N/A","Sin marco",IFERROR(INDEX(Catalogo_TIMSS!$C$5:$C$105,MATCH(K598,Catalogo_TIMSS!$A$5:$A$105,0)),"Pendiente de clasificar")))</f>
        <v>Ciencias de la Tierra</v>
      </c>
      <c r="N598" s="8" t="str">
        <f aca="false">IF(K598="FUERA","Fuera del marco",IF(K598="N/A","Sin marco",IFERROR(INDEX(Catalogo_TIMSS!$F$5:$F$105,MATCH(K598,Catalogo_TIMSS!$A$5:$A$105,0)),"Pendiente de clasificar")))</f>
        <v>Procesos, ciclos e historia de la Tierra</v>
      </c>
      <c r="O598" s="8" t="str">
        <f aca="false">IF(L598="","",IFERROR(INDEX(Catalogo_TIMSS!$C$5:$C$105,MATCH(L598,Catalogo_TIMSS!$A$5:$A$105,0)),"?"))</f>
        <v/>
      </c>
      <c r="P598" s="8" t="s">
        <v>418</v>
      </c>
      <c r="Q598" s="27" t="s">
        <v>2801</v>
      </c>
      <c r="R598" s="27" t="s">
        <v>1464</v>
      </c>
      <c r="S598" s="28" t="n">
        <f aca="false">IFERROR(ISNUMBER(SEARCH("Conocer",$R598))/(ISNUMBER(SEARCH("Conocer",$R598))+ISNUMBER(SEARCH("Aplicar",$R598))+ISNUMBER(SEARCH("Razonar",$R598))),0)</f>
        <v>0</v>
      </c>
      <c r="T598" s="28" t="n">
        <f aca="false">IFERROR(ISNUMBER(SEARCH("Aplicar",$R598))/(ISNUMBER(SEARCH("Conocer",$R598))+ISNUMBER(SEARCH("Aplicar",$R598))+ISNUMBER(SEARCH("Razonar",$R598))),0)</f>
        <v>1</v>
      </c>
      <c r="U598" s="28" t="n">
        <f aca="false">IFERROR(ISNUMBER(SEARCH("Razonar",$R598))/(ISNUMBER(SEARCH("Conocer",$R598))+ISNUMBER(SEARCH("Aplicar",$R598))+ISNUMBER(SEARCH("Razonar",$R598))),0)</f>
        <v>0</v>
      </c>
      <c r="V598" s="8" t="s">
        <v>53</v>
      </c>
      <c r="W598" s="8" t="s">
        <v>53</v>
      </c>
    </row>
    <row r="599" customFormat="false" ht="15" hidden="false" customHeight="false" outlineLevel="0" collapsed="false">
      <c r="A599" s="8" t="s">
        <v>2802</v>
      </c>
      <c r="B599" s="8" t="n">
        <v>9</v>
      </c>
      <c r="C599" s="8" t="s">
        <v>411</v>
      </c>
      <c r="D599" s="8" t="s">
        <v>2570</v>
      </c>
      <c r="E599" s="8" t="s">
        <v>2786</v>
      </c>
      <c r="F599" s="8" t="n">
        <v>7</v>
      </c>
      <c r="G599" s="8" t="s">
        <v>2787</v>
      </c>
      <c r="H599" s="8" t="s">
        <v>2799</v>
      </c>
      <c r="I599" s="27" t="s">
        <v>2803</v>
      </c>
      <c r="J599" s="8" t="s">
        <v>185</v>
      </c>
      <c r="K599" s="8" t="s">
        <v>273</v>
      </c>
      <c r="L599" s="8" t="s">
        <v>268</v>
      </c>
      <c r="M599" s="8" t="str">
        <f aca="false">IF(K599="FUERA","Fuera del marco",IF(K599="N/A","Sin marco",IFERROR(INDEX(Catalogo_TIMSS!$C$5:$C$105,MATCH(K599,Catalogo_TIMSS!$A$5:$A$105,0)),"Pendiente de clasificar")))</f>
        <v>Ciencias de la Tierra</v>
      </c>
      <c r="N599" s="8" t="str">
        <f aca="false">IF(K599="FUERA","Fuera del marco",IF(K599="N/A","Sin marco",IFERROR(INDEX(Catalogo_TIMSS!$F$5:$F$105,MATCH(K599,Catalogo_TIMSS!$A$5:$A$105,0)),"Pendiente de clasificar")))</f>
        <v>Procesos, ciclos e historia de la Tierra</v>
      </c>
      <c r="O599" s="8" t="str">
        <f aca="false">IF(L599="","",IFERROR(INDEX(Catalogo_TIMSS!$C$5:$C$105,MATCH(L599,Catalogo_TIMSS!$A$5:$A$105,0)),"?"))</f>
        <v>Ciencias de la Tierra</v>
      </c>
      <c r="P599" s="8" t="s">
        <v>418</v>
      </c>
      <c r="Q599" s="27" t="s">
        <v>2804</v>
      </c>
      <c r="R599" s="27" t="s">
        <v>642</v>
      </c>
      <c r="S599" s="28" t="n">
        <f aca="false">IFERROR(ISNUMBER(SEARCH("Conocer",$R599))/(ISNUMBER(SEARCH("Conocer",$R599))+ISNUMBER(SEARCH("Aplicar",$R599))+ISNUMBER(SEARCH("Razonar",$R599))),0)</f>
        <v>0</v>
      </c>
      <c r="T599" s="28" t="n">
        <f aca="false">IFERROR(ISNUMBER(SEARCH("Aplicar",$R599))/(ISNUMBER(SEARCH("Conocer",$R599))+ISNUMBER(SEARCH("Aplicar",$R599))+ISNUMBER(SEARCH("Razonar",$R599))),0)</f>
        <v>1</v>
      </c>
      <c r="U599" s="28" t="n">
        <f aca="false">IFERROR(ISNUMBER(SEARCH("Razonar",$R599))/(ISNUMBER(SEARCH("Conocer",$R599))+ISNUMBER(SEARCH("Aplicar",$R599))+ISNUMBER(SEARCH("Razonar",$R599))),0)</f>
        <v>0</v>
      </c>
      <c r="V599" s="8" t="s">
        <v>53</v>
      </c>
      <c r="W599" s="8" t="s">
        <v>53</v>
      </c>
    </row>
    <row r="600" customFormat="false" ht="15" hidden="false" customHeight="false" outlineLevel="0" collapsed="false">
      <c r="A600" s="8" t="s">
        <v>2805</v>
      </c>
      <c r="B600" s="8" t="n">
        <v>9</v>
      </c>
      <c r="C600" s="8" t="s">
        <v>411</v>
      </c>
      <c r="D600" s="8" t="s">
        <v>2570</v>
      </c>
      <c r="E600" s="8" t="s">
        <v>2786</v>
      </c>
      <c r="F600" s="8" t="n">
        <v>8</v>
      </c>
      <c r="G600" s="8" t="s">
        <v>2787</v>
      </c>
      <c r="H600" s="8" t="s">
        <v>2799</v>
      </c>
      <c r="I600" s="27" t="s">
        <v>2806</v>
      </c>
      <c r="J600" s="8" t="s">
        <v>185</v>
      </c>
      <c r="K600" s="8" t="s">
        <v>288</v>
      </c>
      <c r="L600" s="8" t="s">
        <v>273</v>
      </c>
      <c r="M600" s="8" t="str">
        <f aca="false">IF(K600="FUERA","Fuera del marco",IF(K600="N/A","Sin marco",IFERROR(INDEX(Catalogo_TIMSS!$C$5:$C$105,MATCH(K600,Catalogo_TIMSS!$A$5:$A$105,0)),"Pendiente de clasificar")))</f>
        <v>Ciencias de la Tierra</v>
      </c>
      <c r="N600" s="8" t="str">
        <f aca="false">IF(K600="FUERA","Fuera del marco",IF(K600="N/A","Sin marco",IFERROR(INDEX(Catalogo_TIMSS!$F$5:$F$105,MATCH(K600,Catalogo_TIMSS!$A$5:$A$105,0)),"Pendiente de clasificar")))</f>
        <v>La Tierra en el Sistema Solar y el Universo</v>
      </c>
      <c r="O600" s="8" t="str">
        <f aca="false">IF(L600="","",IFERROR(INDEX(Catalogo_TIMSS!$C$5:$C$105,MATCH(L600,Catalogo_TIMSS!$A$5:$A$105,0)),"?"))</f>
        <v>Ciencias de la Tierra</v>
      </c>
      <c r="P600" s="8" t="s">
        <v>460</v>
      </c>
      <c r="Q600" s="27" t="s">
        <v>2807</v>
      </c>
      <c r="R600" s="27" t="s">
        <v>2808</v>
      </c>
      <c r="S600" s="28" t="n">
        <f aca="false">IFERROR(ISNUMBER(SEARCH("Conocer",$R600))/(ISNUMBER(SEARCH("Conocer",$R600))+ISNUMBER(SEARCH("Aplicar",$R600))+ISNUMBER(SEARCH("Razonar",$R600))),0)</f>
        <v>0</v>
      </c>
      <c r="T600" s="28" t="n">
        <f aca="false">IFERROR(ISNUMBER(SEARCH("Aplicar",$R600))/(ISNUMBER(SEARCH("Conocer",$R600))+ISNUMBER(SEARCH("Aplicar",$R600))+ISNUMBER(SEARCH("Razonar",$R600))),0)</f>
        <v>1</v>
      </c>
      <c r="U600" s="28" t="n">
        <f aca="false">IFERROR(ISNUMBER(SEARCH("Razonar",$R600))/(ISNUMBER(SEARCH("Conocer",$R600))+ISNUMBER(SEARCH("Aplicar",$R600))+ISNUMBER(SEARCH("Razonar",$R600))),0)</f>
        <v>0</v>
      </c>
      <c r="V600" s="8" t="s">
        <v>53</v>
      </c>
      <c r="W600" s="8" t="s">
        <v>53</v>
      </c>
    </row>
    <row r="601" customFormat="false" ht="15" hidden="false" customHeight="false" outlineLevel="0" collapsed="false">
      <c r="A601" s="8" t="s">
        <v>2809</v>
      </c>
      <c r="B601" s="8" t="n">
        <v>9</v>
      </c>
      <c r="C601" s="8" t="s">
        <v>411</v>
      </c>
      <c r="D601" s="8" t="s">
        <v>2570</v>
      </c>
      <c r="E601" s="8" t="s">
        <v>2786</v>
      </c>
      <c r="F601" s="8" t="n">
        <v>9</v>
      </c>
      <c r="G601" s="8" t="s">
        <v>2787</v>
      </c>
      <c r="H601" s="8" t="s">
        <v>2799</v>
      </c>
      <c r="I601" s="27" t="s">
        <v>2810</v>
      </c>
      <c r="J601" s="8" t="s">
        <v>185</v>
      </c>
      <c r="K601" s="8" t="s">
        <v>273</v>
      </c>
      <c r="L601" s="8"/>
      <c r="M601" s="8" t="str">
        <f aca="false">IF(K601="FUERA","Fuera del marco",IF(K601="N/A","Sin marco",IFERROR(INDEX(Catalogo_TIMSS!$C$5:$C$105,MATCH(K601,Catalogo_TIMSS!$A$5:$A$105,0)),"Pendiente de clasificar")))</f>
        <v>Ciencias de la Tierra</v>
      </c>
      <c r="N601" s="8" t="str">
        <f aca="false">IF(K601="FUERA","Fuera del marco",IF(K601="N/A","Sin marco",IFERROR(INDEX(Catalogo_TIMSS!$F$5:$F$105,MATCH(K601,Catalogo_TIMSS!$A$5:$A$105,0)),"Pendiente de clasificar")))</f>
        <v>Procesos, ciclos e historia de la Tierra</v>
      </c>
      <c r="O601" s="8" t="str">
        <f aca="false">IF(L601="","",IFERROR(INDEX(Catalogo_TIMSS!$C$5:$C$105,MATCH(L601,Catalogo_TIMSS!$A$5:$A$105,0)),"?"))</f>
        <v/>
      </c>
      <c r="P601" s="8" t="s">
        <v>418</v>
      </c>
      <c r="Q601" s="27" t="s">
        <v>2811</v>
      </c>
      <c r="R601" s="27" t="s">
        <v>879</v>
      </c>
      <c r="S601" s="28" t="n">
        <f aca="false">IFERROR(ISNUMBER(SEARCH("Conocer",$R601))/(ISNUMBER(SEARCH("Conocer",$R601))+ISNUMBER(SEARCH("Aplicar",$R601))+ISNUMBER(SEARCH("Razonar",$R601))),0)</f>
        <v>0</v>
      </c>
      <c r="T601" s="28" t="n">
        <f aca="false">IFERROR(ISNUMBER(SEARCH("Aplicar",$R601))/(ISNUMBER(SEARCH("Conocer",$R601))+ISNUMBER(SEARCH("Aplicar",$R601))+ISNUMBER(SEARCH("Razonar",$R601))),0)</f>
        <v>1</v>
      </c>
      <c r="U601" s="28" t="n">
        <f aca="false">IFERROR(ISNUMBER(SEARCH("Razonar",$R601))/(ISNUMBER(SEARCH("Conocer",$R601))+ISNUMBER(SEARCH("Aplicar",$R601))+ISNUMBER(SEARCH("Razonar",$R601))),0)</f>
        <v>0</v>
      </c>
      <c r="V601" s="8" t="s">
        <v>53</v>
      </c>
      <c r="W601" s="8" t="s">
        <v>53</v>
      </c>
    </row>
    <row r="602" customFormat="false" ht="15" hidden="false" customHeight="false" outlineLevel="0" collapsed="false">
      <c r="A602" s="8" t="s">
        <v>2812</v>
      </c>
      <c r="B602" s="8" t="n">
        <v>9</v>
      </c>
      <c r="C602" s="8" t="s">
        <v>411</v>
      </c>
      <c r="D602" s="8" t="s">
        <v>2570</v>
      </c>
      <c r="E602" s="8" t="s">
        <v>2786</v>
      </c>
      <c r="F602" s="8" t="n">
        <v>10</v>
      </c>
      <c r="G602" s="8" t="s">
        <v>2787</v>
      </c>
      <c r="H602" s="8" t="s">
        <v>2813</v>
      </c>
      <c r="I602" s="27" t="s">
        <v>2814</v>
      </c>
      <c r="J602" s="8" t="s">
        <v>185</v>
      </c>
      <c r="K602" s="8" t="s">
        <v>273</v>
      </c>
      <c r="L602" s="8"/>
      <c r="M602" s="8" t="str">
        <f aca="false">IF(K602="FUERA","Fuera del marco",IF(K602="N/A","Sin marco",IFERROR(INDEX(Catalogo_TIMSS!$C$5:$C$105,MATCH(K602,Catalogo_TIMSS!$A$5:$A$105,0)),"Pendiente de clasificar")))</f>
        <v>Ciencias de la Tierra</v>
      </c>
      <c r="N602" s="8" t="str">
        <f aca="false">IF(K602="FUERA","Fuera del marco",IF(K602="N/A","Sin marco",IFERROR(INDEX(Catalogo_TIMSS!$F$5:$F$105,MATCH(K602,Catalogo_TIMSS!$A$5:$A$105,0)),"Pendiente de clasificar")))</f>
        <v>Procesos, ciclos e historia de la Tierra</v>
      </c>
      <c r="O602" s="8" t="str">
        <f aca="false">IF(L602="","",IFERROR(INDEX(Catalogo_TIMSS!$C$5:$C$105,MATCH(L602,Catalogo_TIMSS!$A$5:$A$105,0)),"?"))</f>
        <v/>
      </c>
      <c r="P602" s="8" t="s">
        <v>418</v>
      </c>
      <c r="Q602" s="27" t="s">
        <v>2815</v>
      </c>
      <c r="R602" s="27" t="s">
        <v>2816</v>
      </c>
      <c r="S602" s="28" t="n">
        <f aca="false">IFERROR(ISNUMBER(SEARCH("Conocer",$R602))/(ISNUMBER(SEARCH("Conocer",$R602))+ISNUMBER(SEARCH("Aplicar",$R602))+ISNUMBER(SEARCH("Razonar",$R602))),0)</f>
        <v>0</v>
      </c>
      <c r="T602" s="28" t="n">
        <f aca="false">IFERROR(ISNUMBER(SEARCH("Aplicar",$R602))/(ISNUMBER(SEARCH("Conocer",$R602))+ISNUMBER(SEARCH("Aplicar",$R602))+ISNUMBER(SEARCH("Razonar",$R602))),0)</f>
        <v>1</v>
      </c>
      <c r="U602" s="28" t="n">
        <f aca="false">IFERROR(ISNUMBER(SEARCH("Razonar",$R602))/(ISNUMBER(SEARCH("Conocer",$R602))+ISNUMBER(SEARCH("Aplicar",$R602))+ISNUMBER(SEARCH("Razonar",$R602))),0)</f>
        <v>0</v>
      </c>
      <c r="V602" s="8" t="s">
        <v>53</v>
      </c>
      <c r="W602" s="8" t="s">
        <v>53</v>
      </c>
    </row>
    <row r="603" customFormat="false" ht="15" hidden="false" customHeight="false" outlineLevel="0" collapsed="false">
      <c r="A603" s="8" t="s">
        <v>2817</v>
      </c>
      <c r="B603" s="8" t="n">
        <v>9</v>
      </c>
      <c r="C603" s="8" t="s">
        <v>411</v>
      </c>
      <c r="D603" s="8" t="s">
        <v>2570</v>
      </c>
      <c r="E603" s="8" t="s">
        <v>2786</v>
      </c>
      <c r="F603" s="8" t="n">
        <v>11</v>
      </c>
      <c r="G603" s="8" t="s">
        <v>2787</v>
      </c>
      <c r="H603" s="8" t="s">
        <v>2813</v>
      </c>
      <c r="I603" s="27" t="s">
        <v>2818</v>
      </c>
      <c r="J603" s="8" t="s">
        <v>185</v>
      </c>
      <c r="K603" s="8" t="s">
        <v>273</v>
      </c>
      <c r="L603" s="8" t="s">
        <v>268</v>
      </c>
      <c r="M603" s="8" t="str">
        <f aca="false">IF(K603="FUERA","Fuera del marco",IF(K603="N/A","Sin marco",IFERROR(INDEX(Catalogo_TIMSS!$C$5:$C$105,MATCH(K603,Catalogo_TIMSS!$A$5:$A$105,0)),"Pendiente de clasificar")))</f>
        <v>Ciencias de la Tierra</v>
      </c>
      <c r="N603" s="8" t="str">
        <f aca="false">IF(K603="FUERA","Fuera del marco",IF(K603="N/A","Sin marco",IFERROR(INDEX(Catalogo_TIMSS!$F$5:$F$105,MATCH(K603,Catalogo_TIMSS!$A$5:$A$105,0)),"Pendiente de clasificar")))</f>
        <v>Procesos, ciclos e historia de la Tierra</v>
      </c>
      <c r="O603" s="8" t="str">
        <f aca="false">IF(L603="","",IFERROR(INDEX(Catalogo_TIMSS!$C$5:$C$105,MATCH(L603,Catalogo_TIMSS!$A$5:$A$105,0)),"?"))</f>
        <v>Ciencias de la Tierra</v>
      </c>
      <c r="P603" s="8" t="s">
        <v>460</v>
      </c>
      <c r="Q603" s="27" t="s">
        <v>2819</v>
      </c>
      <c r="R603" s="27" t="s">
        <v>2820</v>
      </c>
      <c r="S603" s="28" t="n">
        <f aca="false">IFERROR(ISNUMBER(SEARCH("Conocer",$R603))/(ISNUMBER(SEARCH("Conocer",$R603))+ISNUMBER(SEARCH("Aplicar",$R603))+ISNUMBER(SEARCH("Razonar",$R603))),0)</f>
        <v>0</v>
      </c>
      <c r="T603" s="28" t="n">
        <f aca="false">IFERROR(ISNUMBER(SEARCH("Aplicar",$R603))/(ISNUMBER(SEARCH("Conocer",$R603))+ISNUMBER(SEARCH("Aplicar",$R603))+ISNUMBER(SEARCH("Razonar",$R603))),0)</f>
        <v>0.5</v>
      </c>
      <c r="U603" s="28" t="n">
        <f aca="false">IFERROR(ISNUMBER(SEARCH("Razonar",$R603))/(ISNUMBER(SEARCH("Conocer",$R603))+ISNUMBER(SEARCH("Aplicar",$R603))+ISNUMBER(SEARCH("Razonar",$R603))),0)</f>
        <v>0.5</v>
      </c>
      <c r="V603" s="8" t="s">
        <v>53</v>
      </c>
      <c r="W603" s="8" t="s">
        <v>53</v>
      </c>
    </row>
    <row r="604" customFormat="false" ht="15" hidden="false" customHeight="false" outlineLevel="0" collapsed="false">
      <c r="A604" s="8" t="s">
        <v>2821</v>
      </c>
      <c r="B604" s="8" t="n">
        <v>9</v>
      </c>
      <c r="C604" s="8" t="s">
        <v>411</v>
      </c>
      <c r="D604" s="8" t="s">
        <v>2570</v>
      </c>
      <c r="E604" s="8" t="s">
        <v>2786</v>
      </c>
      <c r="F604" s="8" t="n">
        <v>12</v>
      </c>
      <c r="G604" s="8" t="s">
        <v>2787</v>
      </c>
      <c r="H604" s="8" t="s">
        <v>2813</v>
      </c>
      <c r="I604" s="27" t="s">
        <v>2822</v>
      </c>
      <c r="J604" s="8" t="s">
        <v>185</v>
      </c>
      <c r="K604" s="8" t="s">
        <v>273</v>
      </c>
      <c r="L604" s="8"/>
      <c r="M604" s="8" t="str">
        <f aca="false">IF(K604="FUERA","Fuera del marco",IF(K604="N/A","Sin marco",IFERROR(INDEX(Catalogo_TIMSS!$C$5:$C$105,MATCH(K604,Catalogo_TIMSS!$A$5:$A$105,0)),"Pendiente de clasificar")))</f>
        <v>Ciencias de la Tierra</v>
      </c>
      <c r="N604" s="8" t="str">
        <f aca="false">IF(K604="FUERA","Fuera del marco",IF(K604="N/A","Sin marco",IFERROR(INDEX(Catalogo_TIMSS!$F$5:$F$105,MATCH(K604,Catalogo_TIMSS!$A$5:$A$105,0)),"Pendiente de clasificar")))</f>
        <v>Procesos, ciclos e historia de la Tierra</v>
      </c>
      <c r="O604" s="8" t="str">
        <f aca="false">IF(L604="","",IFERROR(INDEX(Catalogo_TIMSS!$C$5:$C$105,MATCH(L604,Catalogo_TIMSS!$A$5:$A$105,0)),"?"))</f>
        <v/>
      </c>
      <c r="P604" s="8" t="s">
        <v>418</v>
      </c>
      <c r="Q604" s="27" t="s">
        <v>2823</v>
      </c>
      <c r="R604" s="27" t="s">
        <v>2824</v>
      </c>
      <c r="S604" s="28" t="n">
        <f aca="false">IFERROR(ISNUMBER(SEARCH("Conocer",$R604))/(ISNUMBER(SEARCH("Conocer",$R604))+ISNUMBER(SEARCH("Aplicar",$R604))+ISNUMBER(SEARCH("Razonar",$R604))),0)</f>
        <v>0</v>
      </c>
      <c r="T604" s="28" t="n">
        <f aca="false">IFERROR(ISNUMBER(SEARCH("Aplicar",$R604))/(ISNUMBER(SEARCH("Conocer",$R604))+ISNUMBER(SEARCH("Aplicar",$R604))+ISNUMBER(SEARCH("Razonar",$R604))),0)</f>
        <v>0.5</v>
      </c>
      <c r="U604" s="28" t="n">
        <f aca="false">IFERROR(ISNUMBER(SEARCH("Razonar",$R604))/(ISNUMBER(SEARCH("Conocer",$R604))+ISNUMBER(SEARCH("Aplicar",$R604))+ISNUMBER(SEARCH("Razonar",$R604))),0)</f>
        <v>0.5</v>
      </c>
      <c r="V604" s="8" t="s">
        <v>53</v>
      </c>
      <c r="W604" s="8" t="s">
        <v>53</v>
      </c>
    </row>
    <row r="605" customFormat="false" ht="15" hidden="false" customHeight="false" outlineLevel="0" collapsed="false">
      <c r="A605" s="8" t="s">
        <v>2825</v>
      </c>
      <c r="B605" s="8" t="n">
        <v>9</v>
      </c>
      <c r="C605" s="8" t="s">
        <v>411</v>
      </c>
      <c r="D605" s="8" t="s">
        <v>2570</v>
      </c>
      <c r="E605" s="8" t="s">
        <v>2786</v>
      </c>
      <c r="F605" s="8" t="n">
        <v>13</v>
      </c>
      <c r="G605" s="8" t="s">
        <v>2787</v>
      </c>
      <c r="H605" s="8" t="s">
        <v>2826</v>
      </c>
      <c r="I605" s="27" t="s">
        <v>2827</v>
      </c>
      <c r="J605" s="8" t="s">
        <v>185</v>
      </c>
      <c r="K605" s="8" t="s">
        <v>417</v>
      </c>
      <c r="L605" s="8"/>
      <c r="M605" s="8" t="str">
        <f aca="false">IF(K605="FUERA","Fuera del marco",IF(K605="N/A","Sin marco",IFERROR(INDEX(Catalogo_TIMSS!$C$5:$C$105,MATCH(K605,Catalogo_TIMSS!$A$5:$A$105,0)),"Pendiente de clasificar")))</f>
        <v>Fuera del marco</v>
      </c>
      <c r="N605" s="8" t="str">
        <f aca="false">IF(K605="FUERA","Fuera del marco",IF(K605="N/A","Sin marco",IFERROR(INDEX(Catalogo_TIMSS!$F$5:$F$105,MATCH(K605,Catalogo_TIMSS!$A$5:$A$105,0)),"Pendiente de clasificar")))</f>
        <v>Fuera del marco</v>
      </c>
      <c r="O605" s="8" t="str">
        <f aca="false">IF(L605="","",IFERROR(INDEX(Catalogo_TIMSS!$C$5:$C$105,MATCH(L605,Catalogo_TIMSS!$A$5:$A$105,0)),"?"))</f>
        <v/>
      </c>
      <c r="P605" s="8" t="s">
        <v>418</v>
      </c>
      <c r="Q605" s="27" t="s">
        <v>2828</v>
      </c>
      <c r="R605" s="27" t="s">
        <v>1102</v>
      </c>
      <c r="S605" s="28" t="n">
        <f aca="false">IFERROR(ISNUMBER(SEARCH("Conocer",$R605))/(ISNUMBER(SEARCH("Conocer",$R605))+ISNUMBER(SEARCH("Aplicar",$R605))+ISNUMBER(SEARCH("Razonar",$R605))),0)</f>
        <v>0.5</v>
      </c>
      <c r="T605" s="28" t="n">
        <f aca="false">IFERROR(ISNUMBER(SEARCH("Aplicar",$R605))/(ISNUMBER(SEARCH("Conocer",$R605))+ISNUMBER(SEARCH("Aplicar",$R605))+ISNUMBER(SEARCH("Razonar",$R605))),0)</f>
        <v>0</v>
      </c>
      <c r="U605" s="28" t="n">
        <f aca="false">IFERROR(ISNUMBER(SEARCH("Razonar",$R605))/(ISNUMBER(SEARCH("Conocer",$R605))+ISNUMBER(SEARCH("Aplicar",$R605))+ISNUMBER(SEARCH("Razonar",$R605))),0)</f>
        <v>0.5</v>
      </c>
      <c r="V605" s="8" t="s">
        <v>53</v>
      </c>
      <c r="W605" s="8" t="s">
        <v>53</v>
      </c>
    </row>
    <row r="606" customFormat="false" ht="15" hidden="false" customHeight="false" outlineLevel="0" collapsed="false">
      <c r="A606" s="8" t="s">
        <v>2829</v>
      </c>
      <c r="B606" s="8" t="n">
        <v>9</v>
      </c>
      <c r="C606" s="8" t="s">
        <v>411</v>
      </c>
      <c r="D606" s="8" t="s">
        <v>2570</v>
      </c>
      <c r="E606" s="8" t="s">
        <v>2830</v>
      </c>
      <c r="F606" s="8" t="n">
        <v>3</v>
      </c>
      <c r="G606" s="8" t="s">
        <v>2831</v>
      </c>
      <c r="H606" s="8" t="s">
        <v>2832</v>
      </c>
      <c r="I606" s="27" t="s">
        <v>2833</v>
      </c>
      <c r="J606" s="8" t="s">
        <v>185</v>
      </c>
      <c r="K606" s="8" t="s">
        <v>257</v>
      </c>
      <c r="L606" s="8"/>
      <c r="M606" s="8" t="str">
        <f aca="false">IF(K606="FUERA","Fuera del marco",IF(K606="N/A","Sin marco",IFERROR(INDEX(Catalogo_TIMSS!$C$5:$C$105,MATCH(K606,Catalogo_TIMSS!$A$5:$A$105,0)),"Pendiente de clasificar")))</f>
        <v>Física</v>
      </c>
      <c r="N606" s="8" t="str">
        <f aca="false">IF(K606="FUERA","Fuera del marco",IF(K606="N/A","Sin marco",IFERROR(INDEX(Catalogo_TIMSS!$F$5:$F$105,MATCH(K606,Catalogo_TIMSS!$A$5:$A$105,0)),"Pendiente de clasificar")))</f>
        <v>Electricidad y magnetismo</v>
      </c>
      <c r="O606" s="8" t="str">
        <f aca="false">IF(L606="","",IFERROR(INDEX(Catalogo_TIMSS!$C$5:$C$105,MATCH(L606,Catalogo_TIMSS!$A$5:$A$105,0)),"?"))</f>
        <v/>
      </c>
      <c r="P606" s="8" t="s">
        <v>513</v>
      </c>
      <c r="Q606" s="27" t="s">
        <v>2834</v>
      </c>
      <c r="R606" s="27" t="s">
        <v>1501</v>
      </c>
      <c r="S606" s="28" t="n">
        <f aca="false">IFERROR(ISNUMBER(SEARCH("Conocer",$R606))/(ISNUMBER(SEARCH("Conocer",$R606))+ISNUMBER(SEARCH("Aplicar",$R606))+ISNUMBER(SEARCH("Razonar",$R606))),0)</f>
        <v>0</v>
      </c>
      <c r="T606" s="28" t="n">
        <f aca="false">IFERROR(ISNUMBER(SEARCH("Aplicar",$R606))/(ISNUMBER(SEARCH("Conocer",$R606))+ISNUMBER(SEARCH("Aplicar",$R606))+ISNUMBER(SEARCH("Razonar",$R606))),0)</f>
        <v>1</v>
      </c>
      <c r="U606" s="28" t="n">
        <f aca="false">IFERROR(ISNUMBER(SEARCH("Razonar",$R606))/(ISNUMBER(SEARCH("Conocer",$R606))+ISNUMBER(SEARCH("Aplicar",$R606))+ISNUMBER(SEARCH("Razonar",$R606))),0)</f>
        <v>0</v>
      </c>
      <c r="V606" s="8" t="s">
        <v>53</v>
      </c>
      <c r="W606" s="8" t="s">
        <v>53</v>
      </c>
    </row>
    <row r="607" customFormat="false" ht="15" hidden="false" customHeight="false" outlineLevel="0" collapsed="false">
      <c r="A607" s="8" t="s">
        <v>2835</v>
      </c>
      <c r="B607" s="8" t="n">
        <v>9</v>
      </c>
      <c r="C607" s="8" t="s">
        <v>411</v>
      </c>
      <c r="D607" s="8" t="s">
        <v>2570</v>
      </c>
      <c r="E607" s="8" t="s">
        <v>2830</v>
      </c>
      <c r="F607" s="8" t="n">
        <v>4</v>
      </c>
      <c r="G607" s="8" t="s">
        <v>2831</v>
      </c>
      <c r="H607" s="8" t="s">
        <v>2832</v>
      </c>
      <c r="I607" s="27" t="s">
        <v>2836</v>
      </c>
      <c r="J607" s="8" t="s">
        <v>185</v>
      </c>
      <c r="K607" s="8" t="s">
        <v>257</v>
      </c>
      <c r="L607" s="8" t="s">
        <v>264</v>
      </c>
      <c r="M607" s="8" t="str">
        <f aca="false">IF(K607="FUERA","Fuera del marco",IF(K607="N/A","Sin marco",IFERROR(INDEX(Catalogo_TIMSS!$C$5:$C$105,MATCH(K607,Catalogo_TIMSS!$A$5:$A$105,0)),"Pendiente de clasificar")))</f>
        <v>Física</v>
      </c>
      <c r="N607" s="8" t="str">
        <f aca="false">IF(K607="FUERA","Fuera del marco",IF(K607="N/A","Sin marco",IFERROR(INDEX(Catalogo_TIMSS!$F$5:$F$105,MATCH(K607,Catalogo_TIMSS!$A$5:$A$105,0)),"Pendiente de clasificar")))</f>
        <v>Electricidad y magnetismo</v>
      </c>
      <c r="O607" s="8" t="str">
        <f aca="false">IF(L607="","",IFERROR(INDEX(Catalogo_TIMSS!$C$5:$C$105,MATCH(L607,Catalogo_TIMSS!$A$5:$A$105,0)),"?"))</f>
        <v>Física</v>
      </c>
      <c r="P607" s="8" t="s">
        <v>513</v>
      </c>
      <c r="Q607" s="27" t="s">
        <v>2837</v>
      </c>
      <c r="R607" s="27" t="s">
        <v>2473</v>
      </c>
      <c r="S607" s="28" t="n">
        <f aca="false">IFERROR(ISNUMBER(SEARCH("Conocer",$R607))/(ISNUMBER(SEARCH("Conocer",$R607))+ISNUMBER(SEARCH("Aplicar",$R607))+ISNUMBER(SEARCH("Razonar",$R607))),0)</f>
        <v>0</v>
      </c>
      <c r="T607" s="28" t="n">
        <f aca="false">IFERROR(ISNUMBER(SEARCH("Aplicar",$R607))/(ISNUMBER(SEARCH("Conocer",$R607))+ISNUMBER(SEARCH("Aplicar",$R607))+ISNUMBER(SEARCH("Razonar",$R607))),0)</f>
        <v>1</v>
      </c>
      <c r="U607" s="28" t="n">
        <f aca="false">IFERROR(ISNUMBER(SEARCH("Razonar",$R607))/(ISNUMBER(SEARCH("Conocer",$R607))+ISNUMBER(SEARCH("Aplicar",$R607))+ISNUMBER(SEARCH("Razonar",$R607))),0)</f>
        <v>0</v>
      </c>
      <c r="V607" s="8" t="s">
        <v>53</v>
      </c>
      <c r="W607" s="8" t="s">
        <v>53</v>
      </c>
    </row>
    <row r="608" customFormat="false" ht="15" hidden="false" customHeight="false" outlineLevel="0" collapsed="false">
      <c r="A608" s="8" t="s">
        <v>2838</v>
      </c>
      <c r="B608" s="8" t="n">
        <v>9</v>
      </c>
      <c r="C608" s="8" t="s">
        <v>411</v>
      </c>
      <c r="D608" s="8" t="s">
        <v>2570</v>
      </c>
      <c r="E608" s="8" t="s">
        <v>2830</v>
      </c>
      <c r="F608" s="8" t="n">
        <v>5</v>
      </c>
      <c r="G608" s="8" t="s">
        <v>2831</v>
      </c>
      <c r="H608" s="8" t="s">
        <v>2832</v>
      </c>
      <c r="I608" s="27" t="s">
        <v>2839</v>
      </c>
      <c r="J608" s="8" t="s">
        <v>185</v>
      </c>
      <c r="K608" s="8" t="s">
        <v>264</v>
      </c>
      <c r="L608" s="8" t="s">
        <v>257</v>
      </c>
      <c r="M608" s="8" t="str">
        <f aca="false">IF(K608="FUERA","Fuera del marco",IF(K608="N/A","Sin marco",IFERROR(INDEX(Catalogo_TIMSS!$C$5:$C$105,MATCH(K608,Catalogo_TIMSS!$A$5:$A$105,0)),"Pendiente de clasificar")))</f>
        <v>Física</v>
      </c>
      <c r="N608" s="8" t="str">
        <f aca="false">IF(K608="FUERA","Fuera del marco",IF(K608="N/A","Sin marco",IFERROR(INDEX(Catalogo_TIMSS!$F$5:$F$105,MATCH(K608,Catalogo_TIMSS!$A$5:$A$105,0)),"Pendiente de clasificar")))</f>
        <v>Movimiento y fuerzas</v>
      </c>
      <c r="O608" s="8" t="str">
        <f aca="false">IF(L608="","",IFERROR(INDEX(Catalogo_TIMSS!$C$5:$C$105,MATCH(L608,Catalogo_TIMSS!$A$5:$A$105,0)),"?"))</f>
        <v>Física</v>
      </c>
      <c r="P608" s="8" t="s">
        <v>513</v>
      </c>
      <c r="Q608" s="27" t="s">
        <v>2840</v>
      </c>
      <c r="R608" s="27" t="s">
        <v>1408</v>
      </c>
      <c r="S608" s="28" t="n">
        <f aca="false">IFERROR(ISNUMBER(SEARCH("Conocer",$R608))/(ISNUMBER(SEARCH("Conocer",$R608))+ISNUMBER(SEARCH("Aplicar",$R608))+ISNUMBER(SEARCH("Razonar",$R608))),0)</f>
        <v>0</v>
      </c>
      <c r="T608" s="28" t="n">
        <f aca="false">IFERROR(ISNUMBER(SEARCH("Aplicar",$R608))/(ISNUMBER(SEARCH("Conocer",$R608))+ISNUMBER(SEARCH("Aplicar",$R608))+ISNUMBER(SEARCH("Razonar",$R608))),0)</f>
        <v>1</v>
      </c>
      <c r="U608" s="28" t="n">
        <f aca="false">IFERROR(ISNUMBER(SEARCH("Razonar",$R608))/(ISNUMBER(SEARCH("Conocer",$R608))+ISNUMBER(SEARCH("Aplicar",$R608))+ISNUMBER(SEARCH("Razonar",$R608))),0)</f>
        <v>0</v>
      </c>
      <c r="V608" s="8" t="s">
        <v>53</v>
      </c>
      <c r="W608" s="8" t="s">
        <v>53</v>
      </c>
    </row>
    <row r="609" customFormat="false" ht="15" hidden="false" customHeight="false" outlineLevel="0" collapsed="false">
      <c r="A609" s="8" t="s">
        <v>2841</v>
      </c>
      <c r="B609" s="8" t="n">
        <v>9</v>
      </c>
      <c r="C609" s="8" t="s">
        <v>411</v>
      </c>
      <c r="D609" s="8" t="s">
        <v>2570</v>
      </c>
      <c r="E609" s="8" t="s">
        <v>2830</v>
      </c>
      <c r="F609" s="8" t="n">
        <v>6</v>
      </c>
      <c r="G609" s="8" t="s">
        <v>2831</v>
      </c>
      <c r="H609" s="8" t="s">
        <v>2842</v>
      </c>
      <c r="I609" s="27" t="s">
        <v>2843</v>
      </c>
      <c r="J609" s="8" t="s">
        <v>185</v>
      </c>
      <c r="K609" s="8" t="s">
        <v>417</v>
      </c>
      <c r="L609" s="8"/>
      <c r="M609" s="8" t="str">
        <f aca="false">IF(K609="FUERA","Fuera del marco",IF(K609="N/A","Sin marco",IFERROR(INDEX(Catalogo_TIMSS!$C$5:$C$105,MATCH(K609,Catalogo_TIMSS!$A$5:$A$105,0)),"Pendiente de clasificar")))</f>
        <v>Fuera del marco</v>
      </c>
      <c r="N609" s="8" t="str">
        <f aca="false">IF(K609="FUERA","Fuera del marco",IF(K609="N/A","Sin marco",IFERROR(INDEX(Catalogo_TIMSS!$F$5:$F$105,MATCH(K609,Catalogo_TIMSS!$A$5:$A$105,0)),"Pendiente de clasificar")))</f>
        <v>Fuera del marco</v>
      </c>
      <c r="O609" s="8" t="str">
        <f aca="false">IF(L609="","",IFERROR(INDEX(Catalogo_TIMSS!$C$5:$C$105,MATCH(L609,Catalogo_TIMSS!$A$5:$A$105,0)),"?"))</f>
        <v/>
      </c>
      <c r="P609" s="8" t="s">
        <v>460</v>
      </c>
      <c r="Q609" s="27" t="s">
        <v>2844</v>
      </c>
      <c r="R609" s="27" t="s">
        <v>1464</v>
      </c>
      <c r="S609" s="28" t="n">
        <f aca="false">IFERROR(ISNUMBER(SEARCH("Conocer",$R609))/(ISNUMBER(SEARCH("Conocer",$R609))+ISNUMBER(SEARCH("Aplicar",$R609))+ISNUMBER(SEARCH("Razonar",$R609))),0)</f>
        <v>0</v>
      </c>
      <c r="T609" s="28" t="n">
        <f aca="false">IFERROR(ISNUMBER(SEARCH("Aplicar",$R609))/(ISNUMBER(SEARCH("Conocer",$R609))+ISNUMBER(SEARCH("Aplicar",$R609))+ISNUMBER(SEARCH("Razonar",$R609))),0)</f>
        <v>1</v>
      </c>
      <c r="U609" s="28" t="n">
        <f aca="false">IFERROR(ISNUMBER(SEARCH("Razonar",$R609))/(ISNUMBER(SEARCH("Conocer",$R609))+ISNUMBER(SEARCH("Aplicar",$R609))+ISNUMBER(SEARCH("Razonar",$R609))),0)</f>
        <v>0</v>
      </c>
      <c r="V609" s="8" t="s">
        <v>53</v>
      </c>
      <c r="W609" s="8" t="s">
        <v>53</v>
      </c>
    </row>
    <row r="610" customFormat="false" ht="15" hidden="false" customHeight="false" outlineLevel="0" collapsed="false">
      <c r="A610" s="8" t="s">
        <v>2845</v>
      </c>
      <c r="B610" s="8" t="n">
        <v>9</v>
      </c>
      <c r="C610" s="8" t="s">
        <v>411</v>
      </c>
      <c r="D610" s="8" t="s">
        <v>2570</v>
      </c>
      <c r="E610" s="8" t="s">
        <v>2830</v>
      </c>
      <c r="F610" s="8" t="n">
        <v>7</v>
      </c>
      <c r="G610" s="8" t="s">
        <v>2831</v>
      </c>
      <c r="H610" s="8" t="s">
        <v>2842</v>
      </c>
      <c r="I610" s="27" t="s">
        <v>2846</v>
      </c>
      <c r="J610" s="8" t="s">
        <v>185</v>
      </c>
      <c r="K610" s="8" t="s">
        <v>257</v>
      </c>
      <c r="L610" s="8"/>
      <c r="M610" s="8" t="str">
        <f aca="false">IF(K610="FUERA","Fuera del marco",IF(K610="N/A","Sin marco",IFERROR(INDEX(Catalogo_TIMSS!$C$5:$C$105,MATCH(K610,Catalogo_TIMSS!$A$5:$A$105,0)),"Pendiente de clasificar")))</f>
        <v>Física</v>
      </c>
      <c r="N610" s="8" t="str">
        <f aca="false">IF(K610="FUERA","Fuera del marco",IF(K610="N/A","Sin marco",IFERROR(INDEX(Catalogo_TIMSS!$F$5:$F$105,MATCH(K610,Catalogo_TIMSS!$A$5:$A$105,0)),"Pendiente de clasificar")))</f>
        <v>Electricidad y magnetismo</v>
      </c>
      <c r="O610" s="8" t="str">
        <f aca="false">IF(L610="","",IFERROR(INDEX(Catalogo_TIMSS!$C$5:$C$105,MATCH(L610,Catalogo_TIMSS!$A$5:$A$105,0)),"?"))</f>
        <v/>
      </c>
      <c r="P610" s="8" t="s">
        <v>418</v>
      </c>
      <c r="Q610" s="27" t="s">
        <v>2847</v>
      </c>
      <c r="R610" s="27" t="s">
        <v>2126</v>
      </c>
      <c r="S610" s="28" t="n">
        <f aca="false">IFERROR(ISNUMBER(SEARCH("Conocer",$R610))/(ISNUMBER(SEARCH("Conocer",$R610))+ISNUMBER(SEARCH("Aplicar",$R610))+ISNUMBER(SEARCH("Razonar",$R610))),0)</f>
        <v>0</v>
      </c>
      <c r="T610" s="28" t="n">
        <f aca="false">IFERROR(ISNUMBER(SEARCH("Aplicar",$R610))/(ISNUMBER(SEARCH("Conocer",$R610))+ISNUMBER(SEARCH("Aplicar",$R610))+ISNUMBER(SEARCH("Razonar",$R610))),0)</f>
        <v>0.5</v>
      </c>
      <c r="U610" s="28" t="n">
        <f aca="false">IFERROR(ISNUMBER(SEARCH("Razonar",$R610))/(ISNUMBER(SEARCH("Conocer",$R610))+ISNUMBER(SEARCH("Aplicar",$R610))+ISNUMBER(SEARCH("Razonar",$R610))),0)</f>
        <v>0.5</v>
      </c>
      <c r="V610" s="8" t="s">
        <v>53</v>
      </c>
      <c r="W610" s="8" t="s">
        <v>53</v>
      </c>
    </row>
    <row r="611" customFormat="false" ht="15" hidden="false" customHeight="false" outlineLevel="0" collapsed="false">
      <c r="A611" s="8" t="s">
        <v>2848</v>
      </c>
      <c r="B611" s="8" t="n">
        <v>9</v>
      </c>
      <c r="C611" s="8" t="s">
        <v>411</v>
      </c>
      <c r="D611" s="8" t="s">
        <v>2570</v>
      </c>
      <c r="E611" s="8" t="s">
        <v>2830</v>
      </c>
      <c r="F611" s="8" t="n">
        <v>8</v>
      </c>
      <c r="G611" s="8" t="s">
        <v>2831</v>
      </c>
      <c r="H611" s="8" t="s">
        <v>2842</v>
      </c>
      <c r="I611" s="27" t="s">
        <v>2849</v>
      </c>
      <c r="J611" s="8" t="s">
        <v>185</v>
      </c>
      <c r="K611" s="8" t="s">
        <v>257</v>
      </c>
      <c r="L611" s="8"/>
      <c r="M611" s="8" t="str">
        <f aca="false">IF(K611="FUERA","Fuera del marco",IF(K611="N/A","Sin marco",IFERROR(INDEX(Catalogo_TIMSS!$C$5:$C$105,MATCH(K611,Catalogo_TIMSS!$A$5:$A$105,0)),"Pendiente de clasificar")))</f>
        <v>Física</v>
      </c>
      <c r="N611" s="8" t="str">
        <f aca="false">IF(K611="FUERA","Fuera del marco",IF(K611="N/A","Sin marco",IFERROR(INDEX(Catalogo_TIMSS!$F$5:$F$105,MATCH(K611,Catalogo_TIMSS!$A$5:$A$105,0)),"Pendiente de clasificar")))</f>
        <v>Electricidad y magnetismo</v>
      </c>
      <c r="O611" s="8" t="str">
        <f aca="false">IF(L611="","",IFERROR(INDEX(Catalogo_TIMSS!$C$5:$C$105,MATCH(L611,Catalogo_TIMSS!$A$5:$A$105,0)),"?"))</f>
        <v/>
      </c>
      <c r="P611" s="8" t="s">
        <v>460</v>
      </c>
      <c r="Q611" s="27" t="s">
        <v>2850</v>
      </c>
      <c r="R611" s="27" t="s">
        <v>1718</v>
      </c>
      <c r="S611" s="28" t="n">
        <f aca="false">IFERROR(ISNUMBER(SEARCH("Conocer",$R611))/(ISNUMBER(SEARCH("Conocer",$R611))+ISNUMBER(SEARCH("Aplicar",$R611))+ISNUMBER(SEARCH("Razonar",$R611))),0)</f>
        <v>1</v>
      </c>
      <c r="T611" s="28" t="n">
        <f aca="false">IFERROR(ISNUMBER(SEARCH("Aplicar",$R611))/(ISNUMBER(SEARCH("Conocer",$R611))+ISNUMBER(SEARCH("Aplicar",$R611))+ISNUMBER(SEARCH("Razonar",$R611))),0)</f>
        <v>0</v>
      </c>
      <c r="U611" s="28" t="n">
        <f aca="false">IFERROR(ISNUMBER(SEARCH("Razonar",$R611))/(ISNUMBER(SEARCH("Conocer",$R611))+ISNUMBER(SEARCH("Aplicar",$R611))+ISNUMBER(SEARCH("Razonar",$R611))),0)</f>
        <v>0</v>
      </c>
      <c r="V611" s="8" t="s">
        <v>53</v>
      </c>
      <c r="W611" s="8" t="s">
        <v>53</v>
      </c>
    </row>
    <row r="612" customFormat="false" ht="15" hidden="false" customHeight="false" outlineLevel="0" collapsed="false">
      <c r="A612" s="8" t="s">
        <v>2851</v>
      </c>
      <c r="B612" s="8" t="n">
        <v>9</v>
      </c>
      <c r="C612" s="8" t="s">
        <v>411</v>
      </c>
      <c r="D612" s="8" t="s">
        <v>2570</v>
      </c>
      <c r="E612" s="8" t="s">
        <v>2830</v>
      </c>
      <c r="F612" s="8" t="n">
        <v>9</v>
      </c>
      <c r="G612" s="8" t="s">
        <v>2831</v>
      </c>
      <c r="H612" s="8" t="s">
        <v>2852</v>
      </c>
      <c r="I612" s="27" t="s">
        <v>2853</v>
      </c>
      <c r="J612" s="8" t="s">
        <v>185</v>
      </c>
      <c r="K612" s="8" t="s">
        <v>257</v>
      </c>
      <c r="L612" s="8"/>
      <c r="M612" s="8" t="str">
        <f aca="false">IF(K612="FUERA","Fuera del marco",IF(K612="N/A","Sin marco",IFERROR(INDEX(Catalogo_TIMSS!$C$5:$C$105,MATCH(K612,Catalogo_TIMSS!$A$5:$A$105,0)),"Pendiente de clasificar")))</f>
        <v>Física</v>
      </c>
      <c r="N612" s="8" t="str">
        <f aca="false">IF(K612="FUERA","Fuera del marco",IF(K612="N/A","Sin marco",IFERROR(INDEX(Catalogo_TIMSS!$F$5:$F$105,MATCH(K612,Catalogo_TIMSS!$A$5:$A$105,0)),"Pendiente de clasificar")))</f>
        <v>Electricidad y magnetismo</v>
      </c>
      <c r="O612" s="8" t="str">
        <f aca="false">IF(L612="","",IFERROR(INDEX(Catalogo_TIMSS!$C$5:$C$105,MATCH(L612,Catalogo_TIMSS!$A$5:$A$105,0)),"?"))</f>
        <v/>
      </c>
      <c r="P612" s="8" t="s">
        <v>418</v>
      </c>
      <c r="Q612" s="27" t="s">
        <v>2854</v>
      </c>
      <c r="R612" s="27" t="s">
        <v>2162</v>
      </c>
      <c r="S612" s="28" t="n">
        <f aca="false">IFERROR(ISNUMBER(SEARCH("Conocer",$R612))/(ISNUMBER(SEARCH("Conocer",$R612))+ISNUMBER(SEARCH("Aplicar",$R612))+ISNUMBER(SEARCH("Razonar",$R612))),0)</f>
        <v>0</v>
      </c>
      <c r="T612" s="28" t="n">
        <f aca="false">IFERROR(ISNUMBER(SEARCH("Aplicar",$R612))/(ISNUMBER(SEARCH("Conocer",$R612))+ISNUMBER(SEARCH("Aplicar",$R612))+ISNUMBER(SEARCH("Razonar",$R612))),0)</f>
        <v>1</v>
      </c>
      <c r="U612" s="28" t="n">
        <f aca="false">IFERROR(ISNUMBER(SEARCH("Razonar",$R612))/(ISNUMBER(SEARCH("Conocer",$R612))+ISNUMBER(SEARCH("Aplicar",$R612))+ISNUMBER(SEARCH("Razonar",$R612))),0)</f>
        <v>0</v>
      </c>
      <c r="V612" s="8" t="s">
        <v>53</v>
      </c>
      <c r="W612" s="8" t="s">
        <v>53</v>
      </c>
    </row>
    <row r="613" customFormat="false" ht="15" hidden="false" customHeight="false" outlineLevel="0" collapsed="false">
      <c r="A613" s="8" t="s">
        <v>2855</v>
      </c>
      <c r="B613" s="8" t="n">
        <v>9</v>
      </c>
      <c r="C613" s="8" t="s">
        <v>411</v>
      </c>
      <c r="D613" s="8" t="s">
        <v>2570</v>
      </c>
      <c r="E613" s="8" t="s">
        <v>2830</v>
      </c>
      <c r="F613" s="8" t="n">
        <v>10</v>
      </c>
      <c r="G613" s="8" t="s">
        <v>2831</v>
      </c>
      <c r="H613" s="8" t="s">
        <v>2852</v>
      </c>
      <c r="I613" s="27" t="s">
        <v>2856</v>
      </c>
      <c r="J613" s="8" t="s">
        <v>185</v>
      </c>
      <c r="K613" s="8" t="s">
        <v>257</v>
      </c>
      <c r="L613" s="8" t="s">
        <v>247</v>
      </c>
      <c r="M613" s="8" t="str">
        <f aca="false">IF(K613="FUERA","Fuera del marco",IF(K613="N/A","Sin marco",IFERROR(INDEX(Catalogo_TIMSS!$C$5:$C$105,MATCH(K613,Catalogo_TIMSS!$A$5:$A$105,0)),"Pendiente de clasificar")))</f>
        <v>Física</v>
      </c>
      <c r="N613" s="8" t="str">
        <f aca="false">IF(K613="FUERA","Fuera del marco",IF(K613="N/A","Sin marco",IFERROR(INDEX(Catalogo_TIMSS!$F$5:$F$105,MATCH(K613,Catalogo_TIMSS!$A$5:$A$105,0)),"Pendiente de clasificar")))</f>
        <v>Electricidad y magnetismo</v>
      </c>
      <c r="O613" s="8" t="str">
        <f aca="false">IF(L613="","",IFERROR(INDEX(Catalogo_TIMSS!$C$5:$C$105,MATCH(L613,Catalogo_TIMSS!$A$5:$A$105,0)),"?"))</f>
        <v>Física</v>
      </c>
      <c r="P613" s="8" t="s">
        <v>460</v>
      </c>
      <c r="Q613" s="27" t="s">
        <v>2857</v>
      </c>
      <c r="R613" s="27" t="s">
        <v>604</v>
      </c>
      <c r="S613" s="28" t="n">
        <f aca="false">IFERROR(ISNUMBER(SEARCH("Conocer",$R613))/(ISNUMBER(SEARCH("Conocer",$R613))+ISNUMBER(SEARCH("Aplicar",$R613))+ISNUMBER(SEARCH("Razonar",$R613))),0)</f>
        <v>0</v>
      </c>
      <c r="T613" s="28" t="n">
        <f aca="false">IFERROR(ISNUMBER(SEARCH("Aplicar",$R613))/(ISNUMBER(SEARCH("Conocer",$R613))+ISNUMBER(SEARCH("Aplicar",$R613))+ISNUMBER(SEARCH("Razonar",$R613))),0)</f>
        <v>0.5</v>
      </c>
      <c r="U613" s="28" t="n">
        <f aca="false">IFERROR(ISNUMBER(SEARCH("Razonar",$R613))/(ISNUMBER(SEARCH("Conocer",$R613))+ISNUMBER(SEARCH("Aplicar",$R613))+ISNUMBER(SEARCH("Razonar",$R613))),0)</f>
        <v>0.5</v>
      </c>
      <c r="V613" s="8" t="s">
        <v>53</v>
      </c>
      <c r="W613" s="8" t="s">
        <v>53</v>
      </c>
    </row>
    <row r="614" customFormat="false" ht="15" hidden="false" customHeight="false" outlineLevel="0" collapsed="false">
      <c r="A614" s="8" t="s">
        <v>2858</v>
      </c>
      <c r="B614" s="8" t="n">
        <v>9</v>
      </c>
      <c r="C614" s="8" t="s">
        <v>411</v>
      </c>
      <c r="D614" s="8" t="s">
        <v>2570</v>
      </c>
      <c r="E614" s="8" t="s">
        <v>2830</v>
      </c>
      <c r="F614" s="8" t="n">
        <v>11</v>
      </c>
      <c r="G614" s="8" t="s">
        <v>2831</v>
      </c>
      <c r="H614" s="8" t="s">
        <v>2852</v>
      </c>
      <c r="I614" s="27" t="s">
        <v>2859</v>
      </c>
      <c r="J614" s="8" t="s">
        <v>185</v>
      </c>
      <c r="K614" s="8" t="s">
        <v>417</v>
      </c>
      <c r="L614" s="8"/>
      <c r="M614" s="8" t="str">
        <f aca="false">IF(K614="FUERA","Fuera del marco",IF(K614="N/A","Sin marco",IFERROR(INDEX(Catalogo_TIMSS!$C$5:$C$105,MATCH(K614,Catalogo_TIMSS!$A$5:$A$105,0)),"Pendiente de clasificar")))</f>
        <v>Fuera del marco</v>
      </c>
      <c r="N614" s="8" t="str">
        <f aca="false">IF(K614="FUERA","Fuera del marco",IF(K614="N/A","Sin marco",IFERROR(INDEX(Catalogo_TIMSS!$F$5:$F$105,MATCH(K614,Catalogo_TIMSS!$A$5:$A$105,0)),"Pendiente de clasificar")))</f>
        <v>Fuera del marco</v>
      </c>
      <c r="O614" s="8" t="str">
        <f aca="false">IF(L614="","",IFERROR(INDEX(Catalogo_TIMSS!$C$5:$C$105,MATCH(L614,Catalogo_TIMSS!$A$5:$A$105,0)),"?"))</f>
        <v/>
      </c>
      <c r="P614" s="8" t="s">
        <v>460</v>
      </c>
      <c r="Q614" s="27" t="s">
        <v>2860</v>
      </c>
      <c r="R614" s="27" t="s">
        <v>1718</v>
      </c>
      <c r="S614" s="28" t="n">
        <f aca="false">IFERROR(ISNUMBER(SEARCH("Conocer",$R614))/(ISNUMBER(SEARCH("Conocer",$R614))+ISNUMBER(SEARCH("Aplicar",$R614))+ISNUMBER(SEARCH("Razonar",$R614))),0)</f>
        <v>1</v>
      </c>
      <c r="T614" s="28" t="n">
        <f aca="false">IFERROR(ISNUMBER(SEARCH("Aplicar",$R614))/(ISNUMBER(SEARCH("Conocer",$R614))+ISNUMBER(SEARCH("Aplicar",$R614))+ISNUMBER(SEARCH("Razonar",$R614))),0)</f>
        <v>0</v>
      </c>
      <c r="U614" s="28" t="n">
        <f aca="false">IFERROR(ISNUMBER(SEARCH("Razonar",$R614))/(ISNUMBER(SEARCH("Conocer",$R614))+ISNUMBER(SEARCH("Aplicar",$R614))+ISNUMBER(SEARCH("Razonar",$R614))),0)</f>
        <v>0</v>
      </c>
      <c r="V614" s="8" t="s">
        <v>53</v>
      </c>
      <c r="W614" s="8" t="s">
        <v>53</v>
      </c>
    </row>
    <row r="615" customFormat="false" ht="15" hidden="false" customHeight="false" outlineLevel="0" collapsed="false">
      <c r="A615" s="8" t="s">
        <v>2861</v>
      </c>
      <c r="B615" s="8" t="n">
        <v>9</v>
      </c>
      <c r="C615" s="8" t="s">
        <v>411</v>
      </c>
      <c r="D615" s="8" t="s">
        <v>2570</v>
      </c>
      <c r="E615" s="8" t="s">
        <v>2830</v>
      </c>
      <c r="F615" s="8" t="n">
        <v>12</v>
      </c>
      <c r="G615" s="8" t="s">
        <v>2831</v>
      </c>
      <c r="H615" s="8" t="s">
        <v>2862</v>
      </c>
      <c r="I615" s="27" t="s">
        <v>2863</v>
      </c>
      <c r="J615" s="8" t="s">
        <v>185</v>
      </c>
      <c r="K615" s="8" t="s">
        <v>417</v>
      </c>
      <c r="L615" s="8"/>
      <c r="M615" s="8" t="str">
        <f aca="false">IF(K615="FUERA","Fuera del marco",IF(K615="N/A","Sin marco",IFERROR(INDEX(Catalogo_TIMSS!$C$5:$C$105,MATCH(K615,Catalogo_TIMSS!$A$5:$A$105,0)),"Pendiente de clasificar")))</f>
        <v>Fuera del marco</v>
      </c>
      <c r="N615" s="8" t="str">
        <f aca="false">IF(K615="FUERA","Fuera del marco",IF(K615="N/A","Sin marco",IFERROR(INDEX(Catalogo_TIMSS!$F$5:$F$105,MATCH(K615,Catalogo_TIMSS!$A$5:$A$105,0)),"Pendiente de clasificar")))</f>
        <v>Fuera del marco</v>
      </c>
      <c r="O615" s="8" t="str">
        <f aca="false">IF(L615="","",IFERROR(INDEX(Catalogo_TIMSS!$C$5:$C$105,MATCH(L615,Catalogo_TIMSS!$A$5:$A$105,0)),"?"))</f>
        <v/>
      </c>
      <c r="P615" s="8" t="s">
        <v>418</v>
      </c>
      <c r="Q615" s="27" t="s">
        <v>2864</v>
      </c>
      <c r="R615" s="27" t="s">
        <v>2865</v>
      </c>
      <c r="S615" s="28" t="n">
        <f aca="false">IFERROR(ISNUMBER(SEARCH("Conocer",$R615))/(ISNUMBER(SEARCH("Conocer",$R615))+ISNUMBER(SEARCH("Aplicar",$R615))+ISNUMBER(SEARCH("Razonar",$R615))),0)</f>
        <v>0</v>
      </c>
      <c r="T615" s="28" t="n">
        <f aca="false">IFERROR(ISNUMBER(SEARCH("Aplicar",$R615))/(ISNUMBER(SEARCH("Conocer",$R615))+ISNUMBER(SEARCH("Aplicar",$R615))+ISNUMBER(SEARCH("Razonar",$R615))),0)</f>
        <v>1</v>
      </c>
      <c r="U615" s="28" t="n">
        <f aca="false">IFERROR(ISNUMBER(SEARCH("Razonar",$R615))/(ISNUMBER(SEARCH("Conocer",$R615))+ISNUMBER(SEARCH("Aplicar",$R615))+ISNUMBER(SEARCH("Razonar",$R615))),0)</f>
        <v>0</v>
      </c>
      <c r="V615" s="8" t="s">
        <v>53</v>
      </c>
      <c r="W615" s="8" t="s">
        <v>53</v>
      </c>
    </row>
    <row r="616" customFormat="false" ht="15" hidden="false" customHeight="false" outlineLevel="0" collapsed="false">
      <c r="A616" s="8" t="s">
        <v>2866</v>
      </c>
      <c r="B616" s="8" t="n">
        <v>9</v>
      </c>
      <c r="C616" s="8" t="s">
        <v>411</v>
      </c>
      <c r="D616" s="8" t="s">
        <v>2570</v>
      </c>
      <c r="E616" s="8" t="s">
        <v>2830</v>
      </c>
      <c r="F616" s="8" t="n">
        <v>13</v>
      </c>
      <c r="G616" s="8" t="s">
        <v>2831</v>
      </c>
      <c r="H616" s="8" t="s">
        <v>2862</v>
      </c>
      <c r="I616" s="27" t="s">
        <v>2867</v>
      </c>
      <c r="J616" s="8" t="s">
        <v>185</v>
      </c>
      <c r="K616" s="8" t="s">
        <v>417</v>
      </c>
      <c r="L616" s="8"/>
      <c r="M616" s="8" t="str">
        <f aca="false">IF(K616="FUERA","Fuera del marco",IF(K616="N/A","Sin marco",IFERROR(INDEX(Catalogo_TIMSS!$C$5:$C$105,MATCH(K616,Catalogo_TIMSS!$A$5:$A$105,0)),"Pendiente de clasificar")))</f>
        <v>Fuera del marco</v>
      </c>
      <c r="N616" s="8" t="str">
        <f aca="false">IF(K616="FUERA","Fuera del marco",IF(K616="N/A","Sin marco",IFERROR(INDEX(Catalogo_TIMSS!$F$5:$F$105,MATCH(K616,Catalogo_TIMSS!$A$5:$A$105,0)),"Pendiente de clasificar")))</f>
        <v>Fuera del marco</v>
      </c>
      <c r="O616" s="8" t="str">
        <f aca="false">IF(L616="","",IFERROR(INDEX(Catalogo_TIMSS!$C$5:$C$105,MATCH(L616,Catalogo_TIMSS!$A$5:$A$105,0)),"?"))</f>
        <v/>
      </c>
      <c r="P616" s="8" t="s">
        <v>460</v>
      </c>
      <c r="Q616" s="27" t="s">
        <v>2868</v>
      </c>
      <c r="R616" s="27" t="s">
        <v>1675</v>
      </c>
      <c r="S616" s="28" t="n">
        <f aca="false">IFERROR(ISNUMBER(SEARCH("Conocer",$R616))/(ISNUMBER(SEARCH("Conocer",$R616))+ISNUMBER(SEARCH("Aplicar",$R616))+ISNUMBER(SEARCH("Razonar",$R616))),0)</f>
        <v>0</v>
      </c>
      <c r="T616" s="28" t="n">
        <f aca="false">IFERROR(ISNUMBER(SEARCH("Aplicar",$R616))/(ISNUMBER(SEARCH("Conocer",$R616))+ISNUMBER(SEARCH("Aplicar",$R616))+ISNUMBER(SEARCH("Razonar",$R616))),0)</f>
        <v>1</v>
      </c>
      <c r="U616" s="28" t="n">
        <f aca="false">IFERROR(ISNUMBER(SEARCH("Razonar",$R616))/(ISNUMBER(SEARCH("Conocer",$R616))+ISNUMBER(SEARCH("Aplicar",$R616))+ISNUMBER(SEARCH("Razonar",$R616))),0)</f>
        <v>0</v>
      </c>
      <c r="V616" s="8" t="s">
        <v>53</v>
      </c>
      <c r="W616" s="8" t="s">
        <v>53</v>
      </c>
    </row>
    <row r="617" customFormat="false" ht="15" hidden="false" customHeight="false" outlineLevel="0" collapsed="false">
      <c r="A617" s="8" t="s">
        <v>2869</v>
      </c>
      <c r="B617" s="8" t="n">
        <v>9</v>
      </c>
      <c r="C617" s="8" t="s">
        <v>411</v>
      </c>
      <c r="D617" s="8" t="s">
        <v>2570</v>
      </c>
      <c r="E617" s="8" t="s">
        <v>2830</v>
      </c>
      <c r="F617" s="8" t="n">
        <v>14</v>
      </c>
      <c r="G617" s="8" t="s">
        <v>2831</v>
      </c>
      <c r="H617" s="8" t="s">
        <v>2870</v>
      </c>
      <c r="I617" s="27" t="s">
        <v>2871</v>
      </c>
      <c r="J617" s="8" t="s">
        <v>185</v>
      </c>
      <c r="K617" s="8" t="s">
        <v>417</v>
      </c>
      <c r="L617" s="8"/>
      <c r="M617" s="8" t="str">
        <f aca="false">IF(K617="FUERA","Fuera del marco",IF(K617="N/A","Sin marco",IFERROR(INDEX(Catalogo_TIMSS!$C$5:$C$105,MATCH(K617,Catalogo_TIMSS!$A$5:$A$105,0)),"Pendiente de clasificar")))</f>
        <v>Fuera del marco</v>
      </c>
      <c r="N617" s="8" t="str">
        <f aca="false">IF(K617="FUERA","Fuera del marco",IF(K617="N/A","Sin marco",IFERROR(INDEX(Catalogo_TIMSS!$F$5:$F$105,MATCH(K617,Catalogo_TIMSS!$A$5:$A$105,0)),"Pendiente de clasificar")))</f>
        <v>Fuera del marco</v>
      </c>
      <c r="O617" s="8" t="str">
        <f aca="false">IF(L617="","",IFERROR(INDEX(Catalogo_TIMSS!$C$5:$C$105,MATCH(L617,Catalogo_TIMSS!$A$5:$A$105,0)),"?"))</f>
        <v/>
      </c>
      <c r="P617" s="8" t="s">
        <v>418</v>
      </c>
      <c r="Q617" s="27" t="s">
        <v>2872</v>
      </c>
      <c r="R617" s="27" t="s">
        <v>2873</v>
      </c>
      <c r="S617" s="28" t="n">
        <f aca="false">IFERROR(ISNUMBER(SEARCH("Conocer",$R617))/(ISNUMBER(SEARCH("Conocer",$R617))+ISNUMBER(SEARCH("Aplicar",$R617))+ISNUMBER(SEARCH("Razonar",$R617))),0)</f>
        <v>0</v>
      </c>
      <c r="T617" s="28" t="n">
        <f aca="false">IFERROR(ISNUMBER(SEARCH("Aplicar",$R617))/(ISNUMBER(SEARCH("Conocer",$R617))+ISNUMBER(SEARCH("Aplicar",$R617))+ISNUMBER(SEARCH("Razonar",$R617))),0)</f>
        <v>0.5</v>
      </c>
      <c r="U617" s="28" t="n">
        <f aca="false">IFERROR(ISNUMBER(SEARCH("Razonar",$R617))/(ISNUMBER(SEARCH("Conocer",$R617))+ISNUMBER(SEARCH("Aplicar",$R617))+ISNUMBER(SEARCH("Razonar",$R617))),0)</f>
        <v>0.5</v>
      </c>
      <c r="V617" s="8" t="s">
        <v>53</v>
      </c>
      <c r="W617" s="8" t="s">
        <v>53</v>
      </c>
    </row>
    <row r="618" customFormat="false" ht="15" hidden="false" customHeight="false" outlineLevel="0" collapsed="false">
      <c r="A618" s="8" t="s">
        <v>2874</v>
      </c>
      <c r="B618" s="8" t="n">
        <v>9</v>
      </c>
      <c r="C618" s="8" t="s">
        <v>411</v>
      </c>
      <c r="D618" s="8" t="s">
        <v>2570</v>
      </c>
      <c r="E618" s="8" t="s">
        <v>2830</v>
      </c>
      <c r="F618" s="8" t="n">
        <v>15</v>
      </c>
      <c r="G618" s="8" t="s">
        <v>2831</v>
      </c>
      <c r="H618" s="8" t="s">
        <v>2870</v>
      </c>
      <c r="I618" s="27" t="s">
        <v>2875</v>
      </c>
      <c r="J618" s="8" t="s">
        <v>185</v>
      </c>
      <c r="K618" s="8" t="s">
        <v>417</v>
      </c>
      <c r="L618" s="8"/>
      <c r="M618" s="8" t="str">
        <f aca="false">IF(K618="FUERA","Fuera del marco",IF(K618="N/A","Sin marco",IFERROR(INDEX(Catalogo_TIMSS!$C$5:$C$105,MATCH(K618,Catalogo_TIMSS!$A$5:$A$105,0)),"Pendiente de clasificar")))</f>
        <v>Fuera del marco</v>
      </c>
      <c r="N618" s="8" t="str">
        <f aca="false">IF(K618="FUERA","Fuera del marco",IF(K618="N/A","Sin marco",IFERROR(INDEX(Catalogo_TIMSS!$F$5:$F$105,MATCH(K618,Catalogo_TIMSS!$A$5:$A$105,0)),"Pendiente de clasificar")))</f>
        <v>Fuera del marco</v>
      </c>
      <c r="O618" s="8" t="str">
        <f aca="false">IF(L618="","",IFERROR(INDEX(Catalogo_TIMSS!$C$5:$C$105,MATCH(L618,Catalogo_TIMSS!$A$5:$A$105,0)),"?"))</f>
        <v/>
      </c>
      <c r="P618" s="8" t="s">
        <v>418</v>
      </c>
      <c r="Q618" s="27" t="s">
        <v>2876</v>
      </c>
      <c r="R618" s="27" t="s">
        <v>1675</v>
      </c>
      <c r="S618" s="28" t="n">
        <f aca="false">IFERROR(ISNUMBER(SEARCH("Conocer",$R618))/(ISNUMBER(SEARCH("Conocer",$R618))+ISNUMBER(SEARCH("Aplicar",$R618))+ISNUMBER(SEARCH("Razonar",$R618))),0)</f>
        <v>0</v>
      </c>
      <c r="T618" s="28" t="n">
        <f aca="false">IFERROR(ISNUMBER(SEARCH("Aplicar",$R618))/(ISNUMBER(SEARCH("Conocer",$R618))+ISNUMBER(SEARCH("Aplicar",$R618))+ISNUMBER(SEARCH("Razonar",$R618))),0)</f>
        <v>1</v>
      </c>
      <c r="U618" s="28" t="n">
        <f aca="false">IFERROR(ISNUMBER(SEARCH("Razonar",$R618))/(ISNUMBER(SEARCH("Conocer",$R618))+ISNUMBER(SEARCH("Aplicar",$R618))+ISNUMBER(SEARCH("Razonar",$R618))),0)</f>
        <v>0</v>
      </c>
      <c r="V618" s="8" t="s">
        <v>53</v>
      </c>
      <c r="W618" s="8" t="s">
        <v>53</v>
      </c>
    </row>
    <row r="619" customFormat="false" ht="15" hidden="false" customHeight="false" outlineLevel="0" collapsed="false">
      <c r="A619" s="8" t="s">
        <v>2877</v>
      </c>
      <c r="B619" s="8" t="n">
        <v>9</v>
      </c>
      <c r="C619" s="8" t="s">
        <v>411</v>
      </c>
      <c r="D619" s="8" t="s">
        <v>2570</v>
      </c>
      <c r="E619" s="8" t="s">
        <v>2830</v>
      </c>
      <c r="F619" s="8" t="n">
        <v>16</v>
      </c>
      <c r="G619" s="8" t="s">
        <v>2831</v>
      </c>
      <c r="H619" s="8" t="s">
        <v>2870</v>
      </c>
      <c r="I619" s="27" t="s">
        <v>2878</v>
      </c>
      <c r="J619" s="8" t="s">
        <v>185</v>
      </c>
      <c r="K619" s="8" t="s">
        <v>417</v>
      </c>
      <c r="L619" s="8"/>
      <c r="M619" s="8" t="str">
        <f aca="false">IF(K619="FUERA","Fuera del marco",IF(K619="N/A","Sin marco",IFERROR(INDEX(Catalogo_TIMSS!$C$5:$C$105,MATCH(K619,Catalogo_TIMSS!$A$5:$A$105,0)),"Pendiente de clasificar")))</f>
        <v>Fuera del marco</v>
      </c>
      <c r="N619" s="8" t="str">
        <f aca="false">IF(K619="FUERA","Fuera del marco",IF(K619="N/A","Sin marco",IFERROR(INDEX(Catalogo_TIMSS!$F$5:$F$105,MATCH(K619,Catalogo_TIMSS!$A$5:$A$105,0)),"Pendiente de clasificar")))</f>
        <v>Fuera del marco</v>
      </c>
      <c r="O619" s="8" t="str">
        <f aca="false">IF(L619="","",IFERROR(INDEX(Catalogo_TIMSS!$C$5:$C$105,MATCH(L619,Catalogo_TIMSS!$A$5:$A$105,0)),"?"))</f>
        <v/>
      </c>
      <c r="P619" s="8" t="s">
        <v>418</v>
      </c>
      <c r="Q619" s="27" t="s">
        <v>2879</v>
      </c>
      <c r="R619" s="27" t="s">
        <v>2880</v>
      </c>
      <c r="S619" s="28" t="n">
        <f aca="false">IFERROR(ISNUMBER(SEARCH("Conocer",$R619))/(ISNUMBER(SEARCH("Conocer",$R619))+ISNUMBER(SEARCH("Aplicar",$R619))+ISNUMBER(SEARCH("Razonar",$R619))),0)</f>
        <v>0</v>
      </c>
      <c r="T619" s="28" t="n">
        <f aca="false">IFERROR(ISNUMBER(SEARCH("Aplicar",$R619))/(ISNUMBER(SEARCH("Conocer",$R619))+ISNUMBER(SEARCH("Aplicar",$R619))+ISNUMBER(SEARCH("Razonar",$R619))),0)</f>
        <v>1</v>
      </c>
      <c r="U619" s="28" t="n">
        <f aca="false">IFERROR(ISNUMBER(SEARCH("Razonar",$R619))/(ISNUMBER(SEARCH("Conocer",$R619))+ISNUMBER(SEARCH("Aplicar",$R619))+ISNUMBER(SEARCH("Razonar",$R619))),0)</f>
        <v>0</v>
      </c>
      <c r="V619" s="8" t="s">
        <v>53</v>
      </c>
      <c r="W619" s="8" t="s">
        <v>53</v>
      </c>
    </row>
    <row r="620" customFormat="false" ht="15" hidden="false" customHeight="false" outlineLevel="0" collapsed="false">
      <c r="A620" s="8" t="s">
        <v>2881</v>
      </c>
      <c r="B620" s="8" t="n">
        <v>9</v>
      </c>
      <c r="C620" s="8" t="s">
        <v>411</v>
      </c>
      <c r="D620" s="8" t="s">
        <v>2570</v>
      </c>
      <c r="E620" s="8" t="s">
        <v>2882</v>
      </c>
      <c r="F620" s="8" t="n">
        <v>3</v>
      </c>
      <c r="G620" s="8" t="s">
        <v>2883</v>
      </c>
      <c r="H620" s="8" t="s">
        <v>2884</v>
      </c>
      <c r="I620" s="27" t="s">
        <v>2885</v>
      </c>
      <c r="J620" s="8" t="s">
        <v>185</v>
      </c>
      <c r="K620" s="8" t="s">
        <v>259</v>
      </c>
      <c r="L620" s="8"/>
      <c r="M620" s="8" t="str">
        <f aca="false">IF(K620="FUERA","Fuera del marco",IF(K620="N/A","Sin marco",IFERROR(INDEX(Catalogo_TIMSS!$C$5:$C$105,MATCH(K620,Catalogo_TIMSS!$A$5:$A$105,0)),"Pendiente de clasificar")))</f>
        <v>Física</v>
      </c>
      <c r="N620" s="8" t="str">
        <f aca="false">IF(K620="FUERA","Fuera del marco",IF(K620="N/A","Sin marco",IFERROR(INDEX(Catalogo_TIMSS!$F$5:$F$105,MATCH(K620,Catalogo_TIMSS!$A$5:$A$105,0)),"Pendiente de clasificar")))</f>
        <v>Electricidad y magnetismo</v>
      </c>
      <c r="O620" s="8" t="str">
        <f aca="false">IF(L620="","",IFERROR(INDEX(Catalogo_TIMSS!$C$5:$C$105,MATCH(L620,Catalogo_TIMSS!$A$5:$A$105,0)),"?"))</f>
        <v/>
      </c>
      <c r="P620" s="8" t="s">
        <v>460</v>
      </c>
      <c r="Q620" s="27" t="s">
        <v>2886</v>
      </c>
      <c r="R620" s="27" t="s">
        <v>2610</v>
      </c>
      <c r="S620" s="28" t="n">
        <f aca="false">IFERROR(ISNUMBER(SEARCH("Conocer",$R620))/(ISNUMBER(SEARCH("Conocer",$R620))+ISNUMBER(SEARCH("Aplicar",$R620))+ISNUMBER(SEARCH("Razonar",$R620))),0)</f>
        <v>0</v>
      </c>
      <c r="T620" s="28" t="n">
        <f aca="false">IFERROR(ISNUMBER(SEARCH("Aplicar",$R620))/(ISNUMBER(SEARCH("Conocer",$R620))+ISNUMBER(SEARCH("Aplicar",$R620))+ISNUMBER(SEARCH("Razonar",$R620))),0)</f>
        <v>1</v>
      </c>
      <c r="U620" s="28" t="n">
        <f aca="false">IFERROR(ISNUMBER(SEARCH("Razonar",$R620))/(ISNUMBER(SEARCH("Conocer",$R620))+ISNUMBER(SEARCH("Aplicar",$R620))+ISNUMBER(SEARCH("Razonar",$R620))),0)</f>
        <v>0</v>
      </c>
      <c r="V620" s="8" t="s">
        <v>53</v>
      </c>
      <c r="W620" s="8" t="s">
        <v>53</v>
      </c>
    </row>
    <row r="621" customFormat="false" ht="15" hidden="false" customHeight="false" outlineLevel="0" collapsed="false">
      <c r="A621" s="8" t="s">
        <v>2887</v>
      </c>
      <c r="B621" s="8" t="n">
        <v>9</v>
      </c>
      <c r="C621" s="8" t="s">
        <v>411</v>
      </c>
      <c r="D621" s="8" t="s">
        <v>2570</v>
      </c>
      <c r="E621" s="8" t="s">
        <v>2882</v>
      </c>
      <c r="F621" s="8" t="n">
        <v>4</v>
      </c>
      <c r="G621" s="8" t="s">
        <v>2883</v>
      </c>
      <c r="H621" s="8" t="s">
        <v>2884</v>
      </c>
      <c r="I621" s="27" t="s">
        <v>2888</v>
      </c>
      <c r="J621" s="8" t="s">
        <v>185</v>
      </c>
      <c r="K621" s="8" t="s">
        <v>259</v>
      </c>
      <c r="L621" s="8"/>
      <c r="M621" s="8" t="str">
        <f aca="false">IF(K621="FUERA","Fuera del marco",IF(K621="N/A","Sin marco",IFERROR(INDEX(Catalogo_TIMSS!$C$5:$C$105,MATCH(K621,Catalogo_TIMSS!$A$5:$A$105,0)),"Pendiente de clasificar")))</f>
        <v>Física</v>
      </c>
      <c r="N621" s="8" t="str">
        <f aca="false">IF(K621="FUERA","Fuera del marco",IF(K621="N/A","Sin marco",IFERROR(INDEX(Catalogo_TIMSS!$F$5:$F$105,MATCH(K621,Catalogo_TIMSS!$A$5:$A$105,0)),"Pendiente de clasificar")))</f>
        <v>Electricidad y magnetismo</v>
      </c>
      <c r="O621" s="8" t="str">
        <f aca="false">IF(L621="","",IFERROR(INDEX(Catalogo_TIMSS!$C$5:$C$105,MATCH(L621,Catalogo_TIMSS!$A$5:$A$105,0)),"?"))</f>
        <v/>
      </c>
      <c r="P621" s="8" t="s">
        <v>513</v>
      </c>
      <c r="Q621" s="27" t="s">
        <v>2889</v>
      </c>
      <c r="R621" s="27" t="s">
        <v>451</v>
      </c>
      <c r="S621" s="28" t="n">
        <f aca="false">IFERROR(ISNUMBER(SEARCH("Conocer",$R621))/(ISNUMBER(SEARCH("Conocer",$R621))+ISNUMBER(SEARCH("Aplicar",$R621))+ISNUMBER(SEARCH("Razonar",$R621))),0)</f>
        <v>0</v>
      </c>
      <c r="T621" s="28" t="n">
        <f aca="false">IFERROR(ISNUMBER(SEARCH("Aplicar",$R621))/(ISNUMBER(SEARCH("Conocer",$R621))+ISNUMBER(SEARCH("Aplicar",$R621))+ISNUMBER(SEARCH("Razonar",$R621))),0)</f>
        <v>1</v>
      </c>
      <c r="U621" s="28" t="n">
        <f aca="false">IFERROR(ISNUMBER(SEARCH("Razonar",$R621))/(ISNUMBER(SEARCH("Conocer",$R621))+ISNUMBER(SEARCH("Aplicar",$R621))+ISNUMBER(SEARCH("Razonar",$R621))),0)</f>
        <v>0</v>
      </c>
      <c r="V621" s="8" t="s">
        <v>53</v>
      </c>
      <c r="W621" s="8" t="s">
        <v>53</v>
      </c>
    </row>
    <row r="622" customFormat="false" ht="15" hidden="false" customHeight="false" outlineLevel="0" collapsed="false">
      <c r="A622" s="8" t="s">
        <v>2890</v>
      </c>
      <c r="B622" s="8" t="n">
        <v>9</v>
      </c>
      <c r="C622" s="8" t="s">
        <v>411</v>
      </c>
      <c r="D622" s="8" t="s">
        <v>2570</v>
      </c>
      <c r="E622" s="8" t="s">
        <v>2882</v>
      </c>
      <c r="F622" s="8" t="n">
        <v>5</v>
      </c>
      <c r="G622" s="8" t="s">
        <v>2883</v>
      </c>
      <c r="H622" s="8" t="s">
        <v>2891</v>
      </c>
      <c r="I622" s="27" t="s">
        <v>2892</v>
      </c>
      <c r="J622" s="8" t="s">
        <v>185</v>
      </c>
      <c r="K622" s="8" t="s">
        <v>259</v>
      </c>
      <c r="L622" s="8"/>
      <c r="M622" s="8" t="str">
        <f aca="false">IF(K622="FUERA","Fuera del marco",IF(K622="N/A","Sin marco",IFERROR(INDEX(Catalogo_TIMSS!$C$5:$C$105,MATCH(K622,Catalogo_TIMSS!$A$5:$A$105,0)),"Pendiente de clasificar")))</f>
        <v>Física</v>
      </c>
      <c r="N622" s="8" t="str">
        <f aca="false">IF(K622="FUERA","Fuera del marco",IF(K622="N/A","Sin marco",IFERROR(INDEX(Catalogo_TIMSS!$F$5:$F$105,MATCH(K622,Catalogo_TIMSS!$A$5:$A$105,0)),"Pendiente de clasificar")))</f>
        <v>Electricidad y magnetismo</v>
      </c>
      <c r="O622" s="8" t="str">
        <f aca="false">IF(L622="","",IFERROR(INDEX(Catalogo_TIMSS!$C$5:$C$105,MATCH(L622,Catalogo_TIMSS!$A$5:$A$105,0)),"?"))</f>
        <v/>
      </c>
      <c r="P622" s="8" t="s">
        <v>460</v>
      </c>
      <c r="Q622" s="27" t="s">
        <v>2893</v>
      </c>
      <c r="R622" s="27" t="s">
        <v>1940</v>
      </c>
      <c r="S622" s="28" t="n">
        <f aca="false">IFERROR(ISNUMBER(SEARCH("Conocer",$R622))/(ISNUMBER(SEARCH("Conocer",$R622))+ISNUMBER(SEARCH("Aplicar",$R622))+ISNUMBER(SEARCH("Razonar",$R622))),0)</f>
        <v>0</v>
      </c>
      <c r="T622" s="28" t="n">
        <f aca="false">IFERROR(ISNUMBER(SEARCH("Aplicar",$R622))/(ISNUMBER(SEARCH("Conocer",$R622))+ISNUMBER(SEARCH("Aplicar",$R622))+ISNUMBER(SEARCH("Razonar",$R622))),0)</f>
        <v>0</v>
      </c>
      <c r="U622" s="28" t="n">
        <f aca="false">IFERROR(ISNUMBER(SEARCH("Razonar",$R622))/(ISNUMBER(SEARCH("Conocer",$R622))+ISNUMBER(SEARCH("Aplicar",$R622))+ISNUMBER(SEARCH("Razonar",$R622))),0)</f>
        <v>1</v>
      </c>
      <c r="V622" s="8" t="s">
        <v>53</v>
      </c>
      <c r="W622" s="8" t="s">
        <v>53</v>
      </c>
    </row>
    <row r="623" customFormat="false" ht="15" hidden="false" customHeight="false" outlineLevel="0" collapsed="false">
      <c r="A623" s="8" t="s">
        <v>2894</v>
      </c>
      <c r="B623" s="8" t="n">
        <v>9</v>
      </c>
      <c r="C623" s="8" t="s">
        <v>411</v>
      </c>
      <c r="D623" s="8" t="s">
        <v>2570</v>
      </c>
      <c r="E623" s="8" t="s">
        <v>2882</v>
      </c>
      <c r="F623" s="8" t="n">
        <v>6</v>
      </c>
      <c r="G623" s="8" t="s">
        <v>2883</v>
      </c>
      <c r="H623" s="8" t="s">
        <v>2891</v>
      </c>
      <c r="I623" s="27" t="s">
        <v>2895</v>
      </c>
      <c r="J623" s="8" t="s">
        <v>185</v>
      </c>
      <c r="K623" s="8" t="s">
        <v>259</v>
      </c>
      <c r="L623" s="8"/>
      <c r="M623" s="8" t="str">
        <f aca="false">IF(K623="FUERA","Fuera del marco",IF(K623="N/A","Sin marco",IFERROR(INDEX(Catalogo_TIMSS!$C$5:$C$105,MATCH(K623,Catalogo_TIMSS!$A$5:$A$105,0)),"Pendiente de clasificar")))</f>
        <v>Física</v>
      </c>
      <c r="N623" s="8" t="str">
        <f aca="false">IF(K623="FUERA","Fuera del marco",IF(K623="N/A","Sin marco",IFERROR(INDEX(Catalogo_TIMSS!$F$5:$F$105,MATCH(K623,Catalogo_TIMSS!$A$5:$A$105,0)),"Pendiente de clasificar")))</f>
        <v>Electricidad y magnetismo</v>
      </c>
      <c r="O623" s="8" t="str">
        <f aca="false">IF(L623="","",IFERROR(INDEX(Catalogo_TIMSS!$C$5:$C$105,MATCH(L623,Catalogo_TIMSS!$A$5:$A$105,0)),"?"))</f>
        <v/>
      </c>
      <c r="P623" s="8" t="s">
        <v>460</v>
      </c>
      <c r="Q623" s="27" t="s">
        <v>2896</v>
      </c>
      <c r="R623" s="27" t="s">
        <v>1718</v>
      </c>
      <c r="S623" s="28" t="n">
        <f aca="false">IFERROR(ISNUMBER(SEARCH("Conocer",$R623))/(ISNUMBER(SEARCH("Conocer",$R623))+ISNUMBER(SEARCH("Aplicar",$R623))+ISNUMBER(SEARCH("Razonar",$R623))),0)</f>
        <v>1</v>
      </c>
      <c r="T623" s="28" t="n">
        <f aca="false">IFERROR(ISNUMBER(SEARCH("Aplicar",$R623))/(ISNUMBER(SEARCH("Conocer",$R623))+ISNUMBER(SEARCH("Aplicar",$R623))+ISNUMBER(SEARCH("Razonar",$R623))),0)</f>
        <v>0</v>
      </c>
      <c r="U623" s="28" t="n">
        <f aca="false">IFERROR(ISNUMBER(SEARCH("Razonar",$R623))/(ISNUMBER(SEARCH("Conocer",$R623))+ISNUMBER(SEARCH("Aplicar",$R623))+ISNUMBER(SEARCH("Razonar",$R623))),0)</f>
        <v>0</v>
      </c>
      <c r="V623" s="8" t="s">
        <v>53</v>
      </c>
      <c r="W623" s="8" t="s">
        <v>53</v>
      </c>
    </row>
    <row r="624" customFormat="false" ht="15" hidden="false" customHeight="false" outlineLevel="0" collapsed="false">
      <c r="A624" s="8" t="s">
        <v>2897</v>
      </c>
      <c r="B624" s="8" t="n">
        <v>9</v>
      </c>
      <c r="C624" s="8" t="s">
        <v>411</v>
      </c>
      <c r="D624" s="8" t="s">
        <v>2570</v>
      </c>
      <c r="E624" s="8" t="s">
        <v>2882</v>
      </c>
      <c r="F624" s="8" t="n">
        <v>7</v>
      </c>
      <c r="G624" s="8" t="s">
        <v>2883</v>
      </c>
      <c r="H624" s="8" t="s">
        <v>2898</v>
      </c>
      <c r="I624" s="27" t="s">
        <v>2899</v>
      </c>
      <c r="J624" s="8" t="s">
        <v>185</v>
      </c>
      <c r="K624" s="8" t="s">
        <v>259</v>
      </c>
      <c r="L624" s="8" t="s">
        <v>257</v>
      </c>
      <c r="M624" s="8" t="str">
        <f aca="false">IF(K624="FUERA","Fuera del marco",IF(K624="N/A","Sin marco",IFERROR(INDEX(Catalogo_TIMSS!$C$5:$C$105,MATCH(K624,Catalogo_TIMSS!$A$5:$A$105,0)),"Pendiente de clasificar")))</f>
        <v>Física</v>
      </c>
      <c r="N624" s="8" t="str">
        <f aca="false">IF(K624="FUERA","Fuera del marco",IF(K624="N/A","Sin marco",IFERROR(INDEX(Catalogo_TIMSS!$F$5:$F$105,MATCH(K624,Catalogo_TIMSS!$A$5:$A$105,0)),"Pendiente de clasificar")))</f>
        <v>Electricidad y magnetismo</v>
      </c>
      <c r="O624" s="8" t="str">
        <f aca="false">IF(L624="","",IFERROR(INDEX(Catalogo_TIMSS!$C$5:$C$105,MATCH(L624,Catalogo_TIMSS!$A$5:$A$105,0)),"?"))</f>
        <v>Física</v>
      </c>
      <c r="P624" s="8" t="s">
        <v>418</v>
      </c>
      <c r="Q624" s="27" t="s">
        <v>2900</v>
      </c>
      <c r="R624" s="27" t="s">
        <v>1675</v>
      </c>
      <c r="S624" s="28" t="n">
        <f aca="false">IFERROR(ISNUMBER(SEARCH("Conocer",$R624))/(ISNUMBER(SEARCH("Conocer",$R624))+ISNUMBER(SEARCH("Aplicar",$R624))+ISNUMBER(SEARCH("Razonar",$R624))),0)</f>
        <v>0</v>
      </c>
      <c r="T624" s="28" t="n">
        <f aca="false">IFERROR(ISNUMBER(SEARCH("Aplicar",$R624))/(ISNUMBER(SEARCH("Conocer",$R624))+ISNUMBER(SEARCH("Aplicar",$R624))+ISNUMBER(SEARCH("Razonar",$R624))),0)</f>
        <v>1</v>
      </c>
      <c r="U624" s="28" t="n">
        <f aca="false">IFERROR(ISNUMBER(SEARCH("Razonar",$R624))/(ISNUMBER(SEARCH("Conocer",$R624))+ISNUMBER(SEARCH("Aplicar",$R624))+ISNUMBER(SEARCH("Razonar",$R624))),0)</f>
        <v>0</v>
      </c>
      <c r="V624" s="8" t="s">
        <v>53</v>
      </c>
      <c r="W624" s="8" t="s">
        <v>53</v>
      </c>
    </row>
    <row r="625" customFormat="false" ht="15" hidden="false" customHeight="false" outlineLevel="0" collapsed="false">
      <c r="A625" s="8" t="s">
        <v>2901</v>
      </c>
      <c r="B625" s="8" t="n">
        <v>9</v>
      </c>
      <c r="C625" s="8" t="s">
        <v>411</v>
      </c>
      <c r="D625" s="8" t="s">
        <v>2570</v>
      </c>
      <c r="E625" s="8" t="s">
        <v>2882</v>
      </c>
      <c r="F625" s="8" t="n">
        <v>8</v>
      </c>
      <c r="G625" s="8" t="s">
        <v>2883</v>
      </c>
      <c r="H625" s="8" t="s">
        <v>2898</v>
      </c>
      <c r="I625" s="27" t="s">
        <v>2902</v>
      </c>
      <c r="J625" s="8" t="s">
        <v>185</v>
      </c>
      <c r="K625" s="8" t="s">
        <v>259</v>
      </c>
      <c r="L625" s="8" t="s">
        <v>247</v>
      </c>
      <c r="M625" s="8" t="str">
        <f aca="false">IF(K625="FUERA","Fuera del marco",IF(K625="N/A","Sin marco",IFERROR(INDEX(Catalogo_TIMSS!$C$5:$C$105,MATCH(K625,Catalogo_TIMSS!$A$5:$A$105,0)),"Pendiente de clasificar")))</f>
        <v>Física</v>
      </c>
      <c r="N625" s="8" t="str">
        <f aca="false">IF(K625="FUERA","Fuera del marco",IF(K625="N/A","Sin marco",IFERROR(INDEX(Catalogo_TIMSS!$F$5:$F$105,MATCH(K625,Catalogo_TIMSS!$A$5:$A$105,0)),"Pendiente de clasificar")))</f>
        <v>Electricidad y magnetismo</v>
      </c>
      <c r="O625" s="8" t="str">
        <f aca="false">IF(L625="","",IFERROR(INDEX(Catalogo_TIMSS!$C$5:$C$105,MATCH(L625,Catalogo_TIMSS!$A$5:$A$105,0)),"?"))</f>
        <v>Física</v>
      </c>
      <c r="P625" s="8" t="s">
        <v>418</v>
      </c>
      <c r="Q625" s="27" t="s">
        <v>2903</v>
      </c>
      <c r="R625" s="27" t="s">
        <v>2904</v>
      </c>
      <c r="S625" s="28" t="n">
        <f aca="false">IFERROR(ISNUMBER(SEARCH("Conocer",$R625))/(ISNUMBER(SEARCH("Conocer",$R625))+ISNUMBER(SEARCH("Aplicar",$R625))+ISNUMBER(SEARCH("Razonar",$R625))),0)</f>
        <v>0.5</v>
      </c>
      <c r="T625" s="28" t="n">
        <f aca="false">IFERROR(ISNUMBER(SEARCH("Aplicar",$R625))/(ISNUMBER(SEARCH("Conocer",$R625))+ISNUMBER(SEARCH("Aplicar",$R625))+ISNUMBER(SEARCH("Razonar",$R625))),0)</f>
        <v>0</v>
      </c>
      <c r="U625" s="28" t="n">
        <f aca="false">IFERROR(ISNUMBER(SEARCH("Razonar",$R625))/(ISNUMBER(SEARCH("Conocer",$R625))+ISNUMBER(SEARCH("Aplicar",$R625))+ISNUMBER(SEARCH("Razonar",$R625))),0)</f>
        <v>0.5</v>
      </c>
      <c r="V625" s="8" t="s">
        <v>53</v>
      </c>
      <c r="W625" s="8" t="s">
        <v>53</v>
      </c>
    </row>
    <row r="626" customFormat="false" ht="15" hidden="false" customHeight="false" outlineLevel="0" collapsed="false">
      <c r="A626" s="8" t="s">
        <v>2905</v>
      </c>
      <c r="B626" s="8" t="n">
        <v>9</v>
      </c>
      <c r="C626" s="8" t="s">
        <v>411</v>
      </c>
      <c r="D626" s="8" t="s">
        <v>2570</v>
      </c>
      <c r="E626" s="8" t="s">
        <v>2882</v>
      </c>
      <c r="F626" s="8" t="n">
        <v>9</v>
      </c>
      <c r="G626" s="8" t="s">
        <v>2883</v>
      </c>
      <c r="H626" s="8" t="s">
        <v>2898</v>
      </c>
      <c r="I626" s="27" t="s">
        <v>2906</v>
      </c>
      <c r="J626" s="8" t="s">
        <v>185</v>
      </c>
      <c r="K626" s="8" t="s">
        <v>247</v>
      </c>
      <c r="L626" s="8" t="s">
        <v>280</v>
      </c>
      <c r="M626" s="8" t="str">
        <f aca="false">IF(K626="FUERA","Fuera del marco",IF(K626="N/A","Sin marco",IFERROR(INDEX(Catalogo_TIMSS!$C$5:$C$105,MATCH(K626,Catalogo_TIMSS!$A$5:$A$105,0)),"Pendiente de clasificar")))</f>
        <v>Física</v>
      </c>
      <c r="N626" s="8" t="str">
        <f aca="false">IF(K626="FUERA","Fuera del marco",IF(K626="N/A","Sin marco",IFERROR(INDEX(Catalogo_TIMSS!$F$5:$F$105,MATCH(K626,Catalogo_TIMSS!$A$5:$A$105,0)),"Pendiente de clasificar")))</f>
        <v>Transformación y transferencia de energía</v>
      </c>
      <c r="O626" s="8" t="str">
        <f aca="false">IF(L626="","",IFERROR(INDEX(Catalogo_TIMSS!$C$5:$C$105,MATCH(L626,Catalogo_TIMSS!$A$5:$A$105,0)),"?"))</f>
        <v>Ciencias de la Tierra</v>
      </c>
      <c r="P626" s="8" t="s">
        <v>460</v>
      </c>
      <c r="Q626" s="27" t="s">
        <v>2907</v>
      </c>
      <c r="R626" s="27" t="s">
        <v>2146</v>
      </c>
      <c r="S626" s="28" t="n">
        <f aca="false">IFERROR(ISNUMBER(SEARCH("Conocer",$R626))/(ISNUMBER(SEARCH("Conocer",$R626))+ISNUMBER(SEARCH("Aplicar",$R626))+ISNUMBER(SEARCH("Razonar",$R626))),0)</f>
        <v>0</v>
      </c>
      <c r="T626" s="28" t="n">
        <f aca="false">IFERROR(ISNUMBER(SEARCH("Aplicar",$R626))/(ISNUMBER(SEARCH("Conocer",$R626))+ISNUMBER(SEARCH("Aplicar",$R626))+ISNUMBER(SEARCH("Razonar",$R626))),0)</f>
        <v>0</v>
      </c>
      <c r="U626" s="28" t="n">
        <f aca="false">IFERROR(ISNUMBER(SEARCH("Razonar",$R626))/(ISNUMBER(SEARCH("Conocer",$R626))+ISNUMBER(SEARCH("Aplicar",$R626))+ISNUMBER(SEARCH("Razonar",$R626))),0)</f>
        <v>1</v>
      </c>
      <c r="V626" s="8" t="s">
        <v>53</v>
      </c>
      <c r="W626" s="8" t="s">
        <v>53</v>
      </c>
    </row>
    <row r="627" customFormat="false" ht="15" hidden="false" customHeight="false" outlineLevel="0" collapsed="false">
      <c r="A627" s="8" t="s">
        <v>2908</v>
      </c>
      <c r="B627" s="8" t="n">
        <v>10</v>
      </c>
      <c r="C627" s="8" t="s">
        <v>91</v>
      </c>
      <c r="D627" s="8" t="s">
        <v>2909</v>
      </c>
      <c r="E627" s="8" t="s">
        <v>2910</v>
      </c>
      <c r="F627" s="8" t="n">
        <v>3</v>
      </c>
      <c r="G627" s="8" t="s">
        <v>2911</v>
      </c>
      <c r="H627" s="8" t="s">
        <v>2912</v>
      </c>
      <c r="I627" s="27" t="s">
        <v>2913</v>
      </c>
      <c r="J627" s="8" t="s">
        <v>291</v>
      </c>
      <c r="K627" s="8" t="s">
        <v>417</v>
      </c>
      <c r="L627" s="8"/>
      <c r="M627" s="8" t="str">
        <f aca="false">IF(K627="FUERA","Fuera del marco",IF(K627="N/A","Sin marco",IFERROR(INDEX(Catalogo_TIMSS!$C$5:$C$105,MATCH(K627,Catalogo_TIMSS!$A$5:$A$105,0)),"Pendiente de clasificar")))</f>
        <v>Fuera del marco</v>
      </c>
      <c r="N627" s="8" t="str">
        <f aca="false">IF(K627="FUERA","Fuera del marco",IF(K627="N/A","Sin marco",IFERROR(INDEX(Catalogo_TIMSS!$F$5:$F$105,MATCH(K627,Catalogo_TIMSS!$A$5:$A$105,0)),"Pendiente de clasificar")))</f>
        <v>Fuera del marco</v>
      </c>
      <c r="O627" s="8" t="str">
        <f aca="false">IF(L627="","",IFERROR(INDEX(Catalogo_TIMSS!$C$5:$C$105,MATCH(L627,Catalogo_TIMSS!$A$5:$A$105,0)),"?"))</f>
        <v/>
      </c>
      <c r="P627" s="8" t="s">
        <v>418</v>
      </c>
      <c r="Q627" s="27" t="s">
        <v>2914</v>
      </c>
      <c r="R627" s="27" t="s">
        <v>2915</v>
      </c>
      <c r="S627" s="28" t="n">
        <f aca="false">IFERROR(ISNUMBER(SEARCH("Conocer",$R627))/(ISNUMBER(SEARCH("Conocer",$R627))+ISNUMBER(SEARCH("Aplicar",$R627))+ISNUMBER(SEARCH("Razonar",$R627))),0)</f>
        <v>0.5</v>
      </c>
      <c r="T627" s="28" t="n">
        <f aca="false">IFERROR(ISNUMBER(SEARCH("Aplicar",$R627))/(ISNUMBER(SEARCH("Conocer",$R627))+ISNUMBER(SEARCH("Aplicar",$R627))+ISNUMBER(SEARCH("Razonar",$R627))),0)</f>
        <v>0</v>
      </c>
      <c r="U627" s="28" t="n">
        <f aca="false">IFERROR(ISNUMBER(SEARCH("Razonar",$R627))/(ISNUMBER(SEARCH("Conocer",$R627))+ISNUMBER(SEARCH("Aplicar",$R627))+ISNUMBER(SEARCH("Razonar",$R627))),0)</f>
        <v>0.5</v>
      </c>
      <c r="V627" s="8" t="s">
        <v>54</v>
      </c>
      <c r="W627" s="8" t="s">
        <v>69</v>
      </c>
    </row>
    <row r="628" customFormat="false" ht="15" hidden="false" customHeight="false" outlineLevel="0" collapsed="false">
      <c r="A628" s="8" t="s">
        <v>2916</v>
      </c>
      <c r="B628" s="8" t="n">
        <v>10</v>
      </c>
      <c r="C628" s="8" t="s">
        <v>91</v>
      </c>
      <c r="D628" s="8" t="s">
        <v>2909</v>
      </c>
      <c r="E628" s="8" t="s">
        <v>2910</v>
      </c>
      <c r="F628" s="8" t="n">
        <v>4</v>
      </c>
      <c r="G628" s="8" t="s">
        <v>2911</v>
      </c>
      <c r="H628" s="8" t="s">
        <v>2912</v>
      </c>
      <c r="I628" s="27" t="s">
        <v>2917</v>
      </c>
      <c r="J628" s="8" t="s">
        <v>291</v>
      </c>
      <c r="K628" s="8" t="s">
        <v>417</v>
      </c>
      <c r="L628" s="8"/>
      <c r="M628" s="8" t="str">
        <f aca="false">IF(K628="FUERA","Fuera del marco",IF(K628="N/A","Sin marco",IFERROR(INDEX(Catalogo_TIMSS!$C$5:$C$105,MATCH(K628,Catalogo_TIMSS!$A$5:$A$105,0)),"Pendiente de clasificar")))</f>
        <v>Fuera del marco</v>
      </c>
      <c r="N628" s="8" t="str">
        <f aca="false">IF(K628="FUERA","Fuera del marco",IF(K628="N/A","Sin marco",IFERROR(INDEX(Catalogo_TIMSS!$F$5:$F$105,MATCH(K628,Catalogo_TIMSS!$A$5:$A$105,0)),"Pendiente de clasificar")))</f>
        <v>Fuera del marco</v>
      </c>
      <c r="O628" s="8" t="str">
        <f aca="false">IF(L628="","",IFERROR(INDEX(Catalogo_TIMSS!$C$5:$C$105,MATCH(L628,Catalogo_TIMSS!$A$5:$A$105,0)),"?"))</f>
        <v/>
      </c>
      <c r="P628" s="8" t="s">
        <v>418</v>
      </c>
      <c r="Q628" s="27" t="s">
        <v>2918</v>
      </c>
      <c r="R628" s="27" t="s">
        <v>2919</v>
      </c>
      <c r="S628" s="28" t="n">
        <f aca="false">IFERROR(ISNUMBER(SEARCH("Conocer",$R628))/(ISNUMBER(SEARCH("Conocer",$R628))+ISNUMBER(SEARCH("Aplicar",$R628))+ISNUMBER(SEARCH("Razonar",$R628))),0)</f>
        <v>0</v>
      </c>
      <c r="T628" s="28" t="n">
        <f aca="false">IFERROR(ISNUMBER(SEARCH("Aplicar",$R628))/(ISNUMBER(SEARCH("Conocer",$R628))+ISNUMBER(SEARCH("Aplicar",$R628))+ISNUMBER(SEARCH("Razonar",$R628))),0)</f>
        <v>0.5</v>
      </c>
      <c r="U628" s="28" t="n">
        <f aca="false">IFERROR(ISNUMBER(SEARCH("Razonar",$R628))/(ISNUMBER(SEARCH("Conocer",$R628))+ISNUMBER(SEARCH("Aplicar",$R628))+ISNUMBER(SEARCH("Razonar",$R628))),0)</f>
        <v>0.5</v>
      </c>
      <c r="V628" s="8" t="s">
        <v>54</v>
      </c>
      <c r="W628" s="8" t="s">
        <v>69</v>
      </c>
    </row>
    <row r="629" customFormat="false" ht="15" hidden="false" customHeight="false" outlineLevel="0" collapsed="false">
      <c r="A629" s="8" t="s">
        <v>2920</v>
      </c>
      <c r="B629" s="8" t="n">
        <v>10</v>
      </c>
      <c r="C629" s="8" t="s">
        <v>91</v>
      </c>
      <c r="D629" s="8" t="s">
        <v>2909</v>
      </c>
      <c r="E629" s="8" t="s">
        <v>2910</v>
      </c>
      <c r="F629" s="8" t="n">
        <v>5</v>
      </c>
      <c r="G629" s="8" t="s">
        <v>2911</v>
      </c>
      <c r="H629" s="8" t="s">
        <v>2921</v>
      </c>
      <c r="I629" s="27" t="s">
        <v>2922</v>
      </c>
      <c r="J629" s="8" t="s">
        <v>291</v>
      </c>
      <c r="K629" s="8" t="s">
        <v>417</v>
      </c>
      <c r="L629" s="8"/>
      <c r="M629" s="8" t="str">
        <f aca="false">IF(K629="FUERA","Fuera del marco",IF(K629="N/A","Sin marco",IFERROR(INDEX(Catalogo_TIMSS!$C$5:$C$105,MATCH(K629,Catalogo_TIMSS!$A$5:$A$105,0)),"Pendiente de clasificar")))</f>
        <v>Fuera del marco</v>
      </c>
      <c r="N629" s="8" t="str">
        <f aca="false">IF(K629="FUERA","Fuera del marco",IF(K629="N/A","Sin marco",IFERROR(INDEX(Catalogo_TIMSS!$F$5:$F$105,MATCH(K629,Catalogo_TIMSS!$A$5:$A$105,0)),"Pendiente de clasificar")))</f>
        <v>Fuera del marco</v>
      </c>
      <c r="O629" s="8" t="str">
        <f aca="false">IF(L629="","",IFERROR(INDEX(Catalogo_TIMSS!$C$5:$C$105,MATCH(L629,Catalogo_TIMSS!$A$5:$A$105,0)),"?"))</f>
        <v/>
      </c>
      <c r="P629" s="8" t="s">
        <v>418</v>
      </c>
      <c r="Q629" s="27" t="s">
        <v>2923</v>
      </c>
      <c r="R629" s="27" t="s">
        <v>2924</v>
      </c>
      <c r="S629" s="28" t="n">
        <f aca="false">IFERROR(ISNUMBER(SEARCH("Conocer",$R629))/(ISNUMBER(SEARCH("Conocer",$R629))+ISNUMBER(SEARCH("Aplicar",$R629))+ISNUMBER(SEARCH("Razonar",$R629))),0)</f>
        <v>0</v>
      </c>
      <c r="T629" s="28" t="n">
        <f aca="false">IFERROR(ISNUMBER(SEARCH("Aplicar",$R629))/(ISNUMBER(SEARCH("Conocer",$R629))+ISNUMBER(SEARCH("Aplicar",$R629))+ISNUMBER(SEARCH("Razonar",$R629))),0)</f>
        <v>0.5</v>
      </c>
      <c r="U629" s="28" t="n">
        <f aca="false">IFERROR(ISNUMBER(SEARCH("Razonar",$R629))/(ISNUMBER(SEARCH("Conocer",$R629))+ISNUMBER(SEARCH("Aplicar",$R629))+ISNUMBER(SEARCH("Razonar",$R629))),0)</f>
        <v>0.5</v>
      </c>
      <c r="V629" s="8" t="s">
        <v>54</v>
      </c>
      <c r="W629" s="8" t="s">
        <v>69</v>
      </c>
    </row>
    <row r="630" customFormat="false" ht="15" hidden="false" customHeight="false" outlineLevel="0" collapsed="false">
      <c r="A630" s="8" t="s">
        <v>2925</v>
      </c>
      <c r="B630" s="8" t="n">
        <v>10</v>
      </c>
      <c r="C630" s="8" t="s">
        <v>91</v>
      </c>
      <c r="D630" s="8" t="s">
        <v>2909</v>
      </c>
      <c r="E630" s="8" t="s">
        <v>2910</v>
      </c>
      <c r="F630" s="8" t="n">
        <v>6</v>
      </c>
      <c r="G630" s="8" t="s">
        <v>2911</v>
      </c>
      <c r="H630" s="8" t="s">
        <v>2926</v>
      </c>
      <c r="I630" s="27" t="s">
        <v>2927</v>
      </c>
      <c r="J630" s="8" t="s">
        <v>291</v>
      </c>
      <c r="K630" s="8" t="s">
        <v>417</v>
      </c>
      <c r="L630" s="8"/>
      <c r="M630" s="8" t="str">
        <f aca="false">IF(K630="FUERA","Fuera del marco",IF(K630="N/A","Sin marco",IFERROR(INDEX(Catalogo_TIMSS!$C$5:$C$105,MATCH(K630,Catalogo_TIMSS!$A$5:$A$105,0)),"Pendiente de clasificar")))</f>
        <v>Fuera del marco</v>
      </c>
      <c r="N630" s="8" t="str">
        <f aca="false">IF(K630="FUERA","Fuera del marco",IF(K630="N/A","Sin marco",IFERROR(INDEX(Catalogo_TIMSS!$F$5:$F$105,MATCH(K630,Catalogo_TIMSS!$A$5:$A$105,0)),"Pendiente de clasificar")))</f>
        <v>Fuera del marco</v>
      </c>
      <c r="O630" s="8" t="str">
        <f aca="false">IF(L630="","",IFERROR(INDEX(Catalogo_TIMSS!$C$5:$C$105,MATCH(L630,Catalogo_TIMSS!$A$5:$A$105,0)),"?"))</f>
        <v/>
      </c>
      <c r="P630" s="8" t="s">
        <v>418</v>
      </c>
      <c r="Q630" s="27" t="s">
        <v>2928</v>
      </c>
      <c r="R630" s="27" t="s">
        <v>2929</v>
      </c>
      <c r="S630" s="28" t="n">
        <f aca="false">IFERROR(ISNUMBER(SEARCH("Conocer",$R630))/(ISNUMBER(SEARCH("Conocer",$R630))+ISNUMBER(SEARCH("Aplicar",$R630))+ISNUMBER(SEARCH("Razonar",$R630))),0)</f>
        <v>0</v>
      </c>
      <c r="T630" s="28" t="n">
        <f aca="false">IFERROR(ISNUMBER(SEARCH("Aplicar",$R630))/(ISNUMBER(SEARCH("Conocer",$R630))+ISNUMBER(SEARCH("Aplicar",$R630))+ISNUMBER(SEARCH("Razonar",$R630))),0)</f>
        <v>0.5</v>
      </c>
      <c r="U630" s="28" t="n">
        <f aca="false">IFERROR(ISNUMBER(SEARCH("Razonar",$R630))/(ISNUMBER(SEARCH("Conocer",$R630))+ISNUMBER(SEARCH("Aplicar",$R630))+ISNUMBER(SEARCH("Razonar",$R630))),0)</f>
        <v>0.5</v>
      </c>
      <c r="V630" s="8" t="s">
        <v>54</v>
      </c>
      <c r="W630" s="8" t="s">
        <v>69</v>
      </c>
    </row>
    <row r="631" customFormat="false" ht="15" hidden="false" customHeight="false" outlineLevel="0" collapsed="false">
      <c r="A631" s="8" t="s">
        <v>2930</v>
      </c>
      <c r="B631" s="8" t="n">
        <v>10</v>
      </c>
      <c r="C631" s="8" t="s">
        <v>91</v>
      </c>
      <c r="D631" s="8" t="s">
        <v>2909</v>
      </c>
      <c r="E631" s="8" t="s">
        <v>2910</v>
      </c>
      <c r="F631" s="8" t="n">
        <v>7</v>
      </c>
      <c r="G631" s="8" t="s">
        <v>2911</v>
      </c>
      <c r="H631" s="8" t="s">
        <v>2931</v>
      </c>
      <c r="I631" s="27" t="s">
        <v>2932</v>
      </c>
      <c r="J631" s="8" t="s">
        <v>291</v>
      </c>
      <c r="K631" s="8" t="s">
        <v>417</v>
      </c>
      <c r="L631" s="8"/>
      <c r="M631" s="8" t="str">
        <f aca="false">IF(K631="FUERA","Fuera del marco",IF(K631="N/A","Sin marco",IFERROR(INDEX(Catalogo_TIMSS!$C$5:$C$105,MATCH(K631,Catalogo_TIMSS!$A$5:$A$105,0)),"Pendiente de clasificar")))</f>
        <v>Fuera del marco</v>
      </c>
      <c r="N631" s="8" t="str">
        <f aca="false">IF(K631="FUERA","Fuera del marco",IF(K631="N/A","Sin marco",IFERROR(INDEX(Catalogo_TIMSS!$F$5:$F$105,MATCH(K631,Catalogo_TIMSS!$A$5:$A$105,0)),"Pendiente de clasificar")))</f>
        <v>Fuera del marco</v>
      </c>
      <c r="O631" s="8" t="str">
        <f aca="false">IF(L631="","",IFERROR(INDEX(Catalogo_TIMSS!$C$5:$C$105,MATCH(L631,Catalogo_TIMSS!$A$5:$A$105,0)),"?"))</f>
        <v/>
      </c>
      <c r="P631" s="8" t="s">
        <v>460</v>
      </c>
      <c r="Q631" s="27" t="s">
        <v>2933</v>
      </c>
      <c r="R631" s="27" t="s">
        <v>2934</v>
      </c>
      <c r="S631" s="28" t="n">
        <f aca="false">IFERROR(ISNUMBER(SEARCH("Conocer",$R631))/(ISNUMBER(SEARCH("Conocer",$R631))+ISNUMBER(SEARCH("Aplicar",$R631))+ISNUMBER(SEARCH("Razonar",$R631))),0)</f>
        <v>0</v>
      </c>
      <c r="T631" s="28" t="n">
        <f aca="false">IFERROR(ISNUMBER(SEARCH("Aplicar",$R631))/(ISNUMBER(SEARCH("Conocer",$R631))+ISNUMBER(SEARCH("Aplicar",$R631))+ISNUMBER(SEARCH("Razonar",$R631))),0)</f>
        <v>0.5</v>
      </c>
      <c r="U631" s="28" t="n">
        <f aca="false">IFERROR(ISNUMBER(SEARCH("Razonar",$R631))/(ISNUMBER(SEARCH("Conocer",$R631))+ISNUMBER(SEARCH("Aplicar",$R631))+ISNUMBER(SEARCH("Razonar",$R631))),0)</f>
        <v>0.5</v>
      </c>
      <c r="V631" s="8" t="s">
        <v>54</v>
      </c>
      <c r="W631" s="8" t="s">
        <v>69</v>
      </c>
    </row>
    <row r="632" customFormat="false" ht="15" hidden="false" customHeight="false" outlineLevel="0" collapsed="false">
      <c r="A632" s="8" t="s">
        <v>2935</v>
      </c>
      <c r="B632" s="8" t="n">
        <v>10</v>
      </c>
      <c r="C632" s="8" t="s">
        <v>91</v>
      </c>
      <c r="D632" s="8" t="s">
        <v>2909</v>
      </c>
      <c r="E632" s="8" t="s">
        <v>2910</v>
      </c>
      <c r="F632" s="8" t="n">
        <v>8</v>
      </c>
      <c r="G632" s="8" t="s">
        <v>2911</v>
      </c>
      <c r="H632" s="8" t="s">
        <v>2936</v>
      </c>
      <c r="I632" s="27" t="s">
        <v>2937</v>
      </c>
      <c r="J632" s="8" t="s">
        <v>291</v>
      </c>
      <c r="K632" s="8" t="s">
        <v>417</v>
      </c>
      <c r="L632" s="8"/>
      <c r="M632" s="8" t="str">
        <f aca="false">IF(K632="FUERA","Fuera del marco",IF(K632="N/A","Sin marco",IFERROR(INDEX(Catalogo_TIMSS!$C$5:$C$105,MATCH(K632,Catalogo_TIMSS!$A$5:$A$105,0)),"Pendiente de clasificar")))</f>
        <v>Fuera del marco</v>
      </c>
      <c r="N632" s="8" t="str">
        <f aca="false">IF(K632="FUERA","Fuera del marco",IF(K632="N/A","Sin marco",IFERROR(INDEX(Catalogo_TIMSS!$F$5:$F$105,MATCH(K632,Catalogo_TIMSS!$A$5:$A$105,0)),"Pendiente de clasificar")))</f>
        <v>Fuera del marco</v>
      </c>
      <c r="O632" s="8" t="str">
        <f aca="false">IF(L632="","",IFERROR(INDEX(Catalogo_TIMSS!$C$5:$C$105,MATCH(L632,Catalogo_TIMSS!$A$5:$A$105,0)),"?"))</f>
        <v/>
      </c>
      <c r="P632" s="8" t="s">
        <v>418</v>
      </c>
      <c r="Q632" s="27" t="s">
        <v>2938</v>
      </c>
      <c r="R632" s="27" t="s">
        <v>2939</v>
      </c>
      <c r="S632" s="28" t="n">
        <f aca="false">IFERROR(ISNUMBER(SEARCH("Conocer",$R632))/(ISNUMBER(SEARCH("Conocer",$R632))+ISNUMBER(SEARCH("Aplicar",$R632))+ISNUMBER(SEARCH("Razonar",$R632))),0)</f>
        <v>0</v>
      </c>
      <c r="T632" s="28" t="n">
        <f aca="false">IFERROR(ISNUMBER(SEARCH("Aplicar",$R632))/(ISNUMBER(SEARCH("Conocer",$R632))+ISNUMBER(SEARCH("Aplicar",$R632))+ISNUMBER(SEARCH("Razonar",$R632))),0)</f>
        <v>0.5</v>
      </c>
      <c r="U632" s="28" t="n">
        <f aca="false">IFERROR(ISNUMBER(SEARCH("Razonar",$R632))/(ISNUMBER(SEARCH("Conocer",$R632))+ISNUMBER(SEARCH("Aplicar",$R632))+ISNUMBER(SEARCH("Razonar",$R632))),0)</f>
        <v>0.5</v>
      </c>
      <c r="V632" s="8" t="s">
        <v>54</v>
      </c>
      <c r="W632" s="8" t="s">
        <v>69</v>
      </c>
    </row>
    <row r="633" customFormat="false" ht="15" hidden="false" customHeight="false" outlineLevel="0" collapsed="false">
      <c r="A633" s="8" t="s">
        <v>2940</v>
      </c>
      <c r="B633" s="8" t="n">
        <v>10</v>
      </c>
      <c r="C633" s="8" t="s">
        <v>91</v>
      </c>
      <c r="D633" s="8" t="s">
        <v>2909</v>
      </c>
      <c r="E633" s="8" t="s">
        <v>2910</v>
      </c>
      <c r="F633" s="8" t="n">
        <v>9</v>
      </c>
      <c r="G633" s="8" t="s">
        <v>2941</v>
      </c>
      <c r="H633" s="8" t="s">
        <v>2942</v>
      </c>
      <c r="I633" s="27" t="s">
        <v>2943</v>
      </c>
      <c r="J633" s="8" t="s">
        <v>291</v>
      </c>
      <c r="K633" s="8" t="s">
        <v>417</v>
      </c>
      <c r="L633" s="8"/>
      <c r="M633" s="8" t="str">
        <f aca="false">IF(K633="FUERA","Fuera del marco",IF(K633="N/A","Sin marco",IFERROR(INDEX(Catalogo_TIMSS!$C$5:$C$105,MATCH(K633,Catalogo_TIMSS!$A$5:$A$105,0)),"Pendiente de clasificar")))</f>
        <v>Fuera del marco</v>
      </c>
      <c r="N633" s="8" t="str">
        <f aca="false">IF(K633="FUERA","Fuera del marco",IF(K633="N/A","Sin marco",IFERROR(INDEX(Catalogo_TIMSS!$F$5:$F$105,MATCH(K633,Catalogo_TIMSS!$A$5:$A$105,0)),"Pendiente de clasificar")))</f>
        <v>Fuera del marco</v>
      </c>
      <c r="O633" s="8" t="str">
        <f aca="false">IF(L633="","",IFERROR(INDEX(Catalogo_TIMSS!$C$5:$C$105,MATCH(L633,Catalogo_TIMSS!$A$5:$A$105,0)),"?"))</f>
        <v/>
      </c>
      <c r="P633" s="8" t="s">
        <v>418</v>
      </c>
      <c r="Q633" s="27" t="s">
        <v>2944</v>
      </c>
      <c r="R633" s="27" t="s">
        <v>2945</v>
      </c>
      <c r="S633" s="28" t="n">
        <f aca="false">IFERROR(ISNUMBER(SEARCH("Conocer",$R633))/(ISNUMBER(SEARCH("Conocer",$R633))+ISNUMBER(SEARCH("Aplicar",$R633))+ISNUMBER(SEARCH("Razonar",$R633))),0)</f>
        <v>0</v>
      </c>
      <c r="T633" s="28" t="n">
        <f aca="false">IFERROR(ISNUMBER(SEARCH("Aplicar",$R633))/(ISNUMBER(SEARCH("Conocer",$R633))+ISNUMBER(SEARCH("Aplicar",$R633))+ISNUMBER(SEARCH("Razonar",$R633))),0)</f>
        <v>0.5</v>
      </c>
      <c r="U633" s="28" t="n">
        <f aca="false">IFERROR(ISNUMBER(SEARCH("Razonar",$R633))/(ISNUMBER(SEARCH("Conocer",$R633))+ISNUMBER(SEARCH("Aplicar",$R633))+ISNUMBER(SEARCH("Razonar",$R633))),0)</f>
        <v>0.5</v>
      </c>
      <c r="V633" s="8" t="s">
        <v>54</v>
      </c>
      <c r="W633" s="8" t="s">
        <v>69</v>
      </c>
    </row>
    <row r="634" customFormat="false" ht="15" hidden="false" customHeight="false" outlineLevel="0" collapsed="false">
      <c r="A634" s="8" t="s">
        <v>2946</v>
      </c>
      <c r="B634" s="8" t="n">
        <v>10</v>
      </c>
      <c r="C634" s="8" t="s">
        <v>91</v>
      </c>
      <c r="D634" s="8" t="s">
        <v>2909</v>
      </c>
      <c r="E634" s="8" t="s">
        <v>2910</v>
      </c>
      <c r="F634" s="8" t="n">
        <v>10</v>
      </c>
      <c r="G634" s="8" t="s">
        <v>2941</v>
      </c>
      <c r="H634" s="8" t="s">
        <v>2942</v>
      </c>
      <c r="I634" s="27" t="s">
        <v>2947</v>
      </c>
      <c r="J634" s="8" t="s">
        <v>291</v>
      </c>
      <c r="K634" s="8" t="s">
        <v>417</v>
      </c>
      <c r="L634" s="8"/>
      <c r="M634" s="8" t="str">
        <f aca="false">IF(K634="FUERA","Fuera del marco",IF(K634="N/A","Sin marco",IFERROR(INDEX(Catalogo_TIMSS!$C$5:$C$105,MATCH(K634,Catalogo_TIMSS!$A$5:$A$105,0)),"Pendiente de clasificar")))</f>
        <v>Fuera del marco</v>
      </c>
      <c r="N634" s="8" t="str">
        <f aca="false">IF(K634="FUERA","Fuera del marco",IF(K634="N/A","Sin marco",IFERROR(INDEX(Catalogo_TIMSS!$F$5:$F$105,MATCH(K634,Catalogo_TIMSS!$A$5:$A$105,0)),"Pendiente de clasificar")))</f>
        <v>Fuera del marco</v>
      </c>
      <c r="O634" s="8" t="str">
        <f aca="false">IF(L634="","",IFERROR(INDEX(Catalogo_TIMSS!$C$5:$C$105,MATCH(L634,Catalogo_TIMSS!$A$5:$A$105,0)),"?"))</f>
        <v/>
      </c>
      <c r="P634" s="8" t="s">
        <v>418</v>
      </c>
      <c r="Q634" s="27" t="s">
        <v>2948</v>
      </c>
      <c r="R634" s="27" t="s">
        <v>2949</v>
      </c>
      <c r="S634" s="28" t="n">
        <f aca="false">IFERROR(ISNUMBER(SEARCH("Conocer",$R634))/(ISNUMBER(SEARCH("Conocer",$R634))+ISNUMBER(SEARCH("Aplicar",$R634))+ISNUMBER(SEARCH("Razonar",$R634))),0)</f>
        <v>0</v>
      </c>
      <c r="T634" s="28" t="n">
        <f aca="false">IFERROR(ISNUMBER(SEARCH("Aplicar",$R634))/(ISNUMBER(SEARCH("Conocer",$R634))+ISNUMBER(SEARCH("Aplicar",$R634))+ISNUMBER(SEARCH("Razonar",$R634))),0)</f>
        <v>0.5</v>
      </c>
      <c r="U634" s="28" t="n">
        <f aca="false">IFERROR(ISNUMBER(SEARCH("Razonar",$R634))/(ISNUMBER(SEARCH("Conocer",$R634))+ISNUMBER(SEARCH("Aplicar",$R634))+ISNUMBER(SEARCH("Razonar",$R634))),0)</f>
        <v>0.5</v>
      </c>
      <c r="V634" s="8" t="s">
        <v>54</v>
      </c>
      <c r="W634" s="8" t="s">
        <v>69</v>
      </c>
    </row>
    <row r="635" customFormat="false" ht="15" hidden="false" customHeight="false" outlineLevel="0" collapsed="false">
      <c r="A635" s="8" t="s">
        <v>2950</v>
      </c>
      <c r="B635" s="8" t="n">
        <v>10</v>
      </c>
      <c r="C635" s="8" t="s">
        <v>91</v>
      </c>
      <c r="D635" s="8" t="s">
        <v>2909</v>
      </c>
      <c r="E635" s="8" t="s">
        <v>2910</v>
      </c>
      <c r="F635" s="8" t="n">
        <v>11</v>
      </c>
      <c r="G635" s="8" t="s">
        <v>2941</v>
      </c>
      <c r="H635" s="8" t="s">
        <v>2951</v>
      </c>
      <c r="I635" s="27" t="s">
        <v>2952</v>
      </c>
      <c r="J635" s="8" t="s">
        <v>291</v>
      </c>
      <c r="K635" s="8" t="s">
        <v>417</v>
      </c>
      <c r="L635" s="8"/>
      <c r="M635" s="8" t="str">
        <f aca="false">IF(K635="FUERA","Fuera del marco",IF(K635="N/A","Sin marco",IFERROR(INDEX(Catalogo_TIMSS!$C$5:$C$105,MATCH(K635,Catalogo_TIMSS!$A$5:$A$105,0)),"Pendiente de clasificar")))</f>
        <v>Fuera del marco</v>
      </c>
      <c r="N635" s="8" t="str">
        <f aca="false">IF(K635="FUERA","Fuera del marco",IF(K635="N/A","Sin marco",IFERROR(INDEX(Catalogo_TIMSS!$F$5:$F$105,MATCH(K635,Catalogo_TIMSS!$A$5:$A$105,0)),"Pendiente de clasificar")))</f>
        <v>Fuera del marco</v>
      </c>
      <c r="O635" s="8" t="str">
        <f aca="false">IF(L635="","",IFERROR(INDEX(Catalogo_TIMSS!$C$5:$C$105,MATCH(L635,Catalogo_TIMSS!$A$5:$A$105,0)),"?"))</f>
        <v/>
      </c>
      <c r="P635" s="8" t="s">
        <v>418</v>
      </c>
      <c r="Q635" s="27" t="s">
        <v>2953</v>
      </c>
      <c r="R635" s="27" t="s">
        <v>2954</v>
      </c>
      <c r="S635" s="28" t="n">
        <f aca="false">IFERROR(ISNUMBER(SEARCH("Conocer",$R635))/(ISNUMBER(SEARCH("Conocer",$R635))+ISNUMBER(SEARCH("Aplicar",$R635))+ISNUMBER(SEARCH("Razonar",$R635))),0)</f>
        <v>0</v>
      </c>
      <c r="T635" s="28" t="n">
        <f aca="false">IFERROR(ISNUMBER(SEARCH("Aplicar",$R635))/(ISNUMBER(SEARCH("Conocer",$R635))+ISNUMBER(SEARCH("Aplicar",$R635))+ISNUMBER(SEARCH("Razonar",$R635))),0)</f>
        <v>0.5</v>
      </c>
      <c r="U635" s="28" t="n">
        <f aca="false">IFERROR(ISNUMBER(SEARCH("Razonar",$R635))/(ISNUMBER(SEARCH("Conocer",$R635))+ISNUMBER(SEARCH("Aplicar",$R635))+ISNUMBER(SEARCH("Razonar",$R635))),0)</f>
        <v>0.5</v>
      </c>
      <c r="V635" s="8" t="s">
        <v>54</v>
      </c>
      <c r="W635" s="8" t="s">
        <v>69</v>
      </c>
    </row>
    <row r="636" customFormat="false" ht="15" hidden="false" customHeight="false" outlineLevel="0" collapsed="false">
      <c r="A636" s="8" t="s">
        <v>2955</v>
      </c>
      <c r="B636" s="8" t="n">
        <v>10</v>
      </c>
      <c r="C636" s="8" t="s">
        <v>91</v>
      </c>
      <c r="D636" s="8" t="s">
        <v>2909</v>
      </c>
      <c r="E636" s="8" t="s">
        <v>2910</v>
      </c>
      <c r="F636" s="8" t="n">
        <v>12</v>
      </c>
      <c r="G636" s="8" t="s">
        <v>2941</v>
      </c>
      <c r="H636" s="8" t="s">
        <v>2233</v>
      </c>
      <c r="I636" s="27" t="s">
        <v>2956</v>
      </c>
      <c r="J636" s="8" t="s">
        <v>291</v>
      </c>
      <c r="K636" s="8" t="s">
        <v>417</v>
      </c>
      <c r="L636" s="8"/>
      <c r="M636" s="8" t="str">
        <f aca="false">IF(K636="FUERA","Fuera del marco",IF(K636="N/A","Sin marco",IFERROR(INDEX(Catalogo_TIMSS!$C$5:$C$105,MATCH(K636,Catalogo_TIMSS!$A$5:$A$105,0)),"Pendiente de clasificar")))</f>
        <v>Fuera del marco</v>
      </c>
      <c r="N636" s="8" t="str">
        <f aca="false">IF(K636="FUERA","Fuera del marco",IF(K636="N/A","Sin marco",IFERROR(INDEX(Catalogo_TIMSS!$F$5:$F$105,MATCH(K636,Catalogo_TIMSS!$A$5:$A$105,0)),"Pendiente de clasificar")))</f>
        <v>Fuera del marco</v>
      </c>
      <c r="O636" s="8" t="str">
        <f aca="false">IF(L636="","",IFERROR(INDEX(Catalogo_TIMSS!$C$5:$C$105,MATCH(L636,Catalogo_TIMSS!$A$5:$A$105,0)),"?"))</f>
        <v/>
      </c>
      <c r="P636" s="8" t="s">
        <v>418</v>
      </c>
      <c r="Q636" s="27" t="s">
        <v>2957</v>
      </c>
      <c r="R636" s="27" t="s">
        <v>2958</v>
      </c>
      <c r="S636" s="28" t="n">
        <f aca="false">IFERROR(ISNUMBER(SEARCH("Conocer",$R636))/(ISNUMBER(SEARCH("Conocer",$R636))+ISNUMBER(SEARCH("Aplicar",$R636))+ISNUMBER(SEARCH("Razonar",$R636))),0)</f>
        <v>0.5</v>
      </c>
      <c r="T636" s="28" t="n">
        <f aca="false">IFERROR(ISNUMBER(SEARCH("Aplicar",$R636))/(ISNUMBER(SEARCH("Conocer",$R636))+ISNUMBER(SEARCH("Aplicar",$R636))+ISNUMBER(SEARCH("Razonar",$R636))),0)</f>
        <v>0.5</v>
      </c>
      <c r="U636" s="28" t="n">
        <f aca="false">IFERROR(ISNUMBER(SEARCH("Razonar",$R636))/(ISNUMBER(SEARCH("Conocer",$R636))+ISNUMBER(SEARCH("Aplicar",$R636))+ISNUMBER(SEARCH("Razonar",$R636))),0)</f>
        <v>0</v>
      </c>
      <c r="V636" s="8" t="s">
        <v>54</v>
      </c>
      <c r="W636" s="8" t="s">
        <v>69</v>
      </c>
    </row>
    <row r="637" customFormat="false" ht="15" hidden="false" customHeight="false" outlineLevel="0" collapsed="false">
      <c r="A637" s="8" t="s">
        <v>2959</v>
      </c>
      <c r="B637" s="8" t="n">
        <v>10</v>
      </c>
      <c r="C637" s="8" t="s">
        <v>91</v>
      </c>
      <c r="D637" s="8" t="s">
        <v>2909</v>
      </c>
      <c r="E637" s="8" t="s">
        <v>2910</v>
      </c>
      <c r="F637" s="8" t="n">
        <v>13</v>
      </c>
      <c r="G637" s="8" t="s">
        <v>2941</v>
      </c>
      <c r="H637" s="8" t="s">
        <v>2233</v>
      </c>
      <c r="I637" s="27" t="s">
        <v>2960</v>
      </c>
      <c r="J637" s="8" t="s">
        <v>291</v>
      </c>
      <c r="K637" s="8" t="s">
        <v>417</v>
      </c>
      <c r="L637" s="8"/>
      <c r="M637" s="8" t="str">
        <f aca="false">IF(K637="FUERA","Fuera del marco",IF(K637="N/A","Sin marco",IFERROR(INDEX(Catalogo_TIMSS!$C$5:$C$105,MATCH(K637,Catalogo_TIMSS!$A$5:$A$105,0)),"Pendiente de clasificar")))</f>
        <v>Fuera del marco</v>
      </c>
      <c r="N637" s="8" t="str">
        <f aca="false">IF(K637="FUERA","Fuera del marco",IF(K637="N/A","Sin marco",IFERROR(INDEX(Catalogo_TIMSS!$F$5:$F$105,MATCH(K637,Catalogo_TIMSS!$A$5:$A$105,0)),"Pendiente de clasificar")))</f>
        <v>Fuera del marco</v>
      </c>
      <c r="O637" s="8" t="str">
        <f aca="false">IF(L637="","",IFERROR(INDEX(Catalogo_TIMSS!$C$5:$C$105,MATCH(L637,Catalogo_TIMSS!$A$5:$A$105,0)),"?"))</f>
        <v/>
      </c>
      <c r="P637" s="8" t="s">
        <v>418</v>
      </c>
      <c r="Q637" s="27" t="s">
        <v>2961</v>
      </c>
      <c r="R637" s="27" t="s">
        <v>2962</v>
      </c>
      <c r="S637" s="28" t="n">
        <f aca="false">IFERROR(ISNUMBER(SEARCH("Conocer",$R637))/(ISNUMBER(SEARCH("Conocer",$R637))+ISNUMBER(SEARCH("Aplicar",$R637))+ISNUMBER(SEARCH("Razonar",$R637))),0)</f>
        <v>0</v>
      </c>
      <c r="T637" s="28" t="n">
        <f aca="false">IFERROR(ISNUMBER(SEARCH("Aplicar",$R637))/(ISNUMBER(SEARCH("Conocer",$R637))+ISNUMBER(SEARCH("Aplicar",$R637))+ISNUMBER(SEARCH("Razonar",$R637))),0)</f>
        <v>0.5</v>
      </c>
      <c r="U637" s="28" t="n">
        <f aca="false">IFERROR(ISNUMBER(SEARCH("Razonar",$R637))/(ISNUMBER(SEARCH("Conocer",$R637))+ISNUMBER(SEARCH("Aplicar",$R637))+ISNUMBER(SEARCH("Razonar",$R637))),0)</f>
        <v>0.5</v>
      </c>
      <c r="V637" s="8" t="s">
        <v>54</v>
      </c>
      <c r="W637" s="8" t="s">
        <v>69</v>
      </c>
    </row>
    <row r="638" customFormat="false" ht="15" hidden="false" customHeight="false" outlineLevel="0" collapsed="false">
      <c r="A638" s="8" t="s">
        <v>2963</v>
      </c>
      <c r="B638" s="8" t="n">
        <v>10</v>
      </c>
      <c r="C638" s="8" t="s">
        <v>91</v>
      </c>
      <c r="D638" s="8" t="s">
        <v>2909</v>
      </c>
      <c r="E638" s="8" t="s">
        <v>2910</v>
      </c>
      <c r="F638" s="8" t="n">
        <v>14</v>
      </c>
      <c r="G638" s="8" t="s">
        <v>2941</v>
      </c>
      <c r="H638" s="8" t="s">
        <v>2233</v>
      </c>
      <c r="I638" s="27" t="s">
        <v>2964</v>
      </c>
      <c r="J638" s="8" t="s">
        <v>291</v>
      </c>
      <c r="K638" s="8" t="s">
        <v>417</v>
      </c>
      <c r="L638" s="8"/>
      <c r="M638" s="8" t="str">
        <f aca="false">IF(K638="FUERA","Fuera del marco",IF(K638="N/A","Sin marco",IFERROR(INDEX(Catalogo_TIMSS!$C$5:$C$105,MATCH(K638,Catalogo_TIMSS!$A$5:$A$105,0)),"Pendiente de clasificar")))</f>
        <v>Fuera del marco</v>
      </c>
      <c r="N638" s="8" t="str">
        <f aca="false">IF(K638="FUERA","Fuera del marco",IF(K638="N/A","Sin marco",IFERROR(INDEX(Catalogo_TIMSS!$F$5:$F$105,MATCH(K638,Catalogo_TIMSS!$A$5:$A$105,0)),"Pendiente de clasificar")))</f>
        <v>Fuera del marco</v>
      </c>
      <c r="O638" s="8" t="str">
        <f aca="false">IF(L638="","",IFERROR(INDEX(Catalogo_TIMSS!$C$5:$C$105,MATCH(L638,Catalogo_TIMSS!$A$5:$A$105,0)),"?"))</f>
        <v/>
      </c>
      <c r="P638" s="8" t="s">
        <v>418</v>
      </c>
      <c r="Q638" s="27" t="s">
        <v>2965</v>
      </c>
      <c r="R638" s="27" t="s">
        <v>2966</v>
      </c>
      <c r="S638" s="28" t="n">
        <f aca="false">IFERROR(ISNUMBER(SEARCH("Conocer",$R638))/(ISNUMBER(SEARCH("Conocer",$R638))+ISNUMBER(SEARCH("Aplicar",$R638))+ISNUMBER(SEARCH("Razonar",$R638))),0)</f>
        <v>0</v>
      </c>
      <c r="T638" s="28" t="n">
        <f aca="false">IFERROR(ISNUMBER(SEARCH("Aplicar",$R638))/(ISNUMBER(SEARCH("Conocer",$R638))+ISNUMBER(SEARCH("Aplicar",$R638))+ISNUMBER(SEARCH("Razonar",$R638))),0)</f>
        <v>0.5</v>
      </c>
      <c r="U638" s="28" t="n">
        <f aca="false">IFERROR(ISNUMBER(SEARCH("Razonar",$R638))/(ISNUMBER(SEARCH("Conocer",$R638))+ISNUMBER(SEARCH("Aplicar",$R638))+ISNUMBER(SEARCH("Razonar",$R638))),0)</f>
        <v>0.5</v>
      </c>
      <c r="V638" s="8" t="s">
        <v>54</v>
      </c>
      <c r="W638" s="8" t="s">
        <v>69</v>
      </c>
    </row>
    <row r="639" customFormat="false" ht="15" hidden="false" customHeight="false" outlineLevel="0" collapsed="false">
      <c r="A639" s="8" t="s">
        <v>2967</v>
      </c>
      <c r="B639" s="8" t="n">
        <v>10</v>
      </c>
      <c r="C639" s="8" t="s">
        <v>91</v>
      </c>
      <c r="D639" s="8" t="s">
        <v>2909</v>
      </c>
      <c r="E639" s="8" t="s">
        <v>2910</v>
      </c>
      <c r="F639" s="8" t="n">
        <v>15</v>
      </c>
      <c r="G639" s="8" t="s">
        <v>2941</v>
      </c>
      <c r="H639" s="8" t="s">
        <v>2233</v>
      </c>
      <c r="I639" s="27" t="s">
        <v>2968</v>
      </c>
      <c r="J639" s="8" t="s">
        <v>291</v>
      </c>
      <c r="K639" s="8" t="s">
        <v>417</v>
      </c>
      <c r="L639" s="8"/>
      <c r="M639" s="8" t="str">
        <f aca="false">IF(K639="FUERA","Fuera del marco",IF(K639="N/A","Sin marco",IFERROR(INDEX(Catalogo_TIMSS!$C$5:$C$105,MATCH(K639,Catalogo_TIMSS!$A$5:$A$105,0)),"Pendiente de clasificar")))</f>
        <v>Fuera del marco</v>
      </c>
      <c r="N639" s="8" t="str">
        <f aca="false">IF(K639="FUERA","Fuera del marco",IF(K639="N/A","Sin marco",IFERROR(INDEX(Catalogo_TIMSS!$F$5:$F$105,MATCH(K639,Catalogo_TIMSS!$A$5:$A$105,0)),"Pendiente de clasificar")))</f>
        <v>Fuera del marco</v>
      </c>
      <c r="O639" s="8" t="str">
        <f aca="false">IF(L639="","",IFERROR(INDEX(Catalogo_TIMSS!$C$5:$C$105,MATCH(L639,Catalogo_TIMSS!$A$5:$A$105,0)),"?"))</f>
        <v/>
      </c>
      <c r="P639" s="8" t="s">
        <v>460</v>
      </c>
      <c r="Q639" s="27" t="s">
        <v>2969</v>
      </c>
      <c r="R639" s="27" t="s">
        <v>2970</v>
      </c>
      <c r="S639" s="28" t="n">
        <f aca="false">IFERROR(ISNUMBER(SEARCH("Conocer",$R639))/(ISNUMBER(SEARCH("Conocer",$R639))+ISNUMBER(SEARCH("Aplicar",$R639))+ISNUMBER(SEARCH("Razonar",$R639))),0)</f>
        <v>0</v>
      </c>
      <c r="T639" s="28" t="n">
        <f aca="false">IFERROR(ISNUMBER(SEARCH("Aplicar",$R639))/(ISNUMBER(SEARCH("Conocer",$R639))+ISNUMBER(SEARCH("Aplicar",$R639))+ISNUMBER(SEARCH("Razonar",$R639))),0)</f>
        <v>0.5</v>
      </c>
      <c r="U639" s="28" t="n">
        <f aca="false">IFERROR(ISNUMBER(SEARCH("Razonar",$R639))/(ISNUMBER(SEARCH("Conocer",$R639))+ISNUMBER(SEARCH("Aplicar",$R639))+ISNUMBER(SEARCH("Razonar",$R639))),0)</f>
        <v>0.5</v>
      </c>
      <c r="V639" s="8" t="s">
        <v>54</v>
      </c>
      <c r="W639" s="8" t="s">
        <v>69</v>
      </c>
    </row>
    <row r="640" customFormat="false" ht="15" hidden="false" customHeight="false" outlineLevel="0" collapsed="false">
      <c r="A640" s="8" t="s">
        <v>2971</v>
      </c>
      <c r="B640" s="8" t="n">
        <v>10</v>
      </c>
      <c r="C640" s="8" t="s">
        <v>91</v>
      </c>
      <c r="D640" s="8" t="s">
        <v>2909</v>
      </c>
      <c r="E640" s="8" t="s">
        <v>2910</v>
      </c>
      <c r="F640" s="8" t="n">
        <v>16</v>
      </c>
      <c r="G640" s="8" t="s">
        <v>2972</v>
      </c>
      <c r="H640" s="8" t="s">
        <v>2973</v>
      </c>
      <c r="I640" s="27" t="s">
        <v>2974</v>
      </c>
      <c r="J640" s="8" t="s">
        <v>291</v>
      </c>
      <c r="K640" s="8" t="s">
        <v>290</v>
      </c>
      <c r="L640" s="8"/>
      <c r="M640" s="8" t="str">
        <f aca="false">IF(K640="FUERA","Fuera del marco",IF(K640="N/A","Sin marco",IFERROR(INDEX(Catalogo_TIMSS!$C$5:$C$105,MATCH(K640,Catalogo_TIMSS!$A$5:$A$105,0)),"Pendiente de clasificar")))</f>
        <v>Mecánica y termodinámica</v>
      </c>
      <c r="N640" s="8" t="str">
        <f aca="false">IF(K640="FUERA","Fuera del marco",IF(K640="N/A","Sin marco",IFERROR(INDEX(Catalogo_TIMSS!$F$5:$F$105,MATCH(K640,Catalogo_TIMSS!$A$5:$A$105,0)),"Pendiente de clasificar")))</f>
        <v>Fuerzas y movimiento</v>
      </c>
      <c r="O640" s="8" t="str">
        <f aca="false">IF(L640="","",IFERROR(INDEX(Catalogo_TIMSS!$C$5:$C$105,MATCH(L640,Catalogo_TIMSS!$A$5:$A$105,0)),"?"))</f>
        <v/>
      </c>
      <c r="P640" s="8" t="s">
        <v>418</v>
      </c>
      <c r="Q640" s="27" t="s">
        <v>2975</v>
      </c>
      <c r="R640" s="27" t="s">
        <v>2976</v>
      </c>
      <c r="S640" s="28" t="n">
        <f aca="false">IFERROR(ISNUMBER(SEARCH("Conocer",$R640))/(ISNUMBER(SEARCH("Conocer",$R640))+ISNUMBER(SEARCH("Aplicar",$R640))+ISNUMBER(SEARCH("Razonar",$R640))),0)</f>
        <v>0</v>
      </c>
      <c r="T640" s="28" t="n">
        <f aca="false">IFERROR(ISNUMBER(SEARCH("Aplicar",$R640))/(ISNUMBER(SEARCH("Conocer",$R640))+ISNUMBER(SEARCH("Aplicar",$R640))+ISNUMBER(SEARCH("Razonar",$R640))),0)</f>
        <v>0.5</v>
      </c>
      <c r="U640" s="28" t="n">
        <f aca="false">IFERROR(ISNUMBER(SEARCH("Razonar",$R640))/(ISNUMBER(SEARCH("Conocer",$R640))+ISNUMBER(SEARCH("Aplicar",$R640))+ISNUMBER(SEARCH("Razonar",$R640))),0)</f>
        <v>0.5</v>
      </c>
      <c r="V640" s="8" t="s">
        <v>54</v>
      </c>
      <c r="W640" s="8" t="s">
        <v>69</v>
      </c>
    </row>
    <row r="641" customFormat="false" ht="15" hidden="false" customHeight="false" outlineLevel="0" collapsed="false">
      <c r="A641" s="8" t="s">
        <v>2977</v>
      </c>
      <c r="B641" s="8" t="n">
        <v>10</v>
      </c>
      <c r="C641" s="8" t="s">
        <v>91</v>
      </c>
      <c r="D641" s="8" t="s">
        <v>2909</v>
      </c>
      <c r="E641" s="8" t="s">
        <v>2910</v>
      </c>
      <c r="F641" s="8" t="n">
        <v>17</v>
      </c>
      <c r="G641" s="8" t="s">
        <v>2972</v>
      </c>
      <c r="H641" s="8" t="s">
        <v>2973</v>
      </c>
      <c r="I641" s="27" t="s">
        <v>2978</v>
      </c>
      <c r="J641" s="8" t="s">
        <v>291</v>
      </c>
      <c r="K641" s="8" t="s">
        <v>290</v>
      </c>
      <c r="L641" s="8"/>
      <c r="M641" s="8" t="str">
        <f aca="false">IF(K641="FUERA","Fuera del marco",IF(K641="N/A","Sin marco",IFERROR(INDEX(Catalogo_TIMSS!$C$5:$C$105,MATCH(K641,Catalogo_TIMSS!$A$5:$A$105,0)),"Pendiente de clasificar")))</f>
        <v>Mecánica y termodinámica</v>
      </c>
      <c r="N641" s="8" t="str">
        <f aca="false">IF(K641="FUERA","Fuera del marco",IF(K641="N/A","Sin marco",IFERROR(INDEX(Catalogo_TIMSS!$F$5:$F$105,MATCH(K641,Catalogo_TIMSS!$A$5:$A$105,0)),"Pendiente de clasificar")))</f>
        <v>Fuerzas y movimiento</v>
      </c>
      <c r="O641" s="8" t="str">
        <f aca="false">IF(L641="","",IFERROR(INDEX(Catalogo_TIMSS!$C$5:$C$105,MATCH(L641,Catalogo_TIMSS!$A$5:$A$105,0)),"?"))</f>
        <v/>
      </c>
      <c r="P641" s="8" t="s">
        <v>418</v>
      </c>
      <c r="Q641" s="27" t="s">
        <v>2979</v>
      </c>
      <c r="R641" s="27" t="s">
        <v>2980</v>
      </c>
      <c r="S641" s="28" t="n">
        <f aca="false">IFERROR(ISNUMBER(SEARCH("Conocer",$R641))/(ISNUMBER(SEARCH("Conocer",$R641))+ISNUMBER(SEARCH("Aplicar",$R641))+ISNUMBER(SEARCH("Razonar",$R641))),0)</f>
        <v>0</v>
      </c>
      <c r="T641" s="28" t="n">
        <f aca="false">IFERROR(ISNUMBER(SEARCH("Aplicar",$R641))/(ISNUMBER(SEARCH("Conocer",$R641))+ISNUMBER(SEARCH("Aplicar",$R641))+ISNUMBER(SEARCH("Razonar",$R641))),0)</f>
        <v>0.5</v>
      </c>
      <c r="U641" s="28" t="n">
        <f aca="false">IFERROR(ISNUMBER(SEARCH("Razonar",$R641))/(ISNUMBER(SEARCH("Conocer",$R641))+ISNUMBER(SEARCH("Aplicar",$R641))+ISNUMBER(SEARCH("Razonar",$R641))),0)</f>
        <v>0.5</v>
      </c>
      <c r="V641" s="8" t="s">
        <v>54</v>
      </c>
      <c r="W641" s="8" t="s">
        <v>69</v>
      </c>
    </row>
    <row r="642" customFormat="false" ht="15" hidden="false" customHeight="false" outlineLevel="0" collapsed="false">
      <c r="A642" s="8" t="s">
        <v>2981</v>
      </c>
      <c r="B642" s="8" t="n">
        <v>10</v>
      </c>
      <c r="C642" s="8" t="s">
        <v>91</v>
      </c>
      <c r="D642" s="8" t="s">
        <v>2909</v>
      </c>
      <c r="E642" s="8" t="s">
        <v>2910</v>
      </c>
      <c r="F642" s="8" t="n">
        <v>18</v>
      </c>
      <c r="G642" s="8" t="s">
        <v>2972</v>
      </c>
      <c r="H642" s="8" t="s">
        <v>2982</v>
      </c>
      <c r="I642" s="27" t="s">
        <v>2983</v>
      </c>
      <c r="J642" s="8" t="s">
        <v>291</v>
      </c>
      <c r="K642" s="8" t="s">
        <v>290</v>
      </c>
      <c r="L642" s="8"/>
      <c r="M642" s="8" t="str">
        <f aca="false">IF(K642="FUERA","Fuera del marco",IF(K642="N/A","Sin marco",IFERROR(INDEX(Catalogo_TIMSS!$C$5:$C$105,MATCH(K642,Catalogo_TIMSS!$A$5:$A$105,0)),"Pendiente de clasificar")))</f>
        <v>Mecánica y termodinámica</v>
      </c>
      <c r="N642" s="8" t="str">
        <f aca="false">IF(K642="FUERA","Fuera del marco",IF(K642="N/A","Sin marco",IFERROR(INDEX(Catalogo_TIMSS!$F$5:$F$105,MATCH(K642,Catalogo_TIMSS!$A$5:$A$105,0)),"Pendiente de clasificar")))</f>
        <v>Fuerzas y movimiento</v>
      </c>
      <c r="O642" s="8" t="str">
        <f aca="false">IF(L642="","",IFERROR(INDEX(Catalogo_TIMSS!$C$5:$C$105,MATCH(L642,Catalogo_TIMSS!$A$5:$A$105,0)),"?"))</f>
        <v/>
      </c>
      <c r="P642" s="8" t="s">
        <v>418</v>
      </c>
      <c r="Q642" s="27" t="s">
        <v>2984</v>
      </c>
      <c r="R642" s="27" t="s">
        <v>2985</v>
      </c>
      <c r="S642" s="28" t="n">
        <f aca="false">IFERROR(ISNUMBER(SEARCH("Conocer",$R642))/(ISNUMBER(SEARCH("Conocer",$R642))+ISNUMBER(SEARCH("Aplicar",$R642))+ISNUMBER(SEARCH("Razonar",$R642))),0)</f>
        <v>0</v>
      </c>
      <c r="T642" s="28" t="n">
        <f aca="false">IFERROR(ISNUMBER(SEARCH("Aplicar",$R642))/(ISNUMBER(SEARCH("Conocer",$R642))+ISNUMBER(SEARCH("Aplicar",$R642))+ISNUMBER(SEARCH("Razonar",$R642))),0)</f>
        <v>0.5</v>
      </c>
      <c r="U642" s="28" t="n">
        <f aca="false">IFERROR(ISNUMBER(SEARCH("Razonar",$R642))/(ISNUMBER(SEARCH("Conocer",$R642))+ISNUMBER(SEARCH("Aplicar",$R642))+ISNUMBER(SEARCH("Razonar",$R642))),0)</f>
        <v>0.5</v>
      </c>
      <c r="V642" s="8" t="s">
        <v>54</v>
      </c>
      <c r="W642" s="8" t="s">
        <v>69</v>
      </c>
    </row>
    <row r="643" customFormat="false" ht="15" hidden="false" customHeight="false" outlineLevel="0" collapsed="false">
      <c r="A643" s="8" t="s">
        <v>2986</v>
      </c>
      <c r="B643" s="8" t="n">
        <v>10</v>
      </c>
      <c r="C643" s="8" t="s">
        <v>91</v>
      </c>
      <c r="D643" s="8" t="s">
        <v>2909</v>
      </c>
      <c r="E643" s="8" t="s">
        <v>2910</v>
      </c>
      <c r="F643" s="8" t="n">
        <v>19</v>
      </c>
      <c r="G643" s="8" t="s">
        <v>2972</v>
      </c>
      <c r="H643" s="8" t="s">
        <v>2987</v>
      </c>
      <c r="I643" s="27" t="s">
        <v>2988</v>
      </c>
      <c r="J643" s="8" t="s">
        <v>291</v>
      </c>
      <c r="K643" s="8" t="s">
        <v>290</v>
      </c>
      <c r="L643" s="8"/>
      <c r="M643" s="8" t="str">
        <f aca="false">IF(K643="FUERA","Fuera del marco",IF(K643="N/A","Sin marco",IFERROR(INDEX(Catalogo_TIMSS!$C$5:$C$105,MATCH(K643,Catalogo_TIMSS!$A$5:$A$105,0)),"Pendiente de clasificar")))</f>
        <v>Mecánica y termodinámica</v>
      </c>
      <c r="N643" s="8" t="str">
        <f aca="false">IF(K643="FUERA","Fuera del marco",IF(K643="N/A","Sin marco",IFERROR(INDEX(Catalogo_TIMSS!$F$5:$F$105,MATCH(K643,Catalogo_TIMSS!$A$5:$A$105,0)),"Pendiente de clasificar")))</f>
        <v>Fuerzas y movimiento</v>
      </c>
      <c r="O643" s="8" t="str">
        <f aca="false">IF(L643="","",IFERROR(INDEX(Catalogo_TIMSS!$C$5:$C$105,MATCH(L643,Catalogo_TIMSS!$A$5:$A$105,0)),"?"))</f>
        <v/>
      </c>
      <c r="P643" s="8" t="s">
        <v>418</v>
      </c>
      <c r="Q643" s="27" t="s">
        <v>2989</v>
      </c>
      <c r="R643" s="27" t="s">
        <v>2990</v>
      </c>
      <c r="S643" s="28" t="n">
        <f aca="false">IFERROR(ISNUMBER(SEARCH("Conocer",$R643))/(ISNUMBER(SEARCH("Conocer",$R643))+ISNUMBER(SEARCH("Aplicar",$R643))+ISNUMBER(SEARCH("Razonar",$R643))),0)</f>
        <v>0</v>
      </c>
      <c r="T643" s="28" t="n">
        <f aca="false">IFERROR(ISNUMBER(SEARCH("Aplicar",$R643))/(ISNUMBER(SEARCH("Conocer",$R643))+ISNUMBER(SEARCH("Aplicar",$R643))+ISNUMBER(SEARCH("Razonar",$R643))),0)</f>
        <v>0.5</v>
      </c>
      <c r="U643" s="28" t="n">
        <f aca="false">IFERROR(ISNUMBER(SEARCH("Razonar",$R643))/(ISNUMBER(SEARCH("Conocer",$R643))+ISNUMBER(SEARCH("Aplicar",$R643))+ISNUMBER(SEARCH("Razonar",$R643))),0)</f>
        <v>0.5</v>
      </c>
      <c r="V643" s="8" t="s">
        <v>54</v>
      </c>
      <c r="W643" s="8" t="s">
        <v>69</v>
      </c>
    </row>
    <row r="644" customFormat="false" ht="15" hidden="false" customHeight="false" outlineLevel="0" collapsed="false">
      <c r="A644" s="8" t="s">
        <v>2991</v>
      </c>
      <c r="B644" s="8" t="n">
        <v>10</v>
      </c>
      <c r="C644" s="8" t="s">
        <v>91</v>
      </c>
      <c r="D644" s="8" t="s">
        <v>2909</v>
      </c>
      <c r="E644" s="8" t="s">
        <v>2910</v>
      </c>
      <c r="F644" s="8" t="n">
        <v>20</v>
      </c>
      <c r="G644" s="8" t="s">
        <v>2972</v>
      </c>
      <c r="H644" s="8" t="s">
        <v>2987</v>
      </c>
      <c r="I644" s="27" t="s">
        <v>2992</v>
      </c>
      <c r="J644" s="8" t="s">
        <v>291</v>
      </c>
      <c r="K644" s="8" t="s">
        <v>290</v>
      </c>
      <c r="L644" s="8"/>
      <c r="M644" s="8" t="str">
        <f aca="false">IF(K644="FUERA","Fuera del marco",IF(K644="N/A","Sin marco",IFERROR(INDEX(Catalogo_TIMSS!$C$5:$C$105,MATCH(K644,Catalogo_TIMSS!$A$5:$A$105,0)),"Pendiente de clasificar")))</f>
        <v>Mecánica y termodinámica</v>
      </c>
      <c r="N644" s="8" t="str">
        <f aca="false">IF(K644="FUERA","Fuera del marco",IF(K644="N/A","Sin marco",IFERROR(INDEX(Catalogo_TIMSS!$F$5:$F$105,MATCH(K644,Catalogo_TIMSS!$A$5:$A$105,0)),"Pendiente de clasificar")))</f>
        <v>Fuerzas y movimiento</v>
      </c>
      <c r="O644" s="8" t="str">
        <f aca="false">IF(L644="","",IFERROR(INDEX(Catalogo_TIMSS!$C$5:$C$105,MATCH(L644,Catalogo_TIMSS!$A$5:$A$105,0)),"?"))</f>
        <v/>
      </c>
      <c r="P644" s="8" t="s">
        <v>418</v>
      </c>
      <c r="Q644" s="27" t="s">
        <v>2993</v>
      </c>
      <c r="R644" s="27" t="s">
        <v>2994</v>
      </c>
      <c r="S644" s="28" t="n">
        <f aca="false">IFERROR(ISNUMBER(SEARCH("Conocer",$R644))/(ISNUMBER(SEARCH("Conocer",$R644))+ISNUMBER(SEARCH("Aplicar",$R644))+ISNUMBER(SEARCH("Razonar",$R644))),0)</f>
        <v>0</v>
      </c>
      <c r="T644" s="28" t="n">
        <f aca="false">IFERROR(ISNUMBER(SEARCH("Aplicar",$R644))/(ISNUMBER(SEARCH("Conocer",$R644))+ISNUMBER(SEARCH("Aplicar",$R644))+ISNUMBER(SEARCH("Razonar",$R644))),0)</f>
        <v>0.5</v>
      </c>
      <c r="U644" s="28" t="n">
        <f aca="false">IFERROR(ISNUMBER(SEARCH("Razonar",$R644))/(ISNUMBER(SEARCH("Conocer",$R644))+ISNUMBER(SEARCH("Aplicar",$R644))+ISNUMBER(SEARCH("Razonar",$R644))),0)</f>
        <v>0.5</v>
      </c>
      <c r="V644" s="8" t="s">
        <v>54</v>
      </c>
      <c r="W644" s="8" t="s">
        <v>69</v>
      </c>
    </row>
    <row r="645" customFormat="false" ht="15" hidden="false" customHeight="false" outlineLevel="0" collapsed="false">
      <c r="A645" s="8" t="s">
        <v>2995</v>
      </c>
      <c r="B645" s="8" t="n">
        <v>10</v>
      </c>
      <c r="C645" s="8" t="s">
        <v>91</v>
      </c>
      <c r="D645" s="8" t="s">
        <v>2909</v>
      </c>
      <c r="E645" s="8" t="s">
        <v>2910</v>
      </c>
      <c r="F645" s="8" t="n">
        <v>21</v>
      </c>
      <c r="G645" s="8" t="s">
        <v>2972</v>
      </c>
      <c r="H645" s="8" t="s">
        <v>2996</v>
      </c>
      <c r="I645" s="27" t="s">
        <v>2997</v>
      </c>
      <c r="J645" s="8" t="s">
        <v>291</v>
      </c>
      <c r="K645" s="8" t="s">
        <v>290</v>
      </c>
      <c r="L645" s="8"/>
      <c r="M645" s="8" t="str">
        <f aca="false">IF(K645="FUERA","Fuera del marco",IF(K645="N/A","Sin marco",IFERROR(INDEX(Catalogo_TIMSS!$C$5:$C$105,MATCH(K645,Catalogo_TIMSS!$A$5:$A$105,0)),"Pendiente de clasificar")))</f>
        <v>Mecánica y termodinámica</v>
      </c>
      <c r="N645" s="8" t="str">
        <f aca="false">IF(K645="FUERA","Fuera del marco",IF(K645="N/A","Sin marco",IFERROR(INDEX(Catalogo_TIMSS!$F$5:$F$105,MATCH(K645,Catalogo_TIMSS!$A$5:$A$105,0)),"Pendiente de clasificar")))</f>
        <v>Fuerzas y movimiento</v>
      </c>
      <c r="O645" s="8" t="str">
        <f aca="false">IF(L645="","",IFERROR(INDEX(Catalogo_TIMSS!$C$5:$C$105,MATCH(L645,Catalogo_TIMSS!$A$5:$A$105,0)),"?"))</f>
        <v/>
      </c>
      <c r="P645" s="8" t="s">
        <v>418</v>
      </c>
      <c r="Q645" s="27" t="s">
        <v>2998</v>
      </c>
      <c r="R645" s="27" t="s">
        <v>2999</v>
      </c>
      <c r="S645" s="28" t="n">
        <f aca="false">IFERROR(ISNUMBER(SEARCH("Conocer",$R645))/(ISNUMBER(SEARCH("Conocer",$R645))+ISNUMBER(SEARCH("Aplicar",$R645))+ISNUMBER(SEARCH("Razonar",$R645))),0)</f>
        <v>0</v>
      </c>
      <c r="T645" s="28" t="n">
        <f aca="false">IFERROR(ISNUMBER(SEARCH("Aplicar",$R645))/(ISNUMBER(SEARCH("Conocer",$R645))+ISNUMBER(SEARCH("Aplicar",$R645))+ISNUMBER(SEARCH("Razonar",$R645))),0)</f>
        <v>0.5</v>
      </c>
      <c r="U645" s="28" t="n">
        <f aca="false">IFERROR(ISNUMBER(SEARCH("Razonar",$R645))/(ISNUMBER(SEARCH("Conocer",$R645))+ISNUMBER(SEARCH("Aplicar",$R645))+ISNUMBER(SEARCH("Razonar",$R645))),0)</f>
        <v>0.5</v>
      </c>
      <c r="V645" s="8" t="s">
        <v>54</v>
      </c>
      <c r="W645" s="8" t="s">
        <v>69</v>
      </c>
    </row>
    <row r="646" customFormat="false" ht="15" hidden="false" customHeight="false" outlineLevel="0" collapsed="false">
      <c r="A646" s="8" t="s">
        <v>3000</v>
      </c>
      <c r="B646" s="8" t="n">
        <v>10</v>
      </c>
      <c r="C646" s="8" t="s">
        <v>91</v>
      </c>
      <c r="D646" s="8" t="s">
        <v>2909</v>
      </c>
      <c r="E646" s="8" t="s">
        <v>2910</v>
      </c>
      <c r="F646" s="8" t="n">
        <v>22</v>
      </c>
      <c r="G646" s="8" t="s">
        <v>2972</v>
      </c>
      <c r="H646" s="8" t="s">
        <v>3001</v>
      </c>
      <c r="I646" s="27" t="s">
        <v>3002</v>
      </c>
      <c r="J646" s="8" t="s">
        <v>291</v>
      </c>
      <c r="K646" s="8" t="s">
        <v>290</v>
      </c>
      <c r="L646" s="8"/>
      <c r="M646" s="8" t="str">
        <f aca="false">IF(K646="FUERA","Fuera del marco",IF(K646="N/A","Sin marco",IFERROR(INDEX(Catalogo_TIMSS!$C$5:$C$105,MATCH(K646,Catalogo_TIMSS!$A$5:$A$105,0)),"Pendiente de clasificar")))</f>
        <v>Mecánica y termodinámica</v>
      </c>
      <c r="N646" s="8" t="str">
        <f aca="false">IF(K646="FUERA","Fuera del marco",IF(K646="N/A","Sin marco",IFERROR(INDEX(Catalogo_TIMSS!$F$5:$F$105,MATCH(K646,Catalogo_TIMSS!$A$5:$A$105,0)),"Pendiente de clasificar")))</f>
        <v>Fuerzas y movimiento</v>
      </c>
      <c r="O646" s="8" t="str">
        <f aca="false">IF(L646="","",IFERROR(INDEX(Catalogo_TIMSS!$C$5:$C$105,MATCH(L646,Catalogo_TIMSS!$A$5:$A$105,0)),"?"))</f>
        <v/>
      </c>
      <c r="P646" s="8" t="s">
        <v>418</v>
      </c>
      <c r="Q646" s="27" t="s">
        <v>3003</v>
      </c>
      <c r="R646" s="27" t="s">
        <v>3004</v>
      </c>
      <c r="S646" s="28" t="n">
        <f aca="false">IFERROR(ISNUMBER(SEARCH("Conocer",$R646))/(ISNUMBER(SEARCH("Conocer",$R646))+ISNUMBER(SEARCH("Aplicar",$R646))+ISNUMBER(SEARCH("Razonar",$R646))),0)</f>
        <v>0</v>
      </c>
      <c r="T646" s="28" t="n">
        <f aca="false">IFERROR(ISNUMBER(SEARCH("Aplicar",$R646))/(ISNUMBER(SEARCH("Conocer",$R646))+ISNUMBER(SEARCH("Aplicar",$R646))+ISNUMBER(SEARCH("Razonar",$R646))),0)</f>
        <v>0.5</v>
      </c>
      <c r="U646" s="28" t="n">
        <f aca="false">IFERROR(ISNUMBER(SEARCH("Razonar",$R646))/(ISNUMBER(SEARCH("Conocer",$R646))+ISNUMBER(SEARCH("Aplicar",$R646))+ISNUMBER(SEARCH("Razonar",$R646))),0)</f>
        <v>0.5</v>
      </c>
      <c r="V646" s="8" t="s">
        <v>54</v>
      </c>
      <c r="W646" s="8" t="s">
        <v>69</v>
      </c>
    </row>
    <row r="647" customFormat="false" ht="15" hidden="false" customHeight="false" outlineLevel="0" collapsed="false">
      <c r="A647" s="8" t="s">
        <v>3005</v>
      </c>
      <c r="B647" s="8" t="n">
        <v>10</v>
      </c>
      <c r="C647" s="8" t="s">
        <v>91</v>
      </c>
      <c r="D647" s="8" t="s">
        <v>2909</v>
      </c>
      <c r="E647" s="8" t="s">
        <v>2910</v>
      </c>
      <c r="F647" s="8" t="n">
        <v>23</v>
      </c>
      <c r="G647" s="8" t="s">
        <v>3006</v>
      </c>
      <c r="H647" s="8" t="s">
        <v>3007</v>
      </c>
      <c r="I647" s="27" t="s">
        <v>3008</v>
      </c>
      <c r="J647" s="8" t="s">
        <v>291</v>
      </c>
      <c r="K647" s="8" t="s">
        <v>290</v>
      </c>
      <c r="L647" s="8"/>
      <c r="M647" s="8" t="str">
        <f aca="false">IF(K647="FUERA","Fuera del marco",IF(K647="N/A","Sin marco",IFERROR(INDEX(Catalogo_TIMSS!$C$5:$C$105,MATCH(K647,Catalogo_TIMSS!$A$5:$A$105,0)),"Pendiente de clasificar")))</f>
        <v>Mecánica y termodinámica</v>
      </c>
      <c r="N647" s="8" t="str">
        <f aca="false">IF(K647="FUERA","Fuera del marco",IF(K647="N/A","Sin marco",IFERROR(INDEX(Catalogo_TIMSS!$F$5:$F$105,MATCH(K647,Catalogo_TIMSS!$A$5:$A$105,0)),"Pendiente de clasificar")))</f>
        <v>Fuerzas y movimiento</v>
      </c>
      <c r="O647" s="8" t="str">
        <f aca="false">IF(L647="","",IFERROR(INDEX(Catalogo_TIMSS!$C$5:$C$105,MATCH(L647,Catalogo_TIMSS!$A$5:$A$105,0)),"?"))</f>
        <v/>
      </c>
      <c r="P647" s="8" t="s">
        <v>418</v>
      </c>
      <c r="Q647" s="27" t="s">
        <v>3009</v>
      </c>
      <c r="R647" s="27" t="s">
        <v>3010</v>
      </c>
      <c r="S647" s="28" t="n">
        <f aca="false">IFERROR(ISNUMBER(SEARCH("Conocer",$R647))/(ISNUMBER(SEARCH("Conocer",$R647))+ISNUMBER(SEARCH("Aplicar",$R647))+ISNUMBER(SEARCH("Razonar",$R647))),0)</f>
        <v>0</v>
      </c>
      <c r="T647" s="28" t="n">
        <f aca="false">IFERROR(ISNUMBER(SEARCH("Aplicar",$R647))/(ISNUMBER(SEARCH("Conocer",$R647))+ISNUMBER(SEARCH("Aplicar",$R647))+ISNUMBER(SEARCH("Razonar",$R647))),0)</f>
        <v>0.5</v>
      </c>
      <c r="U647" s="28" t="n">
        <f aca="false">IFERROR(ISNUMBER(SEARCH("Razonar",$R647))/(ISNUMBER(SEARCH("Conocer",$R647))+ISNUMBER(SEARCH("Aplicar",$R647))+ISNUMBER(SEARCH("Razonar",$R647))),0)</f>
        <v>0.5</v>
      </c>
      <c r="V647" s="8" t="s">
        <v>54</v>
      </c>
      <c r="W647" s="8" t="s">
        <v>69</v>
      </c>
    </row>
    <row r="648" customFormat="false" ht="15" hidden="false" customHeight="false" outlineLevel="0" collapsed="false">
      <c r="A648" s="8" t="s">
        <v>3011</v>
      </c>
      <c r="B648" s="8" t="n">
        <v>10</v>
      </c>
      <c r="C648" s="8" t="s">
        <v>91</v>
      </c>
      <c r="D648" s="8" t="s">
        <v>2909</v>
      </c>
      <c r="E648" s="8" t="s">
        <v>2910</v>
      </c>
      <c r="F648" s="8" t="n">
        <v>24</v>
      </c>
      <c r="G648" s="8" t="s">
        <v>3006</v>
      </c>
      <c r="H648" s="8" t="s">
        <v>3007</v>
      </c>
      <c r="I648" s="27" t="s">
        <v>3012</v>
      </c>
      <c r="J648" s="8" t="s">
        <v>291</v>
      </c>
      <c r="K648" s="8" t="s">
        <v>290</v>
      </c>
      <c r="L648" s="8"/>
      <c r="M648" s="8" t="str">
        <f aca="false">IF(K648="FUERA","Fuera del marco",IF(K648="N/A","Sin marco",IFERROR(INDEX(Catalogo_TIMSS!$C$5:$C$105,MATCH(K648,Catalogo_TIMSS!$A$5:$A$105,0)),"Pendiente de clasificar")))</f>
        <v>Mecánica y termodinámica</v>
      </c>
      <c r="N648" s="8" t="str">
        <f aca="false">IF(K648="FUERA","Fuera del marco",IF(K648="N/A","Sin marco",IFERROR(INDEX(Catalogo_TIMSS!$F$5:$F$105,MATCH(K648,Catalogo_TIMSS!$A$5:$A$105,0)),"Pendiente de clasificar")))</f>
        <v>Fuerzas y movimiento</v>
      </c>
      <c r="O648" s="8" t="str">
        <f aca="false">IF(L648="","",IFERROR(INDEX(Catalogo_TIMSS!$C$5:$C$105,MATCH(L648,Catalogo_TIMSS!$A$5:$A$105,0)),"?"))</f>
        <v/>
      </c>
      <c r="P648" s="8" t="s">
        <v>418</v>
      </c>
      <c r="Q648" s="27" t="s">
        <v>3013</v>
      </c>
      <c r="R648" s="27" t="s">
        <v>3014</v>
      </c>
      <c r="S648" s="28" t="n">
        <f aca="false">IFERROR(ISNUMBER(SEARCH("Conocer",$R648))/(ISNUMBER(SEARCH("Conocer",$R648))+ISNUMBER(SEARCH("Aplicar",$R648))+ISNUMBER(SEARCH("Razonar",$R648))),0)</f>
        <v>0</v>
      </c>
      <c r="T648" s="28" t="n">
        <f aca="false">IFERROR(ISNUMBER(SEARCH("Aplicar",$R648))/(ISNUMBER(SEARCH("Conocer",$R648))+ISNUMBER(SEARCH("Aplicar",$R648))+ISNUMBER(SEARCH("Razonar",$R648))),0)</f>
        <v>0.5</v>
      </c>
      <c r="U648" s="28" t="n">
        <f aca="false">IFERROR(ISNUMBER(SEARCH("Razonar",$R648))/(ISNUMBER(SEARCH("Conocer",$R648))+ISNUMBER(SEARCH("Aplicar",$R648))+ISNUMBER(SEARCH("Razonar",$R648))),0)</f>
        <v>0.5</v>
      </c>
      <c r="V648" s="8" t="s">
        <v>54</v>
      </c>
      <c r="W648" s="8" t="s">
        <v>69</v>
      </c>
    </row>
    <row r="649" customFormat="false" ht="15" hidden="false" customHeight="false" outlineLevel="0" collapsed="false">
      <c r="A649" s="8" t="s">
        <v>3015</v>
      </c>
      <c r="B649" s="8" t="n">
        <v>10</v>
      </c>
      <c r="C649" s="8" t="s">
        <v>91</v>
      </c>
      <c r="D649" s="8" t="s">
        <v>2909</v>
      </c>
      <c r="E649" s="8" t="s">
        <v>2910</v>
      </c>
      <c r="F649" s="8" t="n">
        <v>25</v>
      </c>
      <c r="G649" s="8" t="s">
        <v>3006</v>
      </c>
      <c r="H649" s="8" t="s">
        <v>3016</v>
      </c>
      <c r="I649" s="27" t="s">
        <v>3017</v>
      </c>
      <c r="J649" s="8" t="s">
        <v>291</v>
      </c>
      <c r="K649" s="8" t="s">
        <v>290</v>
      </c>
      <c r="L649" s="8"/>
      <c r="M649" s="8" t="str">
        <f aca="false">IF(K649="FUERA","Fuera del marco",IF(K649="N/A","Sin marco",IFERROR(INDEX(Catalogo_TIMSS!$C$5:$C$105,MATCH(K649,Catalogo_TIMSS!$A$5:$A$105,0)),"Pendiente de clasificar")))</f>
        <v>Mecánica y termodinámica</v>
      </c>
      <c r="N649" s="8" t="str">
        <f aca="false">IF(K649="FUERA","Fuera del marco",IF(K649="N/A","Sin marco",IFERROR(INDEX(Catalogo_TIMSS!$F$5:$F$105,MATCH(K649,Catalogo_TIMSS!$A$5:$A$105,0)),"Pendiente de clasificar")))</f>
        <v>Fuerzas y movimiento</v>
      </c>
      <c r="O649" s="8" t="str">
        <f aca="false">IF(L649="","",IFERROR(INDEX(Catalogo_TIMSS!$C$5:$C$105,MATCH(L649,Catalogo_TIMSS!$A$5:$A$105,0)),"?"))</f>
        <v/>
      </c>
      <c r="P649" s="8" t="s">
        <v>418</v>
      </c>
      <c r="Q649" s="27" t="s">
        <v>3018</v>
      </c>
      <c r="R649" s="27" t="s">
        <v>3019</v>
      </c>
      <c r="S649" s="28" t="n">
        <f aca="false">IFERROR(ISNUMBER(SEARCH("Conocer",$R649))/(ISNUMBER(SEARCH("Conocer",$R649))+ISNUMBER(SEARCH("Aplicar",$R649))+ISNUMBER(SEARCH("Razonar",$R649))),0)</f>
        <v>0</v>
      </c>
      <c r="T649" s="28" t="n">
        <f aca="false">IFERROR(ISNUMBER(SEARCH("Aplicar",$R649))/(ISNUMBER(SEARCH("Conocer",$R649))+ISNUMBER(SEARCH("Aplicar",$R649))+ISNUMBER(SEARCH("Razonar",$R649))),0)</f>
        <v>0.5</v>
      </c>
      <c r="U649" s="28" t="n">
        <f aca="false">IFERROR(ISNUMBER(SEARCH("Razonar",$R649))/(ISNUMBER(SEARCH("Conocer",$R649))+ISNUMBER(SEARCH("Aplicar",$R649))+ISNUMBER(SEARCH("Razonar",$R649))),0)</f>
        <v>0.5</v>
      </c>
      <c r="V649" s="8" t="s">
        <v>54</v>
      </c>
      <c r="W649" s="8" t="s">
        <v>69</v>
      </c>
    </row>
    <row r="650" customFormat="false" ht="15" hidden="false" customHeight="false" outlineLevel="0" collapsed="false">
      <c r="A650" s="8" t="s">
        <v>3020</v>
      </c>
      <c r="B650" s="8" t="n">
        <v>10</v>
      </c>
      <c r="C650" s="8" t="s">
        <v>91</v>
      </c>
      <c r="D650" s="8" t="s">
        <v>2909</v>
      </c>
      <c r="E650" s="8" t="s">
        <v>2910</v>
      </c>
      <c r="F650" s="8" t="n">
        <v>26</v>
      </c>
      <c r="G650" s="8" t="s">
        <v>3006</v>
      </c>
      <c r="H650" s="8" t="s">
        <v>3021</v>
      </c>
      <c r="I650" s="27" t="s">
        <v>3022</v>
      </c>
      <c r="J650" s="8" t="s">
        <v>291</v>
      </c>
      <c r="K650" s="8" t="s">
        <v>290</v>
      </c>
      <c r="L650" s="8"/>
      <c r="M650" s="8" t="str">
        <f aca="false">IF(K650="FUERA","Fuera del marco",IF(K650="N/A","Sin marco",IFERROR(INDEX(Catalogo_TIMSS!$C$5:$C$105,MATCH(K650,Catalogo_TIMSS!$A$5:$A$105,0)),"Pendiente de clasificar")))</f>
        <v>Mecánica y termodinámica</v>
      </c>
      <c r="N650" s="8" t="str">
        <f aca="false">IF(K650="FUERA","Fuera del marco",IF(K650="N/A","Sin marco",IFERROR(INDEX(Catalogo_TIMSS!$F$5:$F$105,MATCH(K650,Catalogo_TIMSS!$A$5:$A$105,0)),"Pendiente de clasificar")))</f>
        <v>Fuerzas y movimiento</v>
      </c>
      <c r="O650" s="8" t="str">
        <f aca="false">IF(L650="","",IFERROR(INDEX(Catalogo_TIMSS!$C$5:$C$105,MATCH(L650,Catalogo_TIMSS!$A$5:$A$105,0)),"?"))</f>
        <v/>
      </c>
      <c r="P650" s="8" t="s">
        <v>460</v>
      </c>
      <c r="Q650" s="27" t="s">
        <v>3023</v>
      </c>
      <c r="R650" s="27" t="s">
        <v>3024</v>
      </c>
      <c r="S650" s="28" t="n">
        <f aca="false">IFERROR(ISNUMBER(SEARCH("Conocer",$R650))/(ISNUMBER(SEARCH("Conocer",$R650))+ISNUMBER(SEARCH("Aplicar",$R650))+ISNUMBER(SEARCH("Razonar",$R650))),0)</f>
        <v>0</v>
      </c>
      <c r="T650" s="28" t="n">
        <f aca="false">IFERROR(ISNUMBER(SEARCH("Aplicar",$R650))/(ISNUMBER(SEARCH("Conocer",$R650))+ISNUMBER(SEARCH("Aplicar",$R650))+ISNUMBER(SEARCH("Razonar",$R650))),0)</f>
        <v>0.5</v>
      </c>
      <c r="U650" s="28" t="n">
        <f aca="false">IFERROR(ISNUMBER(SEARCH("Razonar",$R650))/(ISNUMBER(SEARCH("Conocer",$R650))+ISNUMBER(SEARCH("Aplicar",$R650))+ISNUMBER(SEARCH("Razonar",$R650))),0)</f>
        <v>0.5</v>
      </c>
      <c r="V650" s="8" t="s">
        <v>54</v>
      </c>
      <c r="W650" s="8" t="s">
        <v>69</v>
      </c>
    </row>
    <row r="651" customFormat="false" ht="15" hidden="false" customHeight="false" outlineLevel="0" collapsed="false">
      <c r="A651" s="8" t="s">
        <v>3025</v>
      </c>
      <c r="B651" s="8" t="n">
        <v>10</v>
      </c>
      <c r="C651" s="8" t="s">
        <v>91</v>
      </c>
      <c r="D651" s="8" t="s">
        <v>2909</v>
      </c>
      <c r="E651" s="8" t="s">
        <v>2910</v>
      </c>
      <c r="F651" s="8" t="n">
        <v>27</v>
      </c>
      <c r="G651" s="8" t="s">
        <v>3026</v>
      </c>
      <c r="H651" s="8" t="s">
        <v>3027</v>
      </c>
      <c r="I651" s="27" t="s">
        <v>3028</v>
      </c>
      <c r="J651" s="8" t="s">
        <v>291</v>
      </c>
      <c r="K651" s="8" t="s">
        <v>290</v>
      </c>
      <c r="L651" s="8"/>
      <c r="M651" s="8" t="str">
        <f aca="false">IF(K651="FUERA","Fuera del marco",IF(K651="N/A","Sin marco",IFERROR(INDEX(Catalogo_TIMSS!$C$5:$C$105,MATCH(K651,Catalogo_TIMSS!$A$5:$A$105,0)),"Pendiente de clasificar")))</f>
        <v>Mecánica y termodinámica</v>
      </c>
      <c r="N651" s="8" t="str">
        <f aca="false">IF(K651="FUERA","Fuera del marco",IF(K651="N/A","Sin marco",IFERROR(INDEX(Catalogo_TIMSS!$F$5:$F$105,MATCH(K651,Catalogo_TIMSS!$A$5:$A$105,0)),"Pendiente de clasificar")))</f>
        <v>Fuerzas y movimiento</v>
      </c>
      <c r="O651" s="8" t="str">
        <f aca="false">IF(L651="","",IFERROR(INDEX(Catalogo_TIMSS!$C$5:$C$105,MATCH(L651,Catalogo_TIMSS!$A$5:$A$105,0)),"?"))</f>
        <v/>
      </c>
      <c r="P651" s="8" t="s">
        <v>460</v>
      </c>
      <c r="Q651" s="27" t="s">
        <v>3029</v>
      </c>
      <c r="R651" s="27" t="s">
        <v>3030</v>
      </c>
      <c r="S651" s="28" t="n">
        <f aca="false">IFERROR(ISNUMBER(SEARCH("Conocer",$R651))/(ISNUMBER(SEARCH("Conocer",$R651))+ISNUMBER(SEARCH("Aplicar",$R651))+ISNUMBER(SEARCH("Razonar",$R651))),0)</f>
        <v>0.5</v>
      </c>
      <c r="T651" s="28" t="n">
        <f aca="false">IFERROR(ISNUMBER(SEARCH("Aplicar",$R651))/(ISNUMBER(SEARCH("Conocer",$R651))+ISNUMBER(SEARCH("Aplicar",$R651))+ISNUMBER(SEARCH("Razonar",$R651))),0)</f>
        <v>0</v>
      </c>
      <c r="U651" s="28" t="n">
        <f aca="false">IFERROR(ISNUMBER(SEARCH("Razonar",$R651))/(ISNUMBER(SEARCH("Conocer",$R651))+ISNUMBER(SEARCH("Aplicar",$R651))+ISNUMBER(SEARCH("Razonar",$R651))),0)</f>
        <v>0.5</v>
      </c>
      <c r="V651" s="8" t="s">
        <v>54</v>
      </c>
      <c r="W651" s="8" t="s">
        <v>69</v>
      </c>
    </row>
    <row r="652" customFormat="false" ht="15" hidden="false" customHeight="false" outlineLevel="0" collapsed="false">
      <c r="A652" s="8" t="s">
        <v>3031</v>
      </c>
      <c r="B652" s="8" t="n">
        <v>10</v>
      </c>
      <c r="C652" s="8" t="s">
        <v>91</v>
      </c>
      <c r="D652" s="8" t="s">
        <v>2909</v>
      </c>
      <c r="E652" s="8" t="s">
        <v>2910</v>
      </c>
      <c r="F652" s="8" t="n">
        <v>28</v>
      </c>
      <c r="G652" s="8" t="s">
        <v>3026</v>
      </c>
      <c r="H652" s="8" t="s">
        <v>3032</v>
      </c>
      <c r="I652" s="27" t="s">
        <v>3033</v>
      </c>
      <c r="J652" s="8" t="s">
        <v>291</v>
      </c>
      <c r="K652" s="8" t="s">
        <v>290</v>
      </c>
      <c r="L652" s="8"/>
      <c r="M652" s="8" t="str">
        <f aca="false">IF(K652="FUERA","Fuera del marco",IF(K652="N/A","Sin marco",IFERROR(INDEX(Catalogo_TIMSS!$C$5:$C$105,MATCH(K652,Catalogo_TIMSS!$A$5:$A$105,0)),"Pendiente de clasificar")))</f>
        <v>Mecánica y termodinámica</v>
      </c>
      <c r="N652" s="8" t="str">
        <f aca="false">IF(K652="FUERA","Fuera del marco",IF(K652="N/A","Sin marco",IFERROR(INDEX(Catalogo_TIMSS!$F$5:$F$105,MATCH(K652,Catalogo_TIMSS!$A$5:$A$105,0)),"Pendiente de clasificar")))</f>
        <v>Fuerzas y movimiento</v>
      </c>
      <c r="O652" s="8" t="str">
        <f aca="false">IF(L652="","",IFERROR(INDEX(Catalogo_TIMSS!$C$5:$C$105,MATCH(L652,Catalogo_TIMSS!$A$5:$A$105,0)),"?"))</f>
        <v/>
      </c>
      <c r="P652" s="8" t="s">
        <v>418</v>
      </c>
      <c r="Q652" s="27" t="s">
        <v>3034</v>
      </c>
      <c r="R652" s="27" t="s">
        <v>3035</v>
      </c>
      <c r="S652" s="28" t="n">
        <f aca="false">IFERROR(ISNUMBER(SEARCH("Conocer",$R652))/(ISNUMBER(SEARCH("Conocer",$R652))+ISNUMBER(SEARCH("Aplicar",$R652))+ISNUMBER(SEARCH("Razonar",$R652))),0)</f>
        <v>0</v>
      </c>
      <c r="T652" s="28" t="n">
        <f aca="false">IFERROR(ISNUMBER(SEARCH("Aplicar",$R652))/(ISNUMBER(SEARCH("Conocer",$R652))+ISNUMBER(SEARCH("Aplicar",$R652))+ISNUMBER(SEARCH("Razonar",$R652))),0)</f>
        <v>0.5</v>
      </c>
      <c r="U652" s="28" t="n">
        <f aca="false">IFERROR(ISNUMBER(SEARCH("Razonar",$R652))/(ISNUMBER(SEARCH("Conocer",$R652))+ISNUMBER(SEARCH("Aplicar",$R652))+ISNUMBER(SEARCH("Razonar",$R652))),0)</f>
        <v>0.5</v>
      </c>
      <c r="V652" s="8" t="s">
        <v>54</v>
      </c>
      <c r="W652" s="8" t="s">
        <v>69</v>
      </c>
    </row>
    <row r="653" customFormat="false" ht="15" hidden="false" customHeight="false" outlineLevel="0" collapsed="false">
      <c r="A653" s="8" t="s">
        <v>3036</v>
      </c>
      <c r="B653" s="8" t="n">
        <v>10</v>
      </c>
      <c r="C653" s="8" t="s">
        <v>91</v>
      </c>
      <c r="D653" s="8" t="s">
        <v>2909</v>
      </c>
      <c r="E653" s="8" t="s">
        <v>2910</v>
      </c>
      <c r="F653" s="8" t="n">
        <v>29</v>
      </c>
      <c r="G653" s="8" t="s">
        <v>3026</v>
      </c>
      <c r="H653" s="8" t="s">
        <v>3032</v>
      </c>
      <c r="I653" s="27" t="s">
        <v>3037</v>
      </c>
      <c r="J653" s="8" t="s">
        <v>291</v>
      </c>
      <c r="K653" s="8" t="s">
        <v>290</v>
      </c>
      <c r="L653" s="8"/>
      <c r="M653" s="8" t="str">
        <f aca="false">IF(K653="FUERA","Fuera del marco",IF(K653="N/A","Sin marco",IFERROR(INDEX(Catalogo_TIMSS!$C$5:$C$105,MATCH(K653,Catalogo_TIMSS!$A$5:$A$105,0)),"Pendiente de clasificar")))</f>
        <v>Mecánica y termodinámica</v>
      </c>
      <c r="N653" s="8" t="str">
        <f aca="false">IF(K653="FUERA","Fuera del marco",IF(K653="N/A","Sin marco",IFERROR(INDEX(Catalogo_TIMSS!$F$5:$F$105,MATCH(K653,Catalogo_TIMSS!$A$5:$A$105,0)),"Pendiente de clasificar")))</f>
        <v>Fuerzas y movimiento</v>
      </c>
      <c r="O653" s="8" t="str">
        <f aca="false">IF(L653="","",IFERROR(INDEX(Catalogo_TIMSS!$C$5:$C$105,MATCH(L653,Catalogo_TIMSS!$A$5:$A$105,0)),"?"))</f>
        <v/>
      </c>
      <c r="P653" s="8" t="s">
        <v>418</v>
      </c>
      <c r="Q653" s="27" t="s">
        <v>3038</v>
      </c>
      <c r="R653" s="27" t="s">
        <v>3039</v>
      </c>
      <c r="S653" s="28" t="n">
        <f aca="false">IFERROR(ISNUMBER(SEARCH("Conocer",$R653))/(ISNUMBER(SEARCH("Conocer",$R653))+ISNUMBER(SEARCH("Aplicar",$R653))+ISNUMBER(SEARCH("Razonar",$R653))),0)</f>
        <v>0</v>
      </c>
      <c r="T653" s="28" t="n">
        <f aca="false">IFERROR(ISNUMBER(SEARCH("Aplicar",$R653))/(ISNUMBER(SEARCH("Conocer",$R653))+ISNUMBER(SEARCH("Aplicar",$R653))+ISNUMBER(SEARCH("Razonar",$R653))),0)</f>
        <v>0.5</v>
      </c>
      <c r="U653" s="28" t="n">
        <f aca="false">IFERROR(ISNUMBER(SEARCH("Razonar",$R653))/(ISNUMBER(SEARCH("Conocer",$R653))+ISNUMBER(SEARCH("Aplicar",$R653))+ISNUMBER(SEARCH("Razonar",$R653))),0)</f>
        <v>0.5</v>
      </c>
      <c r="V653" s="8" t="s">
        <v>54</v>
      </c>
      <c r="W653" s="8" t="s">
        <v>69</v>
      </c>
    </row>
    <row r="654" customFormat="false" ht="15" hidden="false" customHeight="false" outlineLevel="0" collapsed="false">
      <c r="A654" s="8" t="s">
        <v>3040</v>
      </c>
      <c r="B654" s="8" t="n">
        <v>10</v>
      </c>
      <c r="C654" s="8" t="s">
        <v>91</v>
      </c>
      <c r="D654" s="8" t="s">
        <v>2909</v>
      </c>
      <c r="E654" s="8" t="s">
        <v>2910</v>
      </c>
      <c r="F654" s="8" t="n">
        <v>30</v>
      </c>
      <c r="G654" s="8" t="s">
        <v>3026</v>
      </c>
      <c r="H654" s="8" t="s">
        <v>3032</v>
      </c>
      <c r="I654" s="27" t="s">
        <v>3041</v>
      </c>
      <c r="J654" s="8" t="s">
        <v>291</v>
      </c>
      <c r="K654" s="8" t="s">
        <v>290</v>
      </c>
      <c r="L654" s="8" t="s">
        <v>293</v>
      </c>
      <c r="M654" s="8" t="str">
        <f aca="false">IF(K654="FUERA","Fuera del marco",IF(K654="N/A","Sin marco",IFERROR(INDEX(Catalogo_TIMSS!$C$5:$C$105,MATCH(K654,Catalogo_TIMSS!$A$5:$A$105,0)),"Pendiente de clasificar")))</f>
        <v>Mecánica y termodinámica</v>
      </c>
      <c r="N654" s="8" t="str">
        <f aca="false">IF(K654="FUERA","Fuera del marco",IF(K654="N/A","Sin marco",IFERROR(INDEX(Catalogo_TIMSS!$F$5:$F$105,MATCH(K654,Catalogo_TIMSS!$A$5:$A$105,0)),"Pendiente de clasificar")))</f>
        <v>Fuerzas y movimiento</v>
      </c>
      <c r="O654" s="8" t="str">
        <f aca="false">IF(L654="","",IFERROR(INDEX(Catalogo_TIMSS!$C$5:$C$105,MATCH(L654,Catalogo_TIMSS!$A$5:$A$105,0)),"?"))</f>
        <v>Mecánica y termodinámica</v>
      </c>
      <c r="P654" s="8" t="s">
        <v>418</v>
      </c>
      <c r="Q654" s="27" t="s">
        <v>3042</v>
      </c>
      <c r="R654" s="27" t="s">
        <v>3043</v>
      </c>
      <c r="S654" s="28" t="n">
        <f aca="false">IFERROR(ISNUMBER(SEARCH("Conocer",$R654))/(ISNUMBER(SEARCH("Conocer",$R654))+ISNUMBER(SEARCH("Aplicar",$R654))+ISNUMBER(SEARCH("Razonar",$R654))),0)</f>
        <v>0</v>
      </c>
      <c r="T654" s="28" t="n">
        <f aca="false">IFERROR(ISNUMBER(SEARCH("Aplicar",$R654))/(ISNUMBER(SEARCH("Conocer",$R654))+ISNUMBER(SEARCH("Aplicar",$R654))+ISNUMBER(SEARCH("Razonar",$R654))),0)</f>
        <v>0.5</v>
      </c>
      <c r="U654" s="28" t="n">
        <f aca="false">IFERROR(ISNUMBER(SEARCH("Razonar",$R654))/(ISNUMBER(SEARCH("Conocer",$R654))+ISNUMBER(SEARCH("Aplicar",$R654))+ISNUMBER(SEARCH("Razonar",$R654))),0)</f>
        <v>0.5</v>
      </c>
      <c r="V654" s="8" t="s">
        <v>54</v>
      </c>
      <c r="W654" s="8" t="s">
        <v>69</v>
      </c>
    </row>
    <row r="655" customFormat="false" ht="15" hidden="false" customHeight="false" outlineLevel="0" collapsed="false">
      <c r="A655" s="8" t="s">
        <v>3044</v>
      </c>
      <c r="B655" s="8" t="n">
        <v>10</v>
      </c>
      <c r="C655" s="8" t="s">
        <v>91</v>
      </c>
      <c r="D655" s="8" t="s">
        <v>2909</v>
      </c>
      <c r="E655" s="8" t="s">
        <v>2910</v>
      </c>
      <c r="F655" s="8" t="n">
        <v>31</v>
      </c>
      <c r="G655" s="8" t="s">
        <v>3026</v>
      </c>
      <c r="H655" s="8" t="s">
        <v>3032</v>
      </c>
      <c r="I655" s="27" t="s">
        <v>3045</v>
      </c>
      <c r="J655" s="8" t="s">
        <v>291</v>
      </c>
      <c r="K655" s="8" t="s">
        <v>290</v>
      </c>
      <c r="L655" s="8"/>
      <c r="M655" s="8" t="str">
        <f aca="false">IF(K655="FUERA","Fuera del marco",IF(K655="N/A","Sin marco",IFERROR(INDEX(Catalogo_TIMSS!$C$5:$C$105,MATCH(K655,Catalogo_TIMSS!$A$5:$A$105,0)),"Pendiente de clasificar")))</f>
        <v>Mecánica y termodinámica</v>
      </c>
      <c r="N655" s="8" t="str">
        <f aca="false">IF(K655="FUERA","Fuera del marco",IF(K655="N/A","Sin marco",IFERROR(INDEX(Catalogo_TIMSS!$F$5:$F$105,MATCH(K655,Catalogo_TIMSS!$A$5:$A$105,0)),"Pendiente de clasificar")))</f>
        <v>Fuerzas y movimiento</v>
      </c>
      <c r="O655" s="8" t="str">
        <f aca="false">IF(L655="","",IFERROR(INDEX(Catalogo_TIMSS!$C$5:$C$105,MATCH(L655,Catalogo_TIMSS!$A$5:$A$105,0)),"?"))</f>
        <v/>
      </c>
      <c r="P655" s="8" t="s">
        <v>418</v>
      </c>
      <c r="Q655" s="27" t="s">
        <v>3046</v>
      </c>
      <c r="R655" s="27" t="s">
        <v>3047</v>
      </c>
      <c r="S655" s="28" t="n">
        <f aca="false">IFERROR(ISNUMBER(SEARCH("Conocer",$R655))/(ISNUMBER(SEARCH("Conocer",$R655))+ISNUMBER(SEARCH("Aplicar",$R655))+ISNUMBER(SEARCH("Razonar",$R655))),0)</f>
        <v>0</v>
      </c>
      <c r="T655" s="28" t="n">
        <f aca="false">IFERROR(ISNUMBER(SEARCH("Aplicar",$R655))/(ISNUMBER(SEARCH("Conocer",$R655))+ISNUMBER(SEARCH("Aplicar",$R655))+ISNUMBER(SEARCH("Razonar",$R655))),0)</f>
        <v>0.5</v>
      </c>
      <c r="U655" s="28" t="n">
        <f aca="false">IFERROR(ISNUMBER(SEARCH("Razonar",$R655))/(ISNUMBER(SEARCH("Conocer",$R655))+ISNUMBER(SEARCH("Aplicar",$R655))+ISNUMBER(SEARCH("Razonar",$R655))),0)</f>
        <v>0.5</v>
      </c>
      <c r="V655" s="8" t="s">
        <v>54</v>
      </c>
      <c r="W655" s="8" t="s">
        <v>69</v>
      </c>
    </row>
    <row r="656" customFormat="false" ht="15" hidden="false" customHeight="false" outlineLevel="0" collapsed="false">
      <c r="A656" s="8" t="s">
        <v>3048</v>
      </c>
      <c r="B656" s="8" t="n">
        <v>10</v>
      </c>
      <c r="C656" s="8" t="s">
        <v>91</v>
      </c>
      <c r="D656" s="8" t="s">
        <v>2909</v>
      </c>
      <c r="E656" s="8" t="s">
        <v>2910</v>
      </c>
      <c r="F656" s="8" t="n">
        <v>32</v>
      </c>
      <c r="G656" s="8" t="s">
        <v>3026</v>
      </c>
      <c r="H656" s="8" t="s">
        <v>3049</v>
      </c>
      <c r="I656" s="27" t="s">
        <v>3050</v>
      </c>
      <c r="J656" s="8" t="s">
        <v>291</v>
      </c>
      <c r="K656" s="8" t="s">
        <v>293</v>
      </c>
      <c r="L656" s="8"/>
      <c r="M656" s="8" t="str">
        <f aca="false">IF(K656="FUERA","Fuera del marco",IF(K656="N/A","Sin marco",IFERROR(INDEX(Catalogo_TIMSS!$C$5:$C$105,MATCH(K656,Catalogo_TIMSS!$A$5:$A$105,0)),"Pendiente de clasificar")))</f>
        <v>Mecánica y termodinámica</v>
      </c>
      <c r="N656" s="8" t="str">
        <f aca="false">IF(K656="FUERA","Fuera del marco",IF(K656="N/A","Sin marco",IFERROR(INDEX(Catalogo_TIMSS!$F$5:$F$105,MATCH(K656,Catalogo_TIMSS!$A$5:$A$105,0)),"Pendiente de clasificar")))</f>
        <v>Fuerzas y movimiento</v>
      </c>
      <c r="O656" s="8" t="str">
        <f aca="false">IF(L656="","",IFERROR(INDEX(Catalogo_TIMSS!$C$5:$C$105,MATCH(L656,Catalogo_TIMSS!$A$5:$A$105,0)),"?"))</f>
        <v/>
      </c>
      <c r="P656" s="8" t="s">
        <v>460</v>
      </c>
      <c r="Q656" s="27" t="s">
        <v>3051</v>
      </c>
      <c r="R656" s="27" t="s">
        <v>3052</v>
      </c>
      <c r="S656" s="28" t="n">
        <f aca="false">IFERROR(ISNUMBER(SEARCH("Conocer",$R656))/(ISNUMBER(SEARCH("Conocer",$R656))+ISNUMBER(SEARCH("Aplicar",$R656))+ISNUMBER(SEARCH("Razonar",$R656))),0)</f>
        <v>0.5</v>
      </c>
      <c r="T656" s="28" t="n">
        <f aca="false">IFERROR(ISNUMBER(SEARCH("Aplicar",$R656))/(ISNUMBER(SEARCH("Conocer",$R656))+ISNUMBER(SEARCH("Aplicar",$R656))+ISNUMBER(SEARCH("Razonar",$R656))),0)</f>
        <v>0</v>
      </c>
      <c r="U656" s="28" t="n">
        <f aca="false">IFERROR(ISNUMBER(SEARCH("Razonar",$R656))/(ISNUMBER(SEARCH("Conocer",$R656))+ISNUMBER(SEARCH("Aplicar",$R656))+ISNUMBER(SEARCH("Razonar",$R656))),0)</f>
        <v>0.5</v>
      </c>
      <c r="V656" s="8" t="s">
        <v>54</v>
      </c>
      <c r="W656" s="8" t="s">
        <v>69</v>
      </c>
    </row>
    <row r="657" customFormat="false" ht="15" hidden="false" customHeight="false" outlineLevel="0" collapsed="false">
      <c r="A657" s="8" t="s">
        <v>3053</v>
      </c>
      <c r="B657" s="8" t="n">
        <v>10</v>
      </c>
      <c r="C657" s="8" t="s">
        <v>91</v>
      </c>
      <c r="D657" s="8" t="s">
        <v>2909</v>
      </c>
      <c r="E657" s="8" t="s">
        <v>2910</v>
      </c>
      <c r="F657" s="8" t="n">
        <v>33</v>
      </c>
      <c r="G657" s="8" t="s">
        <v>3026</v>
      </c>
      <c r="H657" s="8" t="s">
        <v>3049</v>
      </c>
      <c r="I657" s="27" t="s">
        <v>3054</v>
      </c>
      <c r="J657" s="8" t="s">
        <v>291</v>
      </c>
      <c r="K657" s="8" t="s">
        <v>297</v>
      </c>
      <c r="L657" s="8"/>
      <c r="M657" s="8" t="str">
        <f aca="false">IF(K657="FUERA","Fuera del marco",IF(K657="N/A","Sin marco",IFERROR(INDEX(Catalogo_TIMSS!$C$5:$C$105,MATCH(K657,Catalogo_TIMSS!$A$5:$A$105,0)),"Pendiente de clasificar")))</f>
        <v>Mecánica y termodinámica</v>
      </c>
      <c r="N657" s="8" t="str">
        <f aca="false">IF(K657="FUERA","Fuera del marco",IF(K657="N/A","Sin marco",IFERROR(INDEX(Catalogo_TIMSS!$F$5:$F$105,MATCH(K657,Catalogo_TIMSS!$A$5:$A$105,0)),"Pendiente de clasificar")))</f>
        <v>Fuerzas y movimiento</v>
      </c>
      <c r="O657" s="8" t="str">
        <f aca="false">IF(L657="","",IFERROR(INDEX(Catalogo_TIMSS!$C$5:$C$105,MATCH(L657,Catalogo_TIMSS!$A$5:$A$105,0)),"?"))</f>
        <v/>
      </c>
      <c r="P657" s="8" t="s">
        <v>418</v>
      </c>
      <c r="Q657" s="27" t="s">
        <v>3055</v>
      </c>
      <c r="R657" s="27" t="s">
        <v>3056</v>
      </c>
      <c r="S657" s="28" t="n">
        <f aca="false">IFERROR(ISNUMBER(SEARCH("Conocer",$R657))/(ISNUMBER(SEARCH("Conocer",$R657))+ISNUMBER(SEARCH("Aplicar",$R657))+ISNUMBER(SEARCH("Razonar",$R657))),0)</f>
        <v>0</v>
      </c>
      <c r="T657" s="28" t="n">
        <f aca="false">IFERROR(ISNUMBER(SEARCH("Aplicar",$R657))/(ISNUMBER(SEARCH("Conocer",$R657))+ISNUMBER(SEARCH("Aplicar",$R657))+ISNUMBER(SEARCH("Razonar",$R657))),0)</f>
        <v>0.5</v>
      </c>
      <c r="U657" s="28" t="n">
        <f aca="false">IFERROR(ISNUMBER(SEARCH("Razonar",$R657))/(ISNUMBER(SEARCH("Conocer",$R657))+ISNUMBER(SEARCH("Aplicar",$R657))+ISNUMBER(SEARCH("Razonar",$R657))),0)</f>
        <v>0.5</v>
      </c>
      <c r="V657" s="8" t="s">
        <v>54</v>
      </c>
      <c r="W657" s="8" t="s">
        <v>69</v>
      </c>
    </row>
    <row r="658" customFormat="false" ht="15" hidden="false" customHeight="false" outlineLevel="0" collapsed="false">
      <c r="A658" s="8" t="s">
        <v>3057</v>
      </c>
      <c r="B658" s="8" t="n">
        <v>10</v>
      </c>
      <c r="C658" s="8" t="s">
        <v>91</v>
      </c>
      <c r="D658" s="8" t="s">
        <v>2909</v>
      </c>
      <c r="E658" s="8" t="s">
        <v>2910</v>
      </c>
      <c r="F658" s="8" t="n">
        <v>34</v>
      </c>
      <c r="G658" s="8" t="s">
        <v>3026</v>
      </c>
      <c r="H658" s="8" t="s">
        <v>3058</v>
      </c>
      <c r="I658" s="27" t="s">
        <v>3059</v>
      </c>
      <c r="J658" s="8" t="s">
        <v>291</v>
      </c>
      <c r="K658" s="8" t="s">
        <v>293</v>
      </c>
      <c r="L658" s="8"/>
      <c r="M658" s="8" t="str">
        <f aca="false">IF(K658="FUERA","Fuera del marco",IF(K658="N/A","Sin marco",IFERROR(INDEX(Catalogo_TIMSS!$C$5:$C$105,MATCH(K658,Catalogo_TIMSS!$A$5:$A$105,0)),"Pendiente de clasificar")))</f>
        <v>Mecánica y termodinámica</v>
      </c>
      <c r="N658" s="8" t="str">
        <f aca="false">IF(K658="FUERA","Fuera del marco",IF(K658="N/A","Sin marco",IFERROR(INDEX(Catalogo_TIMSS!$F$5:$F$105,MATCH(K658,Catalogo_TIMSS!$A$5:$A$105,0)),"Pendiente de clasificar")))</f>
        <v>Fuerzas y movimiento</v>
      </c>
      <c r="O658" s="8" t="str">
        <f aca="false">IF(L658="","",IFERROR(INDEX(Catalogo_TIMSS!$C$5:$C$105,MATCH(L658,Catalogo_TIMSS!$A$5:$A$105,0)),"?"))</f>
        <v/>
      </c>
      <c r="P658" s="8" t="s">
        <v>418</v>
      </c>
      <c r="Q658" s="27" t="s">
        <v>3060</v>
      </c>
      <c r="R658" s="27" t="s">
        <v>3061</v>
      </c>
      <c r="S658" s="28" t="n">
        <f aca="false">IFERROR(ISNUMBER(SEARCH("Conocer",$R658))/(ISNUMBER(SEARCH("Conocer",$R658))+ISNUMBER(SEARCH("Aplicar",$R658))+ISNUMBER(SEARCH("Razonar",$R658))),0)</f>
        <v>0</v>
      </c>
      <c r="T658" s="28" t="n">
        <f aca="false">IFERROR(ISNUMBER(SEARCH("Aplicar",$R658))/(ISNUMBER(SEARCH("Conocer",$R658))+ISNUMBER(SEARCH("Aplicar",$R658))+ISNUMBER(SEARCH("Razonar",$R658))),0)</f>
        <v>0.5</v>
      </c>
      <c r="U658" s="28" t="n">
        <f aca="false">IFERROR(ISNUMBER(SEARCH("Razonar",$R658))/(ISNUMBER(SEARCH("Conocer",$R658))+ISNUMBER(SEARCH("Aplicar",$R658))+ISNUMBER(SEARCH("Razonar",$R658))),0)</f>
        <v>0.5</v>
      </c>
      <c r="V658" s="8" t="s">
        <v>54</v>
      </c>
      <c r="W658" s="8" t="s">
        <v>69</v>
      </c>
    </row>
    <row r="659" customFormat="false" ht="15" hidden="false" customHeight="false" outlineLevel="0" collapsed="false">
      <c r="A659" s="8" t="s">
        <v>3062</v>
      </c>
      <c r="B659" s="8" t="n">
        <v>10</v>
      </c>
      <c r="C659" s="8" t="s">
        <v>91</v>
      </c>
      <c r="D659" s="8" t="s">
        <v>2909</v>
      </c>
      <c r="E659" s="8" t="s">
        <v>2910</v>
      </c>
      <c r="F659" s="8" t="n">
        <v>35</v>
      </c>
      <c r="G659" s="8" t="s">
        <v>3026</v>
      </c>
      <c r="H659" s="8" t="s">
        <v>3058</v>
      </c>
      <c r="I659" s="27" t="s">
        <v>3063</v>
      </c>
      <c r="J659" s="8" t="s">
        <v>291</v>
      </c>
      <c r="K659" s="8" t="s">
        <v>293</v>
      </c>
      <c r="L659" s="8"/>
      <c r="M659" s="8" t="str">
        <f aca="false">IF(K659="FUERA","Fuera del marco",IF(K659="N/A","Sin marco",IFERROR(INDEX(Catalogo_TIMSS!$C$5:$C$105,MATCH(K659,Catalogo_TIMSS!$A$5:$A$105,0)),"Pendiente de clasificar")))</f>
        <v>Mecánica y termodinámica</v>
      </c>
      <c r="N659" s="8" t="str">
        <f aca="false">IF(K659="FUERA","Fuera del marco",IF(K659="N/A","Sin marco",IFERROR(INDEX(Catalogo_TIMSS!$F$5:$F$105,MATCH(K659,Catalogo_TIMSS!$A$5:$A$105,0)),"Pendiente de clasificar")))</f>
        <v>Fuerzas y movimiento</v>
      </c>
      <c r="O659" s="8" t="str">
        <f aca="false">IF(L659="","",IFERROR(INDEX(Catalogo_TIMSS!$C$5:$C$105,MATCH(L659,Catalogo_TIMSS!$A$5:$A$105,0)),"?"))</f>
        <v/>
      </c>
      <c r="P659" s="8" t="s">
        <v>418</v>
      </c>
      <c r="Q659" s="27" t="s">
        <v>3064</v>
      </c>
      <c r="R659" s="27" t="s">
        <v>3065</v>
      </c>
      <c r="S659" s="28" t="n">
        <f aca="false">IFERROR(ISNUMBER(SEARCH("Conocer",$R659))/(ISNUMBER(SEARCH("Conocer",$R659))+ISNUMBER(SEARCH("Aplicar",$R659))+ISNUMBER(SEARCH("Razonar",$R659))),0)</f>
        <v>0</v>
      </c>
      <c r="T659" s="28" t="n">
        <f aca="false">IFERROR(ISNUMBER(SEARCH("Aplicar",$R659))/(ISNUMBER(SEARCH("Conocer",$R659))+ISNUMBER(SEARCH("Aplicar",$R659))+ISNUMBER(SEARCH("Razonar",$R659))),0)</f>
        <v>0.5</v>
      </c>
      <c r="U659" s="28" t="n">
        <f aca="false">IFERROR(ISNUMBER(SEARCH("Razonar",$R659))/(ISNUMBER(SEARCH("Conocer",$R659))+ISNUMBER(SEARCH("Aplicar",$R659))+ISNUMBER(SEARCH("Razonar",$R659))),0)</f>
        <v>0.5</v>
      </c>
      <c r="V659" s="8" t="s">
        <v>54</v>
      </c>
      <c r="W659" s="8" t="s">
        <v>69</v>
      </c>
    </row>
    <row r="660" customFormat="false" ht="15" hidden="false" customHeight="false" outlineLevel="0" collapsed="false">
      <c r="A660" s="8" t="s">
        <v>3066</v>
      </c>
      <c r="B660" s="8" t="n">
        <v>10</v>
      </c>
      <c r="C660" s="8" t="s">
        <v>91</v>
      </c>
      <c r="D660" s="8" t="s">
        <v>2909</v>
      </c>
      <c r="E660" s="8" t="s">
        <v>2910</v>
      </c>
      <c r="F660" s="8" t="n">
        <v>36</v>
      </c>
      <c r="G660" s="8" t="s">
        <v>3026</v>
      </c>
      <c r="H660" s="8" t="s">
        <v>3058</v>
      </c>
      <c r="I660" s="27" t="s">
        <v>3067</v>
      </c>
      <c r="J660" s="8" t="s">
        <v>291</v>
      </c>
      <c r="K660" s="8" t="s">
        <v>293</v>
      </c>
      <c r="L660" s="8" t="s">
        <v>290</v>
      </c>
      <c r="M660" s="8" t="str">
        <f aca="false">IF(K660="FUERA","Fuera del marco",IF(K660="N/A","Sin marco",IFERROR(INDEX(Catalogo_TIMSS!$C$5:$C$105,MATCH(K660,Catalogo_TIMSS!$A$5:$A$105,0)),"Pendiente de clasificar")))</f>
        <v>Mecánica y termodinámica</v>
      </c>
      <c r="N660" s="8" t="str">
        <f aca="false">IF(K660="FUERA","Fuera del marco",IF(K660="N/A","Sin marco",IFERROR(INDEX(Catalogo_TIMSS!$F$5:$F$105,MATCH(K660,Catalogo_TIMSS!$A$5:$A$105,0)),"Pendiente de clasificar")))</f>
        <v>Fuerzas y movimiento</v>
      </c>
      <c r="O660" s="8" t="str">
        <f aca="false">IF(L660="","",IFERROR(INDEX(Catalogo_TIMSS!$C$5:$C$105,MATCH(L660,Catalogo_TIMSS!$A$5:$A$105,0)),"?"))</f>
        <v>Mecánica y termodinámica</v>
      </c>
      <c r="P660" s="8" t="s">
        <v>418</v>
      </c>
      <c r="Q660" s="27" t="s">
        <v>3068</v>
      </c>
      <c r="R660" s="27" t="s">
        <v>3069</v>
      </c>
      <c r="S660" s="28" t="n">
        <f aca="false">IFERROR(ISNUMBER(SEARCH("Conocer",$R660))/(ISNUMBER(SEARCH("Conocer",$R660))+ISNUMBER(SEARCH("Aplicar",$R660))+ISNUMBER(SEARCH("Razonar",$R660))),0)</f>
        <v>0</v>
      </c>
      <c r="T660" s="28" t="n">
        <f aca="false">IFERROR(ISNUMBER(SEARCH("Aplicar",$R660))/(ISNUMBER(SEARCH("Conocer",$R660))+ISNUMBER(SEARCH("Aplicar",$R660))+ISNUMBER(SEARCH("Razonar",$R660))),0)</f>
        <v>0.5</v>
      </c>
      <c r="U660" s="28" t="n">
        <f aca="false">IFERROR(ISNUMBER(SEARCH("Razonar",$R660))/(ISNUMBER(SEARCH("Conocer",$R660))+ISNUMBER(SEARCH("Aplicar",$R660))+ISNUMBER(SEARCH("Razonar",$R660))),0)</f>
        <v>0.5</v>
      </c>
      <c r="V660" s="8" t="s">
        <v>54</v>
      </c>
      <c r="W660" s="8" t="s">
        <v>69</v>
      </c>
    </row>
    <row r="661" customFormat="false" ht="15" hidden="false" customHeight="false" outlineLevel="0" collapsed="false">
      <c r="A661" s="8" t="s">
        <v>3070</v>
      </c>
      <c r="B661" s="8" t="n">
        <v>10</v>
      </c>
      <c r="C661" s="8" t="s">
        <v>91</v>
      </c>
      <c r="D661" s="8" t="s">
        <v>2909</v>
      </c>
      <c r="E661" s="8" t="s">
        <v>2910</v>
      </c>
      <c r="F661" s="8" t="n">
        <v>37</v>
      </c>
      <c r="G661" s="8" t="s">
        <v>3026</v>
      </c>
      <c r="H661" s="8" t="s">
        <v>3071</v>
      </c>
      <c r="I661" s="27" t="s">
        <v>3072</v>
      </c>
      <c r="J661" s="8" t="s">
        <v>291</v>
      </c>
      <c r="K661" s="8" t="s">
        <v>293</v>
      </c>
      <c r="L661" s="8"/>
      <c r="M661" s="8" t="str">
        <f aca="false">IF(K661="FUERA","Fuera del marco",IF(K661="N/A","Sin marco",IFERROR(INDEX(Catalogo_TIMSS!$C$5:$C$105,MATCH(K661,Catalogo_TIMSS!$A$5:$A$105,0)),"Pendiente de clasificar")))</f>
        <v>Mecánica y termodinámica</v>
      </c>
      <c r="N661" s="8" t="str">
        <f aca="false">IF(K661="FUERA","Fuera del marco",IF(K661="N/A","Sin marco",IFERROR(INDEX(Catalogo_TIMSS!$F$5:$F$105,MATCH(K661,Catalogo_TIMSS!$A$5:$A$105,0)),"Pendiente de clasificar")))</f>
        <v>Fuerzas y movimiento</v>
      </c>
      <c r="O661" s="8" t="str">
        <f aca="false">IF(L661="","",IFERROR(INDEX(Catalogo_TIMSS!$C$5:$C$105,MATCH(L661,Catalogo_TIMSS!$A$5:$A$105,0)),"?"))</f>
        <v/>
      </c>
      <c r="P661" s="8" t="s">
        <v>418</v>
      </c>
      <c r="Q661" s="27" t="s">
        <v>3073</v>
      </c>
      <c r="R661" s="27" t="s">
        <v>3074</v>
      </c>
      <c r="S661" s="28" t="n">
        <f aca="false">IFERROR(ISNUMBER(SEARCH("Conocer",$R661))/(ISNUMBER(SEARCH("Conocer",$R661))+ISNUMBER(SEARCH("Aplicar",$R661))+ISNUMBER(SEARCH("Razonar",$R661))),0)</f>
        <v>0</v>
      </c>
      <c r="T661" s="28" t="n">
        <f aca="false">IFERROR(ISNUMBER(SEARCH("Aplicar",$R661))/(ISNUMBER(SEARCH("Conocer",$R661))+ISNUMBER(SEARCH("Aplicar",$R661))+ISNUMBER(SEARCH("Razonar",$R661))),0)</f>
        <v>0.5</v>
      </c>
      <c r="U661" s="28" t="n">
        <f aca="false">IFERROR(ISNUMBER(SEARCH("Razonar",$R661))/(ISNUMBER(SEARCH("Conocer",$R661))+ISNUMBER(SEARCH("Aplicar",$R661))+ISNUMBER(SEARCH("Razonar",$R661))),0)</f>
        <v>0.5</v>
      </c>
      <c r="V661" s="8" t="s">
        <v>54</v>
      </c>
      <c r="W661" s="8" t="s">
        <v>69</v>
      </c>
    </row>
    <row r="662" customFormat="false" ht="15" hidden="false" customHeight="false" outlineLevel="0" collapsed="false">
      <c r="A662" s="8" t="s">
        <v>3075</v>
      </c>
      <c r="B662" s="8" t="n">
        <v>10</v>
      </c>
      <c r="C662" s="8" t="s">
        <v>91</v>
      </c>
      <c r="D662" s="8" t="s">
        <v>2909</v>
      </c>
      <c r="E662" s="8" t="s">
        <v>2910</v>
      </c>
      <c r="F662" s="8" t="n">
        <v>38</v>
      </c>
      <c r="G662" s="8" t="s">
        <v>3026</v>
      </c>
      <c r="H662" s="8" t="s">
        <v>3071</v>
      </c>
      <c r="I662" s="27" t="s">
        <v>3076</v>
      </c>
      <c r="J662" s="8" t="s">
        <v>291</v>
      </c>
      <c r="K662" s="8" t="s">
        <v>293</v>
      </c>
      <c r="L662" s="8" t="s">
        <v>290</v>
      </c>
      <c r="M662" s="8" t="str">
        <f aca="false">IF(K662="FUERA","Fuera del marco",IF(K662="N/A","Sin marco",IFERROR(INDEX(Catalogo_TIMSS!$C$5:$C$105,MATCH(K662,Catalogo_TIMSS!$A$5:$A$105,0)),"Pendiente de clasificar")))</f>
        <v>Mecánica y termodinámica</v>
      </c>
      <c r="N662" s="8" t="str">
        <f aca="false">IF(K662="FUERA","Fuera del marco",IF(K662="N/A","Sin marco",IFERROR(INDEX(Catalogo_TIMSS!$F$5:$F$105,MATCH(K662,Catalogo_TIMSS!$A$5:$A$105,0)),"Pendiente de clasificar")))</f>
        <v>Fuerzas y movimiento</v>
      </c>
      <c r="O662" s="8" t="str">
        <f aca="false">IF(L662="","",IFERROR(INDEX(Catalogo_TIMSS!$C$5:$C$105,MATCH(L662,Catalogo_TIMSS!$A$5:$A$105,0)),"?"))</f>
        <v>Mecánica y termodinámica</v>
      </c>
      <c r="P662" s="8" t="s">
        <v>418</v>
      </c>
      <c r="Q662" s="27" t="s">
        <v>3077</v>
      </c>
      <c r="R662" s="27" t="s">
        <v>3078</v>
      </c>
      <c r="S662" s="28" t="n">
        <f aca="false">IFERROR(ISNUMBER(SEARCH("Conocer",$R662))/(ISNUMBER(SEARCH("Conocer",$R662))+ISNUMBER(SEARCH("Aplicar",$R662))+ISNUMBER(SEARCH("Razonar",$R662))),0)</f>
        <v>0</v>
      </c>
      <c r="T662" s="28" t="n">
        <f aca="false">IFERROR(ISNUMBER(SEARCH("Aplicar",$R662))/(ISNUMBER(SEARCH("Conocer",$R662))+ISNUMBER(SEARCH("Aplicar",$R662))+ISNUMBER(SEARCH("Razonar",$R662))),0)</f>
        <v>0.5</v>
      </c>
      <c r="U662" s="28" t="n">
        <f aca="false">IFERROR(ISNUMBER(SEARCH("Razonar",$R662))/(ISNUMBER(SEARCH("Conocer",$R662))+ISNUMBER(SEARCH("Aplicar",$R662))+ISNUMBER(SEARCH("Razonar",$R662))),0)</f>
        <v>0.5</v>
      </c>
      <c r="V662" s="8" t="s">
        <v>54</v>
      </c>
      <c r="W662" s="8" t="s">
        <v>69</v>
      </c>
    </row>
    <row r="663" customFormat="false" ht="15" hidden="false" customHeight="false" outlineLevel="0" collapsed="false">
      <c r="A663" s="8" t="s">
        <v>3079</v>
      </c>
      <c r="B663" s="8" t="n">
        <v>10</v>
      </c>
      <c r="C663" s="8" t="s">
        <v>91</v>
      </c>
      <c r="D663" s="8" t="s">
        <v>2909</v>
      </c>
      <c r="E663" s="8" t="s">
        <v>2910</v>
      </c>
      <c r="F663" s="8" t="n">
        <v>39</v>
      </c>
      <c r="G663" s="8" t="s">
        <v>3080</v>
      </c>
      <c r="H663" s="8" t="s">
        <v>3081</v>
      </c>
      <c r="I663" s="27" t="s">
        <v>3082</v>
      </c>
      <c r="J663" s="8" t="s">
        <v>291</v>
      </c>
      <c r="K663" s="8" t="s">
        <v>295</v>
      </c>
      <c r="L663" s="8"/>
      <c r="M663" s="8" t="str">
        <f aca="false">IF(K663="FUERA","Fuera del marco",IF(K663="N/A","Sin marco",IFERROR(INDEX(Catalogo_TIMSS!$C$5:$C$105,MATCH(K663,Catalogo_TIMSS!$A$5:$A$105,0)),"Pendiente de clasificar")))</f>
        <v>Mecánica y termodinámica</v>
      </c>
      <c r="N663" s="8" t="str">
        <f aca="false">IF(K663="FUERA","Fuera del marco",IF(K663="N/A","Sin marco",IFERROR(INDEX(Catalogo_TIMSS!$F$5:$F$105,MATCH(K663,Catalogo_TIMSS!$A$5:$A$105,0)),"Pendiente de clasificar")))</f>
        <v>Fuerzas y movimiento</v>
      </c>
      <c r="O663" s="8" t="str">
        <f aca="false">IF(L663="","",IFERROR(INDEX(Catalogo_TIMSS!$C$5:$C$105,MATCH(L663,Catalogo_TIMSS!$A$5:$A$105,0)),"?"))</f>
        <v/>
      </c>
      <c r="P663" s="8" t="s">
        <v>418</v>
      </c>
      <c r="Q663" s="27" t="s">
        <v>3083</v>
      </c>
      <c r="R663" s="27" t="s">
        <v>3084</v>
      </c>
      <c r="S663" s="28" t="n">
        <f aca="false">IFERROR(ISNUMBER(SEARCH("Conocer",$R663))/(ISNUMBER(SEARCH("Conocer",$R663))+ISNUMBER(SEARCH("Aplicar",$R663))+ISNUMBER(SEARCH("Razonar",$R663))),0)</f>
        <v>0</v>
      </c>
      <c r="T663" s="28" t="n">
        <f aca="false">IFERROR(ISNUMBER(SEARCH("Aplicar",$R663))/(ISNUMBER(SEARCH("Conocer",$R663))+ISNUMBER(SEARCH("Aplicar",$R663))+ISNUMBER(SEARCH("Razonar",$R663))),0)</f>
        <v>0.5</v>
      </c>
      <c r="U663" s="28" t="n">
        <f aca="false">IFERROR(ISNUMBER(SEARCH("Razonar",$R663))/(ISNUMBER(SEARCH("Conocer",$R663))+ISNUMBER(SEARCH("Aplicar",$R663))+ISNUMBER(SEARCH("Razonar",$R663))),0)</f>
        <v>0.5</v>
      </c>
      <c r="V663" s="8" t="s">
        <v>54</v>
      </c>
      <c r="W663" s="8" t="s">
        <v>69</v>
      </c>
    </row>
    <row r="664" customFormat="false" ht="15" hidden="false" customHeight="false" outlineLevel="0" collapsed="false">
      <c r="A664" s="8" t="s">
        <v>3085</v>
      </c>
      <c r="B664" s="8" t="n">
        <v>10</v>
      </c>
      <c r="C664" s="8" t="s">
        <v>91</v>
      </c>
      <c r="D664" s="8" t="s">
        <v>2909</v>
      </c>
      <c r="E664" s="8" t="s">
        <v>2910</v>
      </c>
      <c r="F664" s="8" t="n">
        <v>40</v>
      </c>
      <c r="G664" s="8" t="s">
        <v>3080</v>
      </c>
      <c r="H664" s="8" t="s">
        <v>3086</v>
      </c>
      <c r="I664" s="27" t="s">
        <v>3087</v>
      </c>
      <c r="J664" s="8" t="s">
        <v>291</v>
      </c>
      <c r="K664" s="8" t="s">
        <v>295</v>
      </c>
      <c r="L664" s="8"/>
      <c r="M664" s="8" t="str">
        <f aca="false">IF(K664="FUERA","Fuera del marco",IF(K664="N/A","Sin marco",IFERROR(INDEX(Catalogo_TIMSS!$C$5:$C$105,MATCH(K664,Catalogo_TIMSS!$A$5:$A$105,0)),"Pendiente de clasificar")))</f>
        <v>Mecánica y termodinámica</v>
      </c>
      <c r="N664" s="8" t="str">
        <f aca="false">IF(K664="FUERA","Fuera del marco",IF(K664="N/A","Sin marco",IFERROR(INDEX(Catalogo_TIMSS!$F$5:$F$105,MATCH(K664,Catalogo_TIMSS!$A$5:$A$105,0)),"Pendiente de clasificar")))</f>
        <v>Fuerzas y movimiento</v>
      </c>
      <c r="O664" s="8" t="str">
        <f aca="false">IF(L664="","",IFERROR(INDEX(Catalogo_TIMSS!$C$5:$C$105,MATCH(L664,Catalogo_TIMSS!$A$5:$A$105,0)),"?"))</f>
        <v/>
      </c>
      <c r="P664" s="8" t="s">
        <v>418</v>
      </c>
      <c r="Q664" s="27" t="s">
        <v>3086</v>
      </c>
      <c r="R664" s="27" t="s">
        <v>3088</v>
      </c>
      <c r="S664" s="28" t="n">
        <f aca="false">IFERROR(ISNUMBER(SEARCH("Conocer",$R664))/(ISNUMBER(SEARCH("Conocer",$R664))+ISNUMBER(SEARCH("Aplicar",$R664))+ISNUMBER(SEARCH("Razonar",$R664))),0)</f>
        <v>0</v>
      </c>
      <c r="T664" s="28" t="n">
        <f aca="false">IFERROR(ISNUMBER(SEARCH("Aplicar",$R664))/(ISNUMBER(SEARCH("Conocer",$R664))+ISNUMBER(SEARCH("Aplicar",$R664))+ISNUMBER(SEARCH("Razonar",$R664))),0)</f>
        <v>0.5</v>
      </c>
      <c r="U664" s="28" t="n">
        <f aca="false">IFERROR(ISNUMBER(SEARCH("Razonar",$R664))/(ISNUMBER(SEARCH("Conocer",$R664))+ISNUMBER(SEARCH("Aplicar",$R664))+ISNUMBER(SEARCH("Razonar",$R664))),0)</f>
        <v>0.5</v>
      </c>
      <c r="V664" s="8" t="s">
        <v>54</v>
      </c>
      <c r="W664" s="8" t="s">
        <v>69</v>
      </c>
    </row>
    <row r="665" customFormat="false" ht="15" hidden="false" customHeight="false" outlineLevel="0" collapsed="false">
      <c r="A665" s="8" t="s">
        <v>3089</v>
      </c>
      <c r="B665" s="8" t="n">
        <v>10</v>
      </c>
      <c r="C665" s="8" t="s">
        <v>91</v>
      </c>
      <c r="D665" s="8" t="s">
        <v>2909</v>
      </c>
      <c r="E665" s="8" t="s">
        <v>2910</v>
      </c>
      <c r="F665" s="8" t="n">
        <v>41</v>
      </c>
      <c r="G665" s="8" t="s">
        <v>3080</v>
      </c>
      <c r="H665" s="8" t="s">
        <v>3090</v>
      </c>
      <c r="I665" s="27" t="s">
        <v>3091</v>
      </c>
      <c r="J665" s="8" t="s">
        <v>291</v>
      </c>
      <c r="K665" s="8" t="s">
        <v>295</v>
      </c>
      <c r="L665" s="8"/>
      <c r="M665" s="8" t="str">
        <f aca="false">IF(K665="FUERA","Fuera del marco",IF(K665="N/A","Sin marco",IFERROR(INDEX(Catalogo_TIMSS!$C$5:$C$105,MATCH(K665,Catalogo_TIMSS!$A$5:$A$105,0)),"Pendiente de clasificar")))</f>
        <v>Mecánica y termodinámica</v>
      </c>
      <c r="N665" s="8" t="str">
        <f aca="false">IF(K665="FUERA","Fuera del marco",IF(K665="N/A","Sin marco",IFERROR(INDEX(Catalogo_TIMSS!$F$5:$F$105,MATCH(K665,Catalogo_TIMSS!$A$5:$A$105,0)),"Pendiente de clasificar")))</f>
        <v>Fuerzas y movimiento</v>
      </c>
      <c r="O665" s="8" t="str">
        <f aca="false">IF(L665="","",IFERROR(INDEX(Catalogo_TIMSS!$C$5:$C$105,MATCH(L665,Catalogo_TIMSS!$A$5:$A$105,0)),"?"))</f>
        <v/>
      </c>
      <c r="P665" s="8" t="s">
        <v>418</v>
      </c>
      <c r="Q665" s="27" t="s">
        <v>3092</v>
      </c>
      <c r="R665" s="27" t="s">
        <v>3093</v>
      </c>
      <c r="S665" s="28" t="n">
        <f aca="false">IFERROR(ISNUMBER(SEARCH("Conocer",$R665))/(ISNUMBER(SEARCH("Conocer",$R665))+ISNUMBER(SEARCH("Aplicar",$R665))+ISNUMBER(SEARCH("Razonar",$R665))),0)</f>
        <v>0</v>
      </c>
      <c r="T665" s="28" t="n">
        <f aca="false">IFERROR(ISNUMBER(SEARCH("Aplicar",$R665))/(ISNUMBER(SEARCH("Conocer",$R665))+ISNUMBER(SEARCH("Aplicar",$R665))+ISNUMBER(SEARCH("Razonar",$R665))),0)</f>
        <v>0.5</v>
      </c>
      <c r="U665" s="28" t="n">
        <f aca="false">IFERROR(ISNUMBER(SEARCH("Razonar",$R665))/(ISNUMBER(SEARCH("Conocer",$R665))+ISNUMBER(SEARCH("Aplicar",$R665))+ISNUMBER(SEARCH("Razonar",$R665))),0)</f>
        <v>0.5</v>
      </c>
      <c r="V665" s="8" t="s">
        <v>54</v>
      </c>
      <c r="W665" s="8" t="s">
        <v>69</v>
      </c>
    </row>
    <row r="666" customFormat="false" ht="15" hidden="false" customHeight="false" outlineLevel="0" collapsed="false">
      <c r="A666" s="8" t="s">
        <v>3094</v>
      </c>
      <c r="B666" s="8" t="n">
        <v>10</v>
      </c>
      <c r="C666" s="8" t="s">
        <v>91</v>
      </c>
      <c r="D666" s="8" t="s">
        <v>2909</v>
      </c>
      <c r="E666" s="8" t="s">
        <v>2910</v>
      </c>
      <c r="F666" s="8" t="n">
        <v>42</v>
      </c>
      <c r="G666" s="8" t="s">
        <v>3080</v>
      </c>
      <c r="H666" s="8" t="s">
        <v>3090</v>
      </c>
      <c r="I666" s="27" t="s">
        <v>3095</v>
      </c>
      <c r="J666" s="8" t="s">
        <v>291</v>
      </c>
      <c r="K666" s="8" t="s">
        <v>295</v>
      </c>
      <c r="L666" s="8" t="s">
        <v>293</v>
      </c>
      <c r="M666" s="8" t="str">
        <f aca="false">IF(K666="FUERA","Fuera del marco",IF(K666="N/A","Sin marco",IFERROR(INDEX(Catalogo_TIMSS!$C$5:$C$105,MATCH(K666,Catalogo_TIMSS!$A$5:$A$105,0)),"Pendiente de clasificar")))</f>
        <v>Mecánica y termodinámica</v>
      </c>
      <c r="N666" s="8" t="str">
        <f aca="false">IF(K666="FUERA","Fuera del marco",IF(K666="N/A","Sin marco",IFERROR(INDEX(Catalogo_TIMSS!$F$5:$F$105,MATCH(K666,Catalogo_TIMSS!$A$5:$A$105,0)),"Pendiente de clasificar")))</f>
        <v>Fuerzas y movimiento</v>
      </c>
      <c r="O666" s="8" t="str">
        <f aca="false">IF(L666="","",IFERROR(INDEX(Catalogo_TIMSS!$C$5:$C$105,MATCH(L666,Catalogo_TIMSS!$A$5:$A$105,0)),"?"))</f>
        <v>Mecánica y termodinámica</v>
      </c>
      <c r="P666" s="8" t="s">
        <v>418</v>
      </c>
      <c r="Q666" s="27" t="s">
        <v>3096</v>
      </c>
      <c r="R666" s="27" t="s">
        <v>3097</v>
      </c>
      <c r="S666" s="28" t="n">
        <f aca="false">IFERROR(ISNUMBER(SEARCH("Conocer",$R666))/(ISNUMBER(SEARCH("Conocer",$R666))+ISNUMBER(SEARCH("Aplicar",$R666))+ISNUMBER(SEARCH("Razonar",$R666))),0)</f>
        <v>0</v>
      </c>
      <c r="T666" s="28" t="n">
        <f aca="false">IFERROR(ISNUMBER(SEARCH("Aplicar",$R666))/(ISNUMBER(SEARCH("Conocer",$R666))+ISNUMBER(SEARCH("Aplicar",$R666))+ISNUMBER(SEARCH("Razonar",$R666))),0)</f>
        <v>0.5</v>
      </c>
      <c r="U666" s="28" t="n">
        <f aca="false">IFERROR(ISNUMBER(SEARCH("Razonar",$R666))/(ISNUMBER(SEARCH("Conocer",$R666))+ISNUMBER(SEARCH("Aplicar",$R666))+ISNUMBER(SEARCH("Razonar",$R666))),0)</f>
        <v>0.5</v>
      </c>
      <c r="V666" s="8" t="s">
        <v>54</v>
      </c>
      <c r="W666" s="8" t="s">
        <v>69</v>
      </c>
    </row>
    <row r="667" customFormat="false" ht="15" hidden="false" customHeight="false" outlineLevel="0" collapsed="false">
      <c r="A667" s="8" t="s">
        <v>3098</v>
      </c>
      <c r="B667" s="8" t="n">
        <v>10</v>
      </c>
      <c r="C667" s="8" t="s">
        <v>91</v>
      </c>
      <c r="D667" s="8" t="s">
        <v>2909</v>
      </c>
      <c r="E667" s="8" t="s">
        <v>2910</v>
      </c>
      <c r="F667" s="8" t="n">
        <v>43</v>
      </c>
      <c r="G667" s="8" t="s">
        <v>3080</v>
      </c>
      <c r="H667" s="8" t="s">
        <v>3099</v>
      </c>
      <c r="I667" s="27" t="s">
        <v>3100</v>
      </c>
      <c r="J667" s="8" t="s">
        <v>291</v>
      </c>
      <c r="K667" s="8" t="s">
        <v>297</v>
      </c>
      <c r="L667" s="8" t="s">
        <v>295</v>
      </c>
      <c r="M667" s="8" t="str">
        <f aca="false">IF(K667="FUERA","Fuera del marco",IF(K667="N/A","Sin marco",IFERROR(INDEX(Catalogo_TIMSS!$C$5:$C$105,MATCH(K667,Catalogo_TIMSS!$A$5:$A$105,0)),"Pendiente de clasificar")))</f>
        <v>Mecánica y termodinámica</v>
      </c>
      <c r="N667" s="8" t="str">
        <f aca="false">IF(K667="FUERA","Fuera del marco",IF(K667="N/A","Sin marco",IFERROR(INDEX(Catalogo_TIMSS!$F$5:$F$105,MATCH(K667,Catalogo_TIMSS!$A$5:$A$105,0)),"Pendiente de clasificar")))</f>
        <v>Fuerzas y movimiento</v>
      </c>
      <c r="O667" s="8" t="str">
        <f aca="false">IF(L667="","",IFERROR(INDEX(Catalogo_TIMSS!$C$5:$C$105,MATCH(L667,Catalogo_TIMSS!$A$5:$A$105,0)),"?"))</f>
        <v>Mecánica y termodinámica</v>
      </c>
      <c r="P667" s="8" t="s">
        <v>418</v>
      </c>
      <c r="Q667" s="27" t="s">
        <v>3101</v>
      </c>
      <c r="R667" s="27" t="s">
        <v>3102</v>
      </c>
      <c r="S667" s="28" t="n">
        <f aca="false">IFERROR(ISNUMBER(SEARCH("Conocer",$R667))/(ISNUMBER(SEARCH("Conocer",$R667))+ISNUMBER(SEARCH("Aplicar",$R667))+ISNUMBER(SEARCH("Razonar",$R667))),0)</f>
        <v>0</v>
      </c>
      <c r="T667" s="28" t="n">
        <f aca="false">IFERROR(ISNUMBER(SEARCH("Aplicar",$R667))/(ISNUMBER(SEARCH("Conocer",$R667))+ISNUMBER(SEARCH("Aplicar",$R667))+ISNUMBER(SEARCH("Razonar",$R667))),0)</f>
        <v>0.5</v>
      </c>
      <c r="U667" s="28" t="n">
        <f aca="false">IFERROR(ISNUMBER(SEARCH("Razonar",$R667))/(ISNUMBER(SEARCH("Conocer",$R667))+ISNUMBER(SEARCH("Aplicar",$R667))+ISNUMBER(SEARCH("Razonar",$R667))),0)</f>
        <v>0.5</v>
      </c>
      <c r="V667" s="8" t="s">
        <v>54</v>
      </c>
      <c r="W667" s="8" t="s">
        <v>69</v>
      </c>
    </row>
    <row r="668" customFormat="false" ht="15" hidden="false" customHeight="false" outlineLevel="0" collapsed="false">
      <c r="A668" s="8" t="s">
        <v>3103</v>
      </c>
      <c r="B668" s="8" t="n">
        <v>10</v>
      </c>
      <c r="C668" s="8" t="s">
        <v>91</v>
      </c>
      <c r="D668" s="8" t="s">
        <v>2909</v>
      </c>
      <c r="E668" s="8" t="s">
        <v>2910</v>
      </c>
      <c r="F668" s="8" t="n">
        <v>44</v>
      </c>
      <c r="G668" s="8" t="s">
        <v>3080</v>
      </c>
      <c r="H668" s="8" t="s">
        <v>3099</v>
      </c>
      <c r="I668" s="27" t="s">
        <v>3104</v>
      </c>
      <c r="J668" s="8" t="s">
        <v>291</v>
      </c>
      <c r="K668" s="8" t="s">
        <v>295</v>
      </c>
      <c r="L668" s="8" t="s">
        <v>297</v>
      </c>
      <c r="M668" s="8" t="str">
        <f aca="false">IF(K668="FUERA","Fuera del marco",IF(K668="N/A","Sin marco",IFERROR(INDEX(Catalogo_TIMSS!$C$5:$C$105,MATCH(K668,Catalogo_TIMSS!$A$5:$A$105,0)),"Pendiente de clasificar")))</f>
        <v>Mecánica y termodinámica</v>
      </c>
      <c r="N668" s="8" t="str">
        <f aca="false">IF(K668="FUERA","Fuera del marco",IF(K668="N/A","Sin marco",IFERROR(INDEX(Catalogo_TIMSS!$F$5:$F$105,MATCH(K668,Catalogo_TIMSS!$A$5:$A$105,0)),"Pendiente de clasificar")))</f>
        <v>Fuerzas y movimiento</v>
      </c>
      <c r="O668" s="8" t="str">
        <f aca="false">IF(L668="","",IFERROR(INDEX(Catalogo_TIMSS!$C$5:$C$105,MATCH(L668,Catalogo_TIMSS!$A$5:$A$105,0)),"?"))</f>
        <v>Mecánica y termodinámica</v>
      </c>
      <c r="P668" s="8" t="s">
        <v>460</v>
      </c>
      <c r="Q668" s="27" t="s">
        <v>3105</v>
      </c>
      <c r="R668" s="27" t="s">
        <v>3106</v>
      </c>
      <c r="S668" s="28" t="n">
        <f aca="false">IFERROR(ISNUMBER(SEARCH("Conocer",$R668))/(ISNUMBER(SEARCH("Conocer",$R668))+ISNUMBER(SEARCH("Aplicar",$R668))+ISNUMBER(SEARCH("Razonar",$R668))),0)</f>
        <v>0</v>
      </c>
      <c r="T668" s="28" t="n">
        <f aca="false">IFERROR(ISNUMBER(SEARCH("Aplicar",$R668))/(ISNUMBER(SEARCH("Conocer",$R668))+ISNUMBER(SEARCH("Aplicar",$R668))+ISNUMBER(SEARCH("Razonar",$R668))),0)</f>
        <v>0.5</v>
      </c>
      <c r="U668" s="28" t="n">
        <f aca="false">IFERROR(ISNUMBER(SEARCH("Razonar",$R668))/(ISNUMBER(SEARCH("Conocer",$R668))+ISNUMBER(SEARCH("Aplicar",$R668))+ISNUMBER(SEARCH("Razonar",$R668))),0)</f>
        <v>0.5</v>
      </c>
      <c r="V668" s="8" t="s">
        <v>54</v>
      </c>
      <c r="W668" s="8" t="s">
        <v>69</v>
      </c>
    </row>
    <row r="669" customFormat="false" ht="15" hidden="false" customHeight="false" outlineLevel="0" collapsed="false">
      <c r="A669" s="8" t="s">
        <v>3107</v>
      </c>
      <c r="B669" s="8" t="n">
        <v>10</v>
      </c>
      <c r="C669" s="8" t="s">
        <v>91</v>
      </c>
      <c r="D669" s="8" t="s">
        <v>2909</v>
      </c>
      <c r="E669" s="8" t="s">
        <v>2910</v>
      </c>
      <c r="F669" s="8" t="n">
        <v>45</v>
      </c>
      <c r="G669" s="8" t="s">
        <v>3080</v>
      </c>
      <c r="H669" s="8" t="s">
        <v>3108</v>
      </c>
      <c r="I669" s="27" t="s">
        <v>3109</v>
      </c>
      <c r="J669" s="8" t="s">
        <v>291</v>
      </c>
      <c r="K669" s="8" t="s">
        <v>295</v>
      </c>
      <c r="L669" s="8"/>
      <c r="M669" s="8" t="str">
        <f aca="false">IF(K669="FUERA","Fuera del marco",IF(K669="N/A","Sin marco",IFERROR(INDEX(Catalogo_TIMSS!$C$5:$C$105,MATCH(K669,Catalogo_TIMSS!$A$5:$A$105,0)),"Pendiente de clasificar")))</f>
        <v>Mecánica y termodinámica</v>
      </c>
      <c r="N669" s="8" t="str">
        <f aca="false">IF(K669="FUERA","Fuera del marco",IF(K669="N/A","Sin marco",IFERROR(INDEX(Catalogo_TIMSS!$F$5:$F$105,MATCH(K669,Catalogo_TIMSS!$A$5:$A$105,0)),"Pendiente de clasificar")))</f>
        <v>Fuerzas y movimiento</v>
      </c>
      <c r="O669" s="8" t="str">
        <f aca="false">IF(L669="","",IFERROR(INDEX(Catalogo_TIMSS!$C$5:$C$105,MATCH(L669,Catalogo_TIMSS!$A$5:$A$105,0)),"?"))</f>
        <v/>
      </c>
      <c r="P669" s="8" t="s">
        <v>418</v>
      </c>
      <c r="Q669" s="27" t="s">
        <v>3110</v>
      </c>
      <c r="R669" s="27" t="s">
        <v>3111</v>
      </c>
      <c r="S669" s="28" t="n">
        <f aca="false">IFERROR(ISNUMBER(SEARCH("Conocer",$R669))/(ISNUMBER(SEARCH("Conocer",$R669))+ISNUMBER(SEARCH("Aplicar",$R669))+ISNUMBER(SEARCH("Razonar",$R669))),0)</f>
        <v>0</v>
      </c>
      <c r="T669" s="28" t="n">
        <f aca="false">IFERROR(ISNUMBER(SEARCH("Aplicar",$R669))/(ISNUMBER(SEARCH("Conocer",$R669))+ISNUMBER(SEARCH("Aplicar",$R669))+ISNUMBER(SEARCH("Razonar",$R669))),0)</f>
        <v>0.5</v>
      </c>
      <c r="U669" s="28" t="n">
        <f aca="false">IFERROR(ISNUMBER(SEARCH("Razonar",$R669))/(ISNUMBER(SEARCH("Conocer",$R669))+ISNUMBER(SEARCH("Aplicar",$R669))+ISNUMBER(SEARCH("Razonar",$R669))),0)</f>
        <v>0.5</v>
      </c>
      <c r="V669" s="8" t="s">
        <v>54</v>
      </c>
      <c r="W669" s="8" t="s">
        <v>69</v>
      </c>
    </row>
    <row r="670" customFormat="false" ht="15" hidden="false" customHeight="false" outlineLevel="0" collapsed="false">
      <c r="A670" s="8" t="s">
        <v>3112</v>
      </c>
      <c r="B670" s="8" t="n">
        <v>10</v>
      </c>
      <c r="C670" s="8" t="s">
        <v>91</v>
      </c>
      <c r="D670" s="8" t="s">
        <v>2909</v>
      </c>
      <c r="E670" s="8" t="s">
        <v>2910</v>
      </c>
      <c r="F670" s="8" t="n">
        <v>46</v>
      </c>
      <c r="G670" s="8" t="s">
        <v>3113</v>
      </c>
      <c r="H670" s="8" t="s">
        <v>3114</v>
      </c>
      <c r="I670" s="27" t="s">
        <v>3115</v>
      </c>
      <c r="J670" s="8" t="s">
        <v>291</v>
      </c>
      <c r="K670" s="8" t="s">
        <v>299</v>
      </c>
      <c r="L670" s="8"/>
      <c r="M670" s="8" t="str">
        <f aca="false">IF(K670="FUERA","Fuera del marco",IF(K670="N/A","Sin marco",IFERROR(INDEX(Catalogo_TIMSS!$C$5:$C$105,MATCH(K670,Catalogo_TIMSS!$A$5:$A$105,0)),"Pendiente de clasificar")))</f>
        <v>Mecánica y termodinámica</v>
      </c>
      <c r="N670" s="8" t="str">
        <f aca="false">IF(K670="FUERA","Fuera del marco",IF(K670="N/A","Sin marco",IFERROR(INDEX(Catalogo_TIMSS!$F$5:$F$105,MATCH(K670,Catalogo_TIMSS!$A$5:$A$105,0)),"Pendiente de clasificar")))</f>
        <v>Leyes de conservación</v>
      </c>
      <c r="O670" s="8" t="str">
        <f aca="false">IF(L670="","",IFERROR(INDEX(Catalogo_TIMSS!$C$5:$C$105,MATCH(L670,Catalogo_TIMSS!$A$5:$A$105,0)),"?"))</f>
        <v/>
      </c>
      <c r="P670" s="8" t="s">
        <v>460</v>
      </c>
      <c r="Q670" s="27" t="s">
        <v>3116</v>
      </c>
      <c r="R670" s="27" t="s">
        <v>3117</v>
      </c>
      <c r="S670" s="28" t="n">
        <f aca="false">IFERROR(ISNUMBER(SEARCH("Conocer",$R670))/(ISNUMBER(SEARCH("Conocer",$R670))+ISNUMBER(SEARCH("Aplicar",$R670))+ISNUMBER(SEARCH("Razonar",$R670))),0)</f>
        <v>0</v>
      </c>
      <c r="T670" s="28" t="n">
        <f aca="false">IFERROR(ISNUMBER(SEARCH("Aplicar",$R670))/(ISNUMBER(SEARCH("Conocer",$R670))+ISNUMBER(SEARCH("Aplicar",$R670))+ISNUMBER(SEARCH("Razonar",$R670))),0)</f>
        <v>0.5</v>
      </c>
      <c r="U670" s="28" t="n">
        <f aca="false">IFERROR(ISNUMBER(SEARCH("Razonar",$R670))/(ISNUMBER(SEARCH("Conocer",$R670))+ISNUMBER(SEARCH("Aplicar",$R670))+ISNUMBER(SEARCH("Razonar",$R670))),0)</f>
        <v>0.5</v>
      </c>
      <c r="V670" s="8" t="s">
        <v>54</v>
      </c>
      <c r="W670" s="8" t="s">
        <v>69</v>
      </c>
    </row>
    <row r="671" customFormat="false" ht="15" hidden="false" customHeight="false" outlineLevel="0" collapsed="false">
      <c r="A671" s="8" t="s">
        <v>3118</v>
      </c>
      <c r="B671" s="8" t="n">
        <v>10</v>
      </c>
      <c r="C671" s="8" t="s">
        <v>91</v>
      </c>
      <c r="D671" s="8" t="s">
        <v>2909</v>
      </c>
      <c r="E671" s="8" t="s">
        <v>2910</v>
      </c>
      <c r="F671" s="8" t="n">
        <v>47</v>
      </c>
      <c r="G671" s="8" t="s">
        <v>3113</v>
      </c>
      <c r="H671" s="8" t="s">
        <v>3119</v>
      </c>
      <c r="I671" s="27" t="s">
        <v>3120</v>
      </c>
      <c r="J671" s="8" t="s">
        <v>291</v>
      </c>
      <c r="K671" s="8" t="s">
        <v>299</v>
      </c>
      <c r="L671" s="8"/>
      <c r="M671" s="8" t="str">
        <f aca="false">IF(K671="FUERA","Fuera del marco",IF(K671="N/A","Sin marco",IFERROR(INDEX(Catalogo_TIMSS!$C$5:$C$105,MATCH(K671,Catalogo_TIMSS!$A$5:$A$105,0)),"Pendiente de clasificar")))</f>
        <v>Mecánica y termodinámica</v>
      </c>
      <c r="N671" s="8" t="str">
        <f aca="false">IF(K671="FUERA","Fuera del marco",IF(K671="N/A","Sin marco",IFERROR(INDEX(Catalogo_TIMSS!$F$5:$F$105,MATCH(K671,Catalogo_TIMSS!$A$5:$A$105,0)),"Pendiente de clasificar")))</f>
        <v>Leyes de conservación</v>
      </c>
      <c r="O671" s="8" t="str">
        <f aca="false">IF(L671="","",IFERROR(INDEX(Catalogo_TIMSS!$C$5:$C$105,MATCH(L671,Catalogo_TIMSS!$A$5:$A$105,0)),"?"))</f>
        <v/>
      </c>
      <c r="P671" s="8" t="s">
        <v>460</v>
      </c>
      <c r="Q671" s="27" t="s">
        <v>3121</v>
      </c>
      <c r="R671" s="27" t="s">
        <v>3122</v>
      </c>
      <c r="S671" s="28" t="n">
        <f aca="false">IFERROR(ISNUMBER(SEARCH("Conocer",$R671))/(ISNUMBER(SEARCH("Conocer",$R671))+ISNUMBER(SEARCH("Aplicar",$R671))+ISNUMBER(SEARCH("Razonar",$R671))),0)</f>
        <v>0</v>
      </c>
      <c r="T671" s="28" t="n">
        <f aca="false">IFERROR(ISNUMBER(SEARCH("Aplicar",$R671))/(ISNUMBER(SEARCH("Conocer",$R671))+ISNUMBER(SEARCH("Aplicar",$R671))+ISNUMBER(SEARCH("Razonar",$R671))),0)</f>
        <v>0.5</v>
      </c>
      <c r="U671" s="28" t="n">
        <f aca="false">IFERROR(ISNUMBER(SEARCH("Razonar",$R671))/(ISNUMBER(SEARCH("Conocer",$R671))+ISNUMBER(SEARCH("Aplicar",$R671))+ISNUMBER(SEARCH("Razonar",$R671))),0)</f>
        <v>0.5</v>
      </c>
      <c r="V671" s="8" t="s">
        <v>54</v>
      </c>
      <c r="W671" s="8" t="s">
        <v>69</v>
      </c>
    </row>
    <row r="672" customFormat="false" ht="15" hidden="false" customHeight="false" outlineLevel="0" collapsed="false">
      <c r="A672" s="8" t="s">
        <v>3123</v>
      </c>
      <c r="B672" s="8" t="n">
        <v>10</v>
      </c>
      <c r="C672" s="8" t="s">
        <v>91</v>
      </c>
      <c r="D672" s="8" t="s">
        <v>2909</v>
      </c>
      <c r="E672" s="8" t="s">
        <v>2910</v>
      </c>
      <c r="F672" s="8" t="n">
        <v>48</v>
      </c>
      <c r="G672" s="8" t="s">
        <v>3113</v>
      </c>
      <c r="H672" s="8" t="s">
        <v>3124</v>
      </c>
      <c r="I672" s="27" t="s">
        <v>3125</v>
      </c>
      <c r="J672" s="8" t="s">
        <v>291</v>
      </c>
      <c r="K672" s="8" t="s">
        <v>299</v>
      </c>
      <c r="L672" s="8"/>
      <c r="M672" s="8" t="str">
        <f aca="false">IF(K672="FUERA","Fuera del marco",IF(K672="N/A","Sin marco",IFERROR(INDEX(Catalogo_TIMSS!$C$5:$C$105,MATCH(K672,Catalogo_TIMSS!$A$5:$A$105,0)),"Pendiente de clasificar")))</f>
        <v>Mecánica y termodinámica</v>
      </c>
      <c r="N672" s="8" t="str">
        <f aca="false">IF(K672="FUERA","Fuera del marco",IF(K672="N/A","Sin marco",IFERROR(INDEX(Catalogo_TIMSS!$F$5:$F$105,MATCH(K672,Catalogo_TIMSS!$A$5:$A$105,0)),"Pendiente de clasificar")))</f>
        <v>Leyes de conservación</v>
      </c>
      <c r="O672" s="8" t="str">
        <f aca="false">IF(L672="","",IFERROR(INDEX(Catalogo_TIMSS!$C$5:$C$105,MATCH(L672,Catalogo_TIMSS!$A$5:$A$105,0)),"?"))</f>
        <v/>
      </c>
      <c r="P672" s="8" t="s">
        <v>418</v>
      </c>
      <c r="Q672" s="27" t="s">
        <v>3126</v>
      </c>
      <c r="R672" s="27" t="s">
        <v>3127</v>
      </c>
      <c r="S672" s="28" t="n">
        <f aca="false">IFERROR(ISNUMBER(SEARCH("Conocer",$R672))/(ISNUMBER(SEARCH("Conocer",$R672))+ISNUMBER(SEARCH("Aplicar",$R672))+ISNUMBER(SEARCH("Razonar",$R672))),0)</f>
        <v>0</v>
      </c>
      <c r="T672" s="28" t="n">
        <f aca="false">IFERROR(ISNUMBER(SEARCH("Aplicar",$R672))/(ISNUMBER(SEARCH("Conocer",$R672))+ISNUMBER(SEARCH("Aplicar",$R672))+ISNUMBER(SEARCH("Razonar",$R672))),0)</f>
        <v>0.5</v>
      </c>
      <c r="U672" s="28" t="n">
        <f aca="false">IFERROR(ISNUMBER(SEARCH("Razonar",$R672))/(ISNUMBER(SEARCH("Conocer",$R672))+ISNUMBER(SEARCH("Aplicar",$R672))+ISNUMBER(SEARCH("Razonar",$R672))),0)</f>
        <v>0.5</v>
      </c>
      <c r="V672" s="8" t="s">
        <v>54</v>
      </c>
      <c r="W672" s="8" t="s">
        <v>69</v>
      </c>
    </row>
    <row r="673" customFormat="false" ht="15" hidden="false" customHeight="false" outlineLevel="0" collapsed="false">
      <c r="A673" s="8" t="s">
        <v>3128</v>
      </c>
      <c r="B673" s="8" t="n">
        <v>10</v>
      </c>
      <c r="C673" s="8" t="s">
        <v>91</v>
      </c>
      <c r="D673" s="8" t="s">
        <v>2909</v>
      </c>
      <c r="E673" s="8" t="s">
        <v>2910</v>
      </c>
      <c r="F673" s="8" t="n">
        <v>49</v>
      </c>
      <c r="G673" s="8" t="s">
        <v>3113</v>
      </c>
      <c r="H673" s="8" t="s">
        <v>3129</v>
      </c>
      <c r="I673" s="27" t="s">
        <v>3130</v>
      </c>
      <c r="J673" s="8" t="s">
        <v>291</v>
      </c>
      <c r="K673" s="8" t="s">
        <v>299</v>
      </c>
      <c r="L673" s="8"/>
      <c r="M673" s="8" t="str">
        <f aca="false">IF(K673="FUERA","Fuera del marco",IF(K673="N/A","Sin marco",IFERROR(INDEX(Catalogo_TIMSS!$C$5:$C$105,MATCH(K673,Catalogo_TIMSS!$A$5:$A$105,0)),"Pendiente de clasificar")))</f>
        <v>Mecánica y termodinámica</v>
      </c>
      <c r="N673" s="8" t="str">
        <f aca="false">IF(K673="FUERA","Fuera del marco",IF(K673="N/A","Sin marco",IFERROR(INDEX(Catalogo_TIMSS!$F$5:$F$105,MATCH(K673,Catalogo_TIMSS!$A$5:$A$105,0)),"Pendiente de clasificar")))</f>
        <v>Leyes de conservación</v>
      </c>
      <c r="O673" s="8" t="str">
        <f aca="false">IF(L673="","",IFERROR(INDEX(Catalogo_TIMSS!$C$5:$C$105,MATCH(L673,Catalogo_TIMSS!$A$5:$A$105,0)),"?"))</f>
        <v/>
      </c>
      <c r="P673" s="8" t="s">
        <v>460</v>
      </c>
      <c r="Q673" s="27" t="s">
        <v>3129</v>
      </c>
      <c r="R673" s="27" t="s">
        <v>3131</v>
      </c>
      <c r="S673" s="28" t="n">
        <f aca="false">IFERROR(ISNUMBER(SEARCH("Conocer",$R673))/(ISNUMBER(SEARCH("Conocer",$R673))+ISNUMBER(SEARCH("Aplicar",$R673))+ISNUMBER(SEARCH("Razonar",$R673))),0)</f>
        <v>0.333333333333333</v>
      </c>
      <c r="T673" s="28" t="n">
        <f aca="false">IFERROR(ISNUMBER(SEARCH("Aplicar",$R673))/(ISNUMBER(SEARCH("Conocer",$R673))+ISNUMBER(SEARCH("Aplicar",$R673))+ISNUMBER(SEARCH("Razonar",$R673))),0)</f>
        <v>0.333333333333333</v>
      </c>
      <c r="U673" s="28" t="n">
        <f aca="false">IFERROR(ISNUMBER(SEARCH("Razonar",$R673))/(ISNUMBER(SEARCH("Conocer",$R673))+ISNUMBER(SEARCH("Aplicar",$R673))+ISNUMBER(SEARCH("Razonar",$R673))),0)</f>
        <v>0.333333333333333</v>
      </c>
      <c r="V673" s="8" t="s">
        <v>54</v>
      </c>
      <c r="W673" s="8" t="s">
        <v>69</v>
      </c>
    </row>
    <row r="674" customFormat="false" ht="15" hidden="false" customHeight="false" outlineLevel="0" collapsed="false">
      <c r="A674" s="8" t="s">
        <v>3132</v>
      </c>
      <c r="B674" s="8" t="n">
        <v>10</v>
      </c>
      <c r="C674" s="8" t="s">
        <v>91</v>
      </c>
      <c r="D674" s="8" t="s">
        <v>2909</v>
      </c>
      <c r="E674" s="8" t="s">
        <v>2910</v>
      </c>
      <c r="F674" s="8" t="n">
        <v>50</v>
      </c>
      <c r="G674" s="8" t="s">
        <v>3113</v>
      </c>
      <c r="H674" s="8" t="s">
        <v>301</v>
      </c>
      <c r="I674" s="27" t="s">
        <v>3133</v>
      </c>
      <c r="J674" s="8" t="s">
        <v>291</v>
      </c>
      <c r="K674" s="8" t="s">
        <v>299</v>
      </c>
      <c r="L674" s="8"/>
      <c r="M674" s="8" t="str">
        <f aca="false">IF(K674="FUERA","Fuera del marco",IF(K674="N/A","Sin marco",IFERROR(INDEX(Catalogo_TIMSS!$C$5:$C$105,MATCH(K674,Catalogo_TIMSS!$A$5:$A$105,0)),"Pendiente de clasificar")))</f>
        <v>Mecánica y termodinámica</v>
      </c>
      <c r="N674" s="8" t="str">
        <f aca="false">IF(K674="FUERA","Fuera del marco",IF(K674="N/A","Sin marco",IFERROR(INDEX(Catalogo_TIMSS!$F$5:$F$105,MATCH(K674,Catalogo_TIMSS!$A$5:$A$105,0)),"Pendiente de clasificar")))</f>
        <v>Leyes de conservación</v>
      </c>
      <c r="O674" s="8" t="str">
        <f aca="false">IF(L674="","",IFERROR(INDEX(Catalogo_TIMSS!$C$5:$C$105,MATCH(L674,Catalogo_TIMSS!$A$5:$A$105,0)),"?"))</f>
        <v/>
      </c>
      <c r="P674" s="8" t="s">
        <v>418</v>
      </c>
      <c r="Q674" s="27" t="s">
        <v>3134</v>
      </c>
      <c r="R674" s="27" t="s">
        <v>3135</v>
      </c>
      <c r="S674" s="28" t="n">
        <f aca="false">IFERROR(ISNUMBER(SEARCH("Conocer",$R674))/(ISNUMBER(SEARCH("Conocer",$R674))+ISNUMBER(SEARCH("Aplicar",$R674))+ISNUMBER(SEARCH("Razonar",$R674))),0)</f>
        <v>0</v>
      </c>
      <c r="T674" s="28" t="n">
        <f aca="false">IFERROR(ISNUMBER(SEARCH("Aplicar",$R674))/(ISNUMBER(SEARCH("Conocer",$R674))+ISNUMBER(SEARCH("Aplicar",$R674))+ISNUMBER(SEARCH("Razonar",$R674))),0)</f>
        <v>0.5</v>
      </c>
      <c r="U674" s="28" t="n">
        <f aca="false">IFERROR(ISNUMBER(SEARCH("Razonar",$R674))/(ISNUMBER(SEARCH("Conocer",$R674))+ISNUMBER(SEARCH("Aplicar",$R674))+ISNUMBER(SEARCH("Razonar",$R674))),0)</f>
        <v>0.5</v>
      </c>
      <c r="V674" s="8" t="s">
        <v>54</v>
      </c>
      <c r="W674" s="8" t="s">
        <v>69</v>
      </c>
    </row>
    <row r="675" customFormat="false" ht="15" hidden="false" customHeight="false" outlineLevel="0" collapsed="false">
      <c r="A675" s="8" t="s">
        <v>3136</v>
      </c>
      <c r="B675" s="8" t="n">
        <v>10</v>
      </c>
      <c r="C675" s="8" t="s">
        <v>91</v>
      </c>
      <c r="D675" s="8" t="s">
        <v>2909</v>
      </c>
      <c r="E675" s="8" t="s">
        <v>2910</v>
      </c>
      <c r="F675" s="8" t="n">
        <v>51</v>
      </c>
      <c r="G675" s="8" t="s">
        <v>3113</v>
      </c>
      <c r="H675" s="8" t="s">
        <v>301</v>
      </c>
      <c r="I675" s="27" t="s">
        <v>3137</v>
      </c>
      <c r="J675" s="8" t="s">
        <v>291</v>
      </c>
      <c r="K675" s="8" t="s">
        <v>299</v>
      </c>
      <c r="L675" s="8"/>
      <c r="M675" s="8" t="str">
        <f aca="false">IF(K675="FUERA","Fuera del marco",IF(K675="N/A","Sin marco",IFERROR(INDEX(Catalogo_TIMSS!$C$5:$C$105,MATCH(K675,Catalogo_TIMSS!$A$5:$A$105,0)),"Pendiente de clasificar")))</f>
        <v>Mecánica y termodinámica</v>
      </c>
      <c r="N675" s="8" t="str">
        <f aca="false">IF(K675="FUERA","Fuera del marco",IF(K675="N/A","Sin marco",IFERROR(INDEX(Catalogo_TIMSS!$F$5:$F$105,MATCH(K675,Catalogo_TIMSS!$A$5:$A$105,0)),"Pendiente de clasificar")))</f>
        <v>Leyes de conservación</v>
      </c>
      <c r="O675" s="8" t="str">
        <f aca="false">IF(L675="","",IFERROR(INDEX(Catalogo_TIMSS!$C$5:$C$105,MATCH(L675,Catalogo_TIMSS!$A$5:$A$105,0)),"?"))</f>
        <v/>
      </c>
      <c r="P675" s="8" t="s">
        <v>418</v>
      </c>
      <c r="Q675" s="27" t="s">
        <v>3138</v>
      </c>
      <c r="R675" s="27" t="s">
        <v>3139</v>
      </c>
      <c r="S675" s="28" t="n">
        <f aca="false">IFERROR(ISNUMBER(SEARCH("Conocer",$R675))/(ISNUMBER(SEARCH("Conocer",$R675))+ISNUMBER(SEARCH("Aplicar",$R675))+ISNUMBER(SEARCH("Razonar",$R675))),0)</f>
        <v>0</v>
      </c>
      <c r="T675" s="28" t="n">
        <f aca="false">IFERROR(ISNUMBER(SEARCH("Aplicar",$R675))/(ISNUMBER(SEARCH("Conocer",$R675))+ISNUMBER(SEARCH("Aplicar",$R675))+ISNUMBER(SEARCH("Razonar",$R675))),0)</f>
        <v>0.5</v>
      </c>
      <c r="U675" s="28" t="n">
        <f aca="false">IFERROR(ISNUMBER(SEARCH("Razonar",$R675))/(ISNUMBER(SEARCH("Conocer",$R675))+ISNUMBER(SEARCH("Aplicar",$R675))+ISNUMBER(SEARCH("Razonar",$R675))),0)</f>
        <v>0.5</v>
      </c>
      <c r="V675" s="8" t="s">
        <v>54</v>
      </c>
      <c r="W675" s="8" t="s">
        <v>69</v>
      </c>
    </row>
    <row r="676" customFormat="false" ht="15" hidden="false" customHeight="false" outlineLevel="0" collapsed="false">
      <c r="A676" s="8" t="s">
        <v>3140</v>
      </c>
      <c r="B676" s="8" t="n">
        <v>10</v>
      </c>
      <c r="C676" s="8" t="s">
        <v>91</v>
      </c>
      <c r="D676" s="8" t="s">
        <v>2909</v>
      </c>
      <c r="E676" s="8" t="s">
        <v>2910</v>
      </c>
      <c r="F676" s="8" t="n">
        <v>52</v>
      </c>
      <c r="G676" s="8" t="s">
        <v>3113</v>
      </c>
      <c r="H676" s="8" t="s">
        <v>3141</v>
      </c>
      <c r="I676" s="27" t="s">
        <v>3142</v>
      </c>
      <c r="J676" s="8" t="s">
        <v>291</v>
      </c>
      <c r="K676" s="8" t="s">
        <v>299</v>
      </c>
      <c r="L676" s="8"/>
      <c r="M676" s="8" t="str">
        <f aca="false">IF(K676="FUERA","Fuera del marco",IF(K676="N/A","Sin marco",IFERROR(INDEX(Catalogo_TIMSS!$C$5:$C$105,MATCH(K676,Catalogo_TIMSS!$A$5:$A$105,0)),"Pendiente de clasificar")))</f>
        <v>Mecánica y termodinámica</v>
      </c>
      <c r="N676" s="8" t="str">
        <f aca="false">IF(K676="FUERA","Fuera del marco",IF(K676="N/A","Sin marco",IFERROR(INDEX(Catalogo_TIMSS!$F$5:$F$105,MATCH(K676,Catalogo_TIMSS!$A$5:$A$105,0)),"Pendiente de clasificar")))</f>
        <v>Leyes de conservación</v>
      </c>
      <c r="O676" s="8" t="str">
        <f aca="false">IF(L676="","",IFERROR(INDEX(Catalogo_TIMSS!$C$5:$C$105,MATCH(L676,Catalogo_TIMSS!$A$5:$A$105,0)),"?"))</f>
        <v/>
      </c>
      <c r="P676" s="8" t="s">
        <v>460</v>
      </c>
      <c r="Q676" s="27" t="s">
        <v>3143</v>
      </c>
      <c r="R676" s="27" t="s">
        <v>3144</v>
      </c>
      <c r="S676" s="28" t="n">
        <f aca="false">IFERROR(ISNUMBER(SEARCH("Conocer",$R676))/(ISNUMBER(SEARCH("Conocer",$R676))+ISNUMBER(SEARCH("Aplicar",$R676))+ISNUMBER(SEARCH("Razonar",$R676))),0)</f>
        <v>0</v>
      </c>
      <c r="T676" s="28" t="n">
        <f aca="false">IFERROR(ISNUMBER(SEARCH("Aplicar",$R676))/(ISNUMBER(SEARCH("Conocer",$R676))+ISNUMBER(SEARCH("Aplicar",$R676))+ISNUMBER(SEARCH("Razonar",$R676))),0)</f>
        <v>0.5</v>
      </c>
      <c r="U676" s="28" t="n">
        <f aca="false">IFERROR(ISNUMBER(SEARCH("Razonar",$R676))/(ISNUMBER(SEARCH("Conocer",$R676))+ISNUMBER(SEARCH("Aplicar",$R676))+ISNUMBER(SEARCH("Razonar",$R676))),0)</f>
        <v>0.5</v>
      </c>
      <c r="V676" s="8" t="s">
        <v>54</v>
      </c>
      <c r="W676" s="8" t="s">
        <v>69</v>
      </c>
    </row>
    <row r="677" customFormat="false" ht="15" hidden="false" customHeight="false" outlineLevel="0" collapsed="false">
      <c r="A677" s="8" t="s">
        <v>3145</v>
      </c>
      <c r="B677" s="8" t="n">
        <v>10</v>
      </c>
      <c r="C677" s="8" t="s">
        <v>91</v>
      </c>
      <c r="D677" s="8" t="s">
        <v>2909</v>
      </c>
      <c r="E677" s="8" t="s">
        <v>2910</v>
      </c>
      <c r="F677" s="8" t="n">
        <v>53</v>
      </c>
      <c r="G677" s="8" t="s">
        <v>3113</v>
      </c>
      <c r="H677" s="8" t="s">
        <v>3141</v>
      </c>
      <c r="I677" s="27" t="s">
        <v>3146</v>
      </c>
      <c r="J677" s="8" t="s">
        <v>291</v>
      </c>
      <c r="K677" s="8" t="s">
        <v>299</v>
      </c>
      <c r="L677" s="8"/>
      <c r="M677" s="8" t="str">
        <f aca="false">IF(K677="FUERA","Fuera del marco",IF(K677="N/A","Sin marco",IFERROR(INDEX(Catalogo_TIMSS!$C$5:$C$105,MATCH(K677,Catalogo_TIMSS!$A$5:$A$105,0)),"Pendiente de clasificar")))</f>
        <v>Mecánica y termodinámica</v>
      </c>
      <c r="N677" s="8" t="str">
        <f aca="false">IF(K677="FUERA","Fuera del marco",IF(K677="N/A","Sin marco",IFERROR(INDEX(Catalogo_TIMSS!$F$5:$F$105,MATCH(K677,Catalogo_TIMSS!$A$5:$A$105,0)),"Pendiente de clasificar")))</f>
        <v>Leyes de conservación</v>
      </c>
      <c r="O677" s="8" t="str">
        <f aca="false">IF(L677="","",IFERROR(INDEX(Catalogo_TIMSS!$C$5:$C$105,MATCH(L677,Catalogo_TIMSS!$A$5:$A$105,0)),"?"))</f>
        <v/>
      </c>
      <c r="P677" s="8" t="s">
        <v>460</v>
      </c>
      <c r="Q677" s="27" t="s">
        <v>3147</v>
      </c>
      <c r="R677" s="27" t="s">
        <v>3148</v>
      </c>
      <c r="S677" s="28" t="n">
        <f aca="false">IFERROR(ISNUMBER(SEARCH("Conocer",$R677))/(ISNUMBER(SEARCH("Conocer",$R677))+ISNUMBER(SEARCH("Aplicar",$R677))+ISNUMBER(SEARCH("Razonar",$R677))),0)</f>
        <v>0.333333333333333</v>
      </c>
      <c r="T677" s="28" t="n">
        <f aca="false">IFERROR(ISNUMBER(SEARCH("Aplicar",$R677))/(ISNUMBER(SEARCH("Conocer",$R677))+ISNUMBER(SEARCH("Aplicar",$R677))+ISNUMBER(SEARCH("Razonar",$R677))),0)</f>
        <v>0.333333333333333</v>
      </c>
      <c r="U677" s="28" t="n">
        <f aca="false">IFERROR(ISNUMBER(SEARCH("Razonar",$R677))/(ISNUMBER(SEARCH("Conocer",$R677))+ISNUMBER(SEARCH("Aplicar",$R677))+ISNUMBER(SEARCH("Razonar",$R677))),0)</f>
        <v>0.333333333333333</v>
      </c>
      <c r="V677" s="8" t="s">
        <v>54</v>
      </c>
      <c r="W677" s="8" t="s">
        <v>69</v>
      </c>
    </row>
    <row r="678" customFormat="false" ht="15" hidden="false" customHeight="false" outlineLevel="0" collapsed="false">
      <c r="A678" s="8" t="s">
        <v>3149</v>
      </c>
      <c r="B678" s="8" t="n">
        <v>10</v>
      </c>
      <c r="C678" s="8" t="s">
        <v>91</v>
      </c>
      <c r="D678" s="8" t="s">
        <v>2909</v>
      </c>
      <c r="E678" s="8" t="s">
        <v>2910</v>
      </c>
      <c r="F678" s="8" t="n">
        <v>54</v>
      </c>
      <c r="G678" s="8" t="s">
        <v>3113</v>
      </c>
      <c r="H678" s="8" t="s">
        <v>3150</v>
      </c>
      <c r="I678" s="27" t="s">
        <v>3151</v>
      </c>
      <c r="J678" s="8" t="s">
        <v>291</v>
      </c>
      <c r="K678" s="8" t="s">
        <v>299</v>
      </c>
      <c r="L678" s="8" t="s">
        <v>293</v>
      </c>
      <c r="M678" s="8" t="str">
        <f aca="false">IF(K678="FUERA","Fuera del marco",IF(K678="N/A","Sin marco",IFERROR(INDEX(Catalogo_TIMSS!$C$5:$C$105,MATCH(K678,Catalogo_TIMSS!$A$5:$A$105,0)),"Pendiente de clasificar")))</f>
        <v>Mecánica y termodinámica</v>
      </c>
      <c r="N678" s="8" t="str">
        <f aca="false">IF(K678="FUERA","Fuera del marco",IF(K678="N/A","Sin marco",IFERROR(INDEX(Catalogo_TIMSS!$F$5:$F$105,MATCH(K678,Catalogo_TIMSS!$A$5:$A$105,0)),"Pendiente de clasificar")))</f>
        <v>Leyes de conservación</v>
      </c>
      <c r="O678" s="8" t="str">
        <f aca="false">IF(L678="","",IFERROR(INDEX(Catalogo_TIMSS!$C$5:$C$105,MATCH(L678,Catalogo_TIMSS!$A$5:$A$105,0)),"?"))</f>
        <v>Mecánica y termodinámica</v>
      </c>
      <c r="P678" s="8" t="s">
        <v>460</v>
      </c>
      <c r="Q678" s="27" t="s">
        <v>3152</v>
      </c>
      <c r="R678" s="27" t="s">
        <v>3153</v>
      </c>
      <c r="S678" s="28" t="n">
        <f aca="false">IFERROR(ISNUMBER(SEARCH("Conocer",$R678))/(ISNUMBER(SEARCH("Conocer",$R678))+ISNUMBER(SEARCH("Aplicar",$R678))+ISNUMBER(SEARCH("Razonar",$R678))),0)</f>
        <v>0</v>
      </c>
      <c r="T678" s="28" t="n">
        <f aca="false">IFERROR(ISNUMBER(SEARCH("Aplicar",$R678))/(ISNUMBER(SEARCH("Conocer",$R678))+ISNUMBER(SEARCH("Aplicar",$R678))+ISNUMBER(SEARCH("Razonar",$R678))),0)</f>
        <v>0.5</v>
      </c>
      <c r="U678" s="28" t="n">
        <f aca="false">IFERROR(ISNUMBER(SEARCH("Razonar",$R678))/(ISNUMBER(SEARCH("Conocer",$R678))+ISNUMBER(SEARCH("Aplicar",$R678))+ISNUMBER(SEARCH("Razonar",$R678))),0)</f>
        <v>0.5</v>
      </c>
      <c r="V678" s="8" t="s">
        <v>54</v>
      </c>
      <c r="W678" s="8" t="s">
        <v>69</v>
      </c>
    </row>
    <row r="679" customFormat="false" ht="15" hidden="false" customHeight="false" outlineLevel="0" collapsed="false">
      <c r="A679" s="8" t="s">
        <v>3154</v>
      </c>
      <c r="B679" s="8" t="n">
        <v>10</v>
      </c>
      <c r="C679" s="8" t="s">
        <v>91</v>
      </c>
      <c r="D679" s="8" t="s">
        <v>2909</v>
      </c>
      <c r="E679" s="8" t="s">
        <v>2910</v>
      </c>
      <c r="F679" s="8" t="n">
        <v>55</v>
      </c>
      <c r="G679" s="8" t="s">
        <v>3155</v>
      </c>
      <c r="H679" s="8" t="s">
        <v>3156</v>
      </c>
      <c r="I679" s="27" t="s">
        <v>3157</v>
      </c>
      <c r="J679" s="8" t="s">
        <v>291</v>
      </c>
      <c r="K679" s="8" t="s">
        <v>302</v>
      </c>
      <c r="L679" s="8"/>
      <c r="M679" s="8" t="str">
        <f aca="false">IF(K679="FUERA","Fuera del marco",IF(K679="N/A","Sin marco",IFERROR(INDEX(Catalogo_TIMSS!$C$5:$C$105,MATCH(K679,Catalogo_TIMSS!$A$5:$A$105,0)),"Pendiente de clasificar")))</f>
        <v>Mecánica y termodinámica</v>
      </c>
      <c r="N679" s="8" t="str">
        <f aca="false">IF(K679="FUERA","Fuera del marco",IF(K679="N/A","Sin marco",IFERROR(INDEX(Catalogo_TIMSS!$F$5:$F$105,MATCH(K679,Catalogo_TIMSS!$A$5:$A$105,0)),"Pendiente de clasificar")))</f>
        <v>Leyes de conservación</v>
      </c>
      <c r="O679" s="8" t="str">
        <f aca="false">IF(L679="","",IFERROR(INDEX(Catalogo_TIMSS!$C$5:$C$105,MATCH(L679,Catalogo_TIMSS!$A$5:$A$105,0)),"?"))</f>
        <v/>
      </c>
      <c r="P679" s="8" t="s">
        <v>460</v>
      </c>
      <c r="Q679" s="27" t="s">
        <v>3158</v>
      </c>
      <c r="R679" s="27" t="s">
        <v>3159</v>
      </c>
      <c r="S679" s="28" t="n">
        <f aca="false">IFERROR(ISNUMBER(SEARCH("Conocer",$R679))/(ISNUMBER(SEARCH("Conocer",$R679))+ISNUMBER(SEARCH("Aplicar",$R679))+ISNUMBER(SEARCH("Razonar",$R679))),0)</f>
        <v>0</v>
      </c>
      <c r="T679" s="28" t="n">
        <f aca="false">IFERROR(ISNUMBER(SEARCH("Aplicar",$R679))/(ISNUMBER(SEARCH("Conocer",$R679))+ISNUMBER(SEARCH("Aplicar",$R679))+ISNUMBER(SEARCH("Razonar",$R679))),0)</f>
        <v>0.5</v>
      </c>
      <c r="U679" s="28" t="n">
        <f aca="false">IFERROR(ISNUMBER(SEARCH("Razonar",$R679))/(ISNUMBER(SEARCH("Conocer",$R679))+ISNUMBER(SEARCH("Aplicar",$R679))+ISNUMBER(SEARCH("Razonar",$R679))),0)</f>
        <v>0.5</v>
      </c>
      <c r="V679" s="8" t="s">
        <v>54</v>
      </c>
      <c r="W679" s="8" t="s">
        <v>69</v>
      </c>
    </row>
    <row r="680" customFormat="false" ht="15" hidden="false" customHeight="false" outlineLevel="0" collapsed="false">
      <c r="A680" s="8" t="s">
        <v>3160</v>
      </c>
      <c r="B680" s="8" t="n">
        <v>10</v>
      </c>
      <c r="C680" s="8" t="s">
        <v>91</v>
      </c>
      <c r="D680" s="8" t="s">
        <v>2909</v>
      </c>
      <c r="E680" s="8" t="s">
        <v>2910</v>
      </c>
      <c r="F680" s="8" t="n">
        <v>56</v>
      </c>
      <c r="G680" s="8" t="s">
        <v>3155</v>
      </c>
      <c r="H680" s="8" t="s">
        <v>3161</v>
      </c>
      <c r="I680" s="27" t="s">
        <v>3162</v>
      </c>
      <c r="J680" s="8" t="s">
        <v>291</v>
      </c>
      <c r="K680" s="8" t="s">
        <v>302</v>
      </c>
      <c r="L680" s="8"/>
      <c r="M680" s="8" t="str">
        <f aca="false">IF(K680="FUERA","Fuera del marco",IF(K680="N/A","Sin marco",IFERROR(INDEX(Catalogo_TIMSS!$C$5:$C$105,MATCH(K680,Catalogo_TIMSS!$A$5:$A$105,0)),"Pendiente de clasificar")))</f>
        <v>Mecánica y termodinámica</v>
      </c>
      <c r="N680" s="8" t="str">
        <f aca="false">IF(K680="FUERA","Fuera del marco",IF(K680="N/A","Sin marco",IFERROR(INDEX(Catalogo_TIMSS!$F$5:$F$105,MATCH(K680,Catalogo_TIMSS!$A$5:$A$105,0)),"Pendiente de clasificar")))</f>
        <v>Leyes de conservación</v>
      </c>
      <c r="O680" s="8" t="str">
        <f aca="false">IF(L680="","",IFERROR(INDEX(Catalogo_TIMSS!$C$5:$C$105,MATCH(L680,Catalogo_TIMSS!$A$5:$A$105,0)),"?"))</f>
        <v/>
      </c>
      <c r="P680" s="8" t="s">
        <v>418</v>
      </c>
      <c r="Q680" s="27" t="s">
        <v>3163</v>
      </c>
      <c r="R680" s="27" t="s">
        <v>3164</v>
      </c>
      <c r="S680" s="28" t="n">
        <f aca="false">IFERROR(ISNUMBER(SEARCH("Conocer",$R680))/(ISNUMBER(SEARCH("Conocer",$R680))+ISNUMBER(SEARCH("Aplicar",$R680))+ISNUMBER(SEARCH("Razonar",$R680))),0)</f>
        <v>0</v>
      </c>
      <c r="T680" s="28" t="n">
        <f aca="false">IFERROR(ISNUMBER(SEARCH("Aplicar",$R680))/(ISNUMBER(SEARCH("Conocer",$R680))+ISNUMBER(SEARCH("Aplicar",$R680))+ISNUMBER(SEARCH("Razonar",$R680))),0)</f>
        <v>0.5</v>
      </c>
      <c r="U680" s="28" t="n">
        <f aca="false">IFERROR(ISNUMBER(SEARCH("Razonar",$R680))/(ISNUMBER(SEARCH("Conocer",$R680))+ISNUMBER(SEARCH("Aplicar",$R680))+ISNUMBER(SEARCH("Razonar",$R680))),0)</f>
        <v>0.5</v>
      </c>
      <c r="V680" s="8" t="s">
        <v>54</v>
      </c>
      <c r="W680" s="8" t="s">
        <v>69</v>
      </c>
    </row>
    <row r="681" customFormat="false" ht="15" hidden="false" customHeight="false" outlineLevel="0" collapsed="false">
      <c r="A681" s="8" t="s">
        <v>3165</v>
      </c>
      <c r="B681" s="8" t="n">
        <v>10</v>
      </c>
      <c r="C681" s="8" t="s">
        <v>91</v>
      </c>
      <c r="D681" s="8" t="s">
        <v>2909</v>
      </c>
      <c r="E681" s="8" t="s">
        <v>2910</v>
      </c>
      <c r="F681" s="8" t="n">
        <v>57</v>
      </c>
      <c r="G681" s="8" t="s">
        <v>3155</v>
      </c>
      <c r="H681" s="8" t="s">
        <v>3166</v>
      </c>
      <c r="I681" s="27" t="s">
        <v>3167</v>
      </c>
      <c r="J681" s="8" t="s">
        <v>291</v>
      </c>
      <c r="K681" s="8" t="s">
        <v>302</v>
      </c>
      <c r="L681" s="8" t="s">
        <v>299</v>
      </c>
      <c r="M681" s="8" t="str">
        <f aca="false">IF(K681="FUERA","Fuera del marco",IF(K681="N/A","Sin marco",IFERROR(INDEX(Catalogo_TIMSS!$C$5:$C$105,MATCH(K681,Catalogo_TIMSS!$A$5:$A$105,0)),"Pendiente de clasificar")))</f>
        <v>Mecánica y termodinámica</v>
      </c>
      <c r="N681" s="8" t="str">
        <f aca="false">IF(K681="FUERA","Fuera del marco",IF(K681="N/A","Sin marco",IFERROR(INDEX(Catalogo_TIMSS!$F$5:$F$105,MATCH(K681,Catalogo_TIMSS!$A$5:$A$105,0)),"Pendiente de clasificar")))</f>
        <v>Leyes de conservación</v>
      </c>
      <c r="O681" s="8" t="str">
        <f aca="false">IF(L681="","",IFERROR(INDEX(Catalogo_TIMSS!$C$5:$C$105,MATCH(L681,Catalogo_TIMSS!$A$5:$A$105,0)),"?"))</f>
        <v>Mecánica y termodinámica</v>
      </c>
      <c r="P681" s="8" t="s">
        <v>418</v>
      </c>
      <c r="Q681" s="27" t="s">
        <v>3168</v>
      </c>
      <c r="R681" s="27" t="s">
        <v>3169</v>
      </c>
      <c r="S681" s="28" t="n">
        <f aca="false">IFERROR(ISNUMBER(SEARCH("Conocer",$R681))/(ISNUMBER(SEARCH("Conocer",$R681))+ISNUMBER(SEARCH("Aplicar",$R681))+ISNUMBER(SEARCH("Razonar",$R681))),0)</f>
        <v>0</v>
      </c>
      <c r="T681" s="28" t="n">
        <f aca="false">IFERROR(ISNUMBER(SEARCH("Aplicar",$R681))/(ISNUMBER(SEARCH("Conocer",$R681))+ISNUMBER(SEARCH("Aplicar",$R681))+ISNUMBER(SEARCH("Razonar",$R681))),0)</f>
        <v>0.5</v>
      </c>
      <c r="U681" s="28" t="n">
        <f aca="false">IFERROR(ISNUMBER(SEARCH("Razonar",$R681))/(ISNUMBER(SEARCH("Conocer",$R681))+ISNUMBER(SEARCH("Aplicar",$R681))+ISNUMBER(SEARCH("Razonar",$R681))),0)</f>
        <v>0.5</v>
      </c>
      <c r="V681" s="8" t="s">
        <v>54</v>
      </c>
      <c r="W681" s="8" t="s">
        <v>69</v>
      </c>
    </row>
    <row r="682" customFormat="false" ht="15" hidden="false" customHeight="false" outlineLevel="0" collapsed="false">
      <c r="A682" s="8" t="s">
        <v>3170</v>
      </c>
      <c r="B682" s="8" t="n">
        <v>10</v>
      </c>
      <c r="C682" s="8" t="s">
        <v>91</v>
      </c>
      <c r="D682" s="8" t="s">
        <v>2909</v>
      </c>
      <c r="E682" s="8" t="s">
        <v>2910</v>
      </c>
      <c r="F682" s="8" t="n">
        <v>58</v>
      </c>
      <c r="G682" s="8" t="s">
        <v>3155</v>
      </c>
      <c r="H682" s="8" t="s">
        <v>3166</v>
      </c>
      <c r="I682" s="27" t="s">
        <v>3171</v>
      </c>
      <c r="J682" s="8" t="s">
        <v>291</v>
      </c>
      <c r="K682" s="8" t="s">
        <v>302</v>
      </c>
      <c r="L682" s="8"/>
      <c r="M682" s="8" t="str">
        <f aca="false">IF(K682="FUERA","Fuera del marco",IF(K682="N/A","Sin marco",IFERROR(INDEX(Catalogo_TIMSS!$C$5:$C$105,MATCH(K682,Catalogo_TIMSS!$A$5:$A$105,0)),"Pendiente de clasificar")))</f>
        <v>Mecánica y termodinámica</v>
      </c>
      <c r="N682" s="8" t="str">
        <f aca="false">IF(K682="FUERA","Fuera del marco",IF(K682="N/A","Sin marco",IFERROR(INDEX(Catalogo_TIMSS!$F$5:$F$105,MATCH(K682,Catalogo_TIMSS!$A$5:$A$105,0)),"Pendiente de clasificar")))</f>
        <v>Leyes de conservación</v>
      </c>
      <c r="O682" s="8" t="str">
        <f aca="false">IF(L682="","",IFERROR(INDEX(Catalogo_TIMSS!$C$5:$C$105,MATCH(L682,Catalogo_TIMSS!$A$5:$A$105,0)),"?"))</f>
        <v/>
      </c>
      <c r="P682" s="8" t="s">
        <v>418</v>
      </c>
      <c r="Q682" s="27" t="s">
        <v>3172</v>
      </c>
      <c r="R682" s="27" t="s">
        <v>3173</v>
      </c>
      <c r="S682" s="28" t="n">
        <f aca="false">IFERROR(ISNUMBER(SEARCH("Conocer",$R682))/(ISNUMBER(SEARCH("Conocer",$R682))+ISNUMBER(SEARCH("Aplicar",$R682))+ISNUMBER(SEARCH("Razonar",$R682))),0)</f>
        <v>0</v>
      </c>
      <c r="T682" s="28" t="n">
        <f aca="false">IFERROR(ISNUMBER(SEARCH("Aplicar",$R682))/(ISNUMBER(SEARCH("Conocer",$R682))+ISNUMBER(SEARCH("Aplicar",$R682))+ISNUMBER(SEARCH("Razonar",$R682))),0)</f>
        <v>0.5</v>
      </c>
      <c r="U682" s="28" t="n">
        <f aca="false">IFERROR(ISNUMBER(SEARCH("Razonar",$R682))/(ISNUMBER(SEARCH("Conocer",$R682))+ISNUMBER(SEARCH("Aplicar",$R682))+ISNUMBER(SEARCH("Razonar",$R682))),0)</f>
        <v>0.5</v>
      </c>
      <c r="V682" s="8" t="s">
        <v>54</v>
      </c>
      <c r="W682" s="8" t="s">
        <v>69</v>
      </c>
    </row>
    <row r="683" customFormat="false" ht="15" hidden="false" customHeight="false" outlineLevel="0" collapsed="false">
      <c r="A683" s="8" t="s">
        <v>3174</v>
      </c>
      <c r="B683" s="8" t="n">
        <v>10</v>
      </c>
      <c r="C683" s="8" t="s">
        <v>91</v>
      </c>
      <c r="D683" s="8" t="s">
        <v>2909</v>
      </c>
      <c r="E683" s="8" t="s">
        <v>2910</v>
      </c>
      <c r="F683" s="8" t="n">
        <v>59</v>
      </c>
      <c r="G683" s="8" t="s">
        <v>3155</v>
      </c>
      <c r="H683" s="8" t="s">
        <v>3175</v>
      </c>
      <c r="I683" s="27" t="s">
        <v>3176</v>
      </c>
      <c r="J683" s="8" t="s">
        <v>291</v>
      </c>
      <c r="K683" s="8" t="s">
        <v>302</v>
      </c>
      <c r="L683" s="8"/>
      <c r="M683" s="8" t="str">
        <f aca="false">IF(K683="FUERA","Fuera del marco",IF(K683="N/A","Sin marco",IFERROR(INDEX(Catalogo_TIMSS!$C$5:$C$105,MATCH(K683,Catalogo_TIMSS!$A$5:$A$105,0)),"Pendiente de clasificar")))</f>
        <v>Mecánica y termodinámica</v>
      </c>
      <c r="N683" s="8" t="str">
        <f aca="false">IF(K683="FUERA","Fuera del marco",IF(K683="N/A","Sin marco",IFERROR(INDEX(Catalogo_TIMSS!$F$5:$F$105,MATCH(K683,Catalogo_TIMSS!$A$5:$A$105,0)),"Pendiente de clasificar")))</f>
        <v>Leyes de conservación</v>
      </c>
      <c r="O683" s="8" t="str">
        <f aca="false">IF(L683="","",IFERROR(INDEX(Catalogo_TIMSS!$C$5:$C$105,MATCH(L683,Catalogo_TIMSS!$A$5:$A$105,0)),"?"))</f>
        <v/>
      </c>
      <c r="P683" s="8" t="s">
        <v>460</v>
      </c>
      <c r="Q683" s="27" t="s">
        <v>3177</v>
      </c>
      <c r="R683" s="27" t="s">
        <v>3178</v>
      </c>
      <c r="S683" s="28" t="n">
        <f aca="false">IFERROR(ISNUMBER(SEARCH("Conocer",$R683))/(ISNUMBER(SEARCH("Conocer",$R683))+ISNUMBER(SEARCH("Aplicar",$R683))+ISNUMBER(SEARCH("Razonar",$R683))),0)</f>
        <v>0</v>
      </c>
      <c r="T683" s="28" t="n">
        <f aca="false">IFERROR(ISNUMBER(SEARCH("Aplicar",$R683))/(ISNUMBER(SEARCH("Conocer",$R683))+ISNUMBER(SEARCH("Aplicar",$R683))+ISNUMBER(SEARCH("Razonar",$R683))),0)</f>
        <v>0.5</v>
      </c>
      <c r="U683" s="28" t="n">
        <f aca="false">IFERROR(ISNUMBER(SEARCH("Razonar",$R683))/(ISNUMBER(SEARCH("Conocer",$R683))+ISNUMBER(SEARCH("Aplicar",$R683))+ISNUMBER(SEARCH("Razonar",$R683))),0)</f>
        <v>0.5</v>
      </c>
      <c r="V683" s="8" t="s">
        <v>54</v>
      </c>
      <c r="W683" s="8" t="s">
        <v>69</v>
      </c>
    </row>
    <row r="684" customFormat="false" ht="15" hidden="false" customHeight="false" outlineLevel="0" collapsed="false">
      <c r="A684" s="8" t="s">
        <v>3179</v>
      </c>
      <c r="B684" s="8" t="n">
        <v>10</v>
      </c>
      <c r="C684" s="8" t="s">
        <v>91</v>
      </c>
      <c r="D684" s="8" t="s">
        <v>2909</v>
      </c>
      <c r="E684" s="8" t="s">
        <v>2910</v>
      </c>
      <c r="F684" s="8" t="n">
        <v>60</v>
      </c>
      <c r="G684" s="8" t="s">
        <v>3180</v>
      </c>
      <c r="H684" s="8" t="s">
        <v>3181</v>
      </c>
      <c r="I684" s="27" t="s">
        <v>3182</v>
      </c>
      <c r="J684" s="8" t="s">
        <v>291</v>
      </c>
      <c r="K684" s="8" t="s">
        <v>417</v>
      </c>
      <c r="L684" s="8"/>
      <c r="M684" s="8" t="str">
        <f aca="false">IF(K684="FUERA","Fuera del marco",IF(K684="N/A","Sin marco",IFERROR(INDEX(Catalogo_TIMSS!$C$5:$C$105,MATCH(K684,Catalogo_TIMSS!$A$5:$A$105,0)),"Pendiente de clasificar")))</f>
        <v>Fuera del marco</v>
      </c>
      <c r="N684" s="8" t="str">
        <f aca="false">IF(K684="FUERA","Fuera del marco",IF(K684="N/A","Sin marco",IFERROR(INDEX(Catalogo_TIMSS!$F$5:$F$105,MATCH(K684,Catalogo_TIMSS!$A$5:$A$105,0)),"Pendiente de clasificar")))</f>
        <v>Fuera del marco</v>
      </c>
      <c r="O684" s="8" t="str">
        <f aca="false">IF(L684="","",IFERROR(INDEX(Catalogo_TIMSS!$C$5:$C$105,MATCH(L684,Catalogo_TIMSS!$A$5:$A$105,0)),"?"))</f>
        <v/>
      </c>
      <c r="P684" s="8" t="s">
        <v>460</v>
      </c>
      <c r="Q684" s="27" t="s">
        <v>3183</v>
      </c>
      <c r="R684" s="27" t="s">
        <v>3184</v>
      </c>
      <c r="S684" s="28" t="n">
        <f aca="false">IFERROR(ISNUMBER(SEARCH("Conocer",$R684))/(ISNUMBER(SEARCH("Conocer",$R684))+ISNUMBER(SEARCH("Aplicar",$R684))+ISNUMBER(SEARCH("Razonar",$R684))),0)</f>
        <v>0.333333333333333</v>
      </c>
      <c r="T684" s="28" t="n">
        <f aca="false">IFERROR(ISNUMBER(SEARCH("Aplicar",$R684))/(ISNUMBER(SEARCH("Conocer",$R684))+ISNUMBER(SEARCH("Aplicar",$R684))+ISNUMBER(SEARCH("Razonar",$R684))),0)</f>
        <v>0.333333333333333</v>
      </c>
      <c r="U684" s="28" t="n">
        <f aca="false">IFERROR(ISNUMBER(SEARCH("Razonar",$R684))/(ISNUMBER(SEARCH("Conocer",$R684))+ISNUMBER(SEARCH("Aplicar",$R684))+ISNUMBER(SEARCH("Razonar",$R684))),0)</f>
        <v>0.333333333333333</v>
      </c>
      <c r="V684" s="8" t="s">
        <v>54</v>
      </c>
      <c r="W684" s="8" t="s">
        <v>69</v>
      </c>
    </row>
    <row r="685" customFormat="false" ht="15" hidden="false" customHeight="false" outlineLevel="0" collapsed="false">
      <c r="A685" s="8" t="s">
        <v>3185</v>
      </c>
      <c r="B685" s="8" t="n">
        <v>10</v>
      </c>
      <c r="C685" s="8" t="s">
        <v>91</v>
      </c>
      <c r="D685" s="8" t="s">
        <v>2909</v>
      </c>
      <c r="E685" s="8" t="s">
        <v>2910</v>
      </c>
      <c r="F685" s="8" t="n">
        <v>61</v>
      </c>
      <c r="G685" s="8" t="s">
        <v>3180</v>
      </c>
      <c r="H685" s="8" t="s">
        <v>3181</v>
      </c>
      <c r="I685" s="27" t="s">
        <v>3186</v>
      </c>
      <c r="J685" s="8" t="s">
        <v>291</v>
      </c>
      <c r="K685" s="8" t="s">
        <v>417</v>
      </c>
      <c r="L685" s="8"/>
      <c r="M685" s="8" t="str">
        <f aca="false">IF(K685="FUERA","Fuera del marco",IF(K685="N/A","Sin marco",IFERROR(INDEX(Catalogo_TIMSS!$C$5:$C$105,MATCH(K685,Catalogo_TIMSS!$A$5:$A$105,0)),"Pendiente de clasificar")))</f>
        <v>Fuera del marco</v>
      </c>
      <c r="N685" s="8" t="str">
        <f aca="false">IF(K685="FUERA","Fuera del marco",IF(K685="N/A","Sin marco",IFERROR(INDEX(Catalogo_TIMSS!$F$5:$F$105,MATCH(K685,Catalogo_TIMSS!$A$5:$A$105,0)),"Pendiente de clasificar")))</f>
        <v>Fuera del marco</v>
      </c>
      <c r="O685" s="8" t="str">
        <f aca="false">IF(L685="","",IFERROR(INDEX(Catalogo_TIMSS!$C$5:$C$105,MATCH(L685,Catalogo_TIMSS!$A$5:$A$105,0)),"?"))</f>
        <v/>
      </c>
      <c r="P685" s="8" t="s">
        <v>460</v>
      </c>
      <c r="Q685" s="27" t="s">
        <v>3187</v>
      </c>
      <c r="R685" s="27" t="s">
        <v>3188</v>
      </c>
      <c r="S685" s="28" t="n">
        <f aca="false">IFERROR(ISNUMBER(SEARCH("Conocer",$R685))/(ISNUMBER(SEARCH("Conocer",$R685))+ISNUMBER(SEARCH("Aplicar",$R685))+ISNUMBER(SEARCH("Razonar",$R685))),0)</f>
        <v>0</v>
      </c>
      <c r="T685" s="28" t="n">
        <f aca="false">IFERROR(ISNUMBER(SEARCH("Aplicar",$R685))/(ISNUMBER(SEARCH("Conocer",$R685))+ISNUMBER(SEARCH("Aplicar",$R685))+ISNUMBER(SEARCH("Razonar",$R685))),0)</f>
        <v>0.5</v>
      </c>
      <c r="U685" s="28" t="n">
        <f aca="false">IFERROR(ISNUMBER(SEARCH("Razonar",$R685))/(ISNUMBER(SEARCH("Conocer",$R685))+ISNUMBER(SEARCH("Aplicar",$R685))+ISNUMBER(SEARCH("Razonar",$R685))),0)</f>
        <v>0.5</v>
      </c>
      <c r="V685" s="8" t="s">
        <v>54</v>
      </c>
      <c r="W685" s="8" t="s">
        <v>69</v>
      </c>
    </row>
    <row r="686" customFormat="false" ht="15" hidden="false" customHeight="false" outlineLevel="0" collapsed="false">
      <c r="A686" s="8" t="s">
        <v>3189</v>
      </c>
      <c r="B686" s="8" t="n">
        <v>10</v>
      </c>
      <c r="C686" s="8" t="s">
        <v>91</v>
      </c>
      <c r="D686" s="8" t="s">
        <v>2909</v>
      </c>
      <c r="E686" s="8" t="s">
        <v>2910</v>
      </c>
      <c r="F686" s="8" t="n">
        <v>62</v>
      </c>
      <c r="G686" s="8" t="s">
        <v>3180</v>
      </c>
      <c r="H686" s="8" t="s">
        <v>3190</v>
      </c>
      <c r="I686" s="27" t="s">
        <v>3191</v>
      </c>
      <c r="J686" s="8" t="s">
        <v>291</v>
      </c>
      <c r="K686" s="8" t="s">
        <v>417</v>
      </c>
      <c r="L686" s="8"/>
      <c r="M686" s="8" t="str">
        <f aca="false">IF(K686="FUERA","Fuera del marco",IF(K686="N/A","Sin marco",IFERROR(INDEX(Catalogo_TIMSS!$C$5:$C$105,MATCH(K686,Catalogo_TIMSS!$A$5:$A$105,0)),"Pendiente de clasificar")))</f>
        <v>Fuera del marco</v>
      </c>
      <c r="N686" s="8" t="str">
        <f aca="false">IF(K686="FUERA","Fuera del marco",IF(K686="N/A","Sin marco",IFERROR(INDEX(Catalogo_TIMSS!$F$5:$F$105,MATCH(K686,Catalogo_TIMSS!$A$5:$A$105,0)),"Pendiente de clasificar")))</f>
        <v>Fuera del marco</v>
      </c>
      <c r="O686" s="8" t="str">
        <f aca="false">IF(L686="","",IFERROR(INDEX(Catalogo_TIMSS!$C$5:$C$105,MATCH(L686,Catalogo_TIMSS!$A$5:$A$105,0)),"?"))</f>
        <v/>
      </c>
      <c r="P686" s="8" t="s">
        <v>460</v>
      </c>
      <c r="Q686" s="27" t="s">
        <v>3192</v>
      </c>
      <c r="R686" s="27" t="s">
        <v>3193</v>
      </c>
      <c r="S686" s="28" t="n">
        <f aca="false">IFERROR(ISNUMBER(SEARCH("Conocer",$R686))/(ISNUMBER(SEARCH("Conocer",$R686))+ISNUMBER(SEARCH("Aplicar",$R686))+ISNUMBER(SEARCH("Razonar",$R686))),0)</f>
        <v>0</v>
      </c>
      <c r="T686" s="28" t="n">
        <f aca="false">IFERROR(ISNUMBER(SEARCH("Aplicar",$R686))/(ISNUMBER(SEARCH("Conocer",$R686))+ISNUMBER(SEARCH("Aplicar",$R686))+ISNUMBER(SEARCH("Razonar",$R686))),0)</f>
        <v>0.5</v>
      </c>
      <c r="U686" s="28" t="n">
        <f aca="false">IFERROR(ISNUMBER(SEARCH("Razonar",$R686))/(ISNUMBER(SEARCH("Conocer",$R686))+ISNUMBER(SEARCH("Aplicar",$R686))+ISNUMBER(SEARCH("Razonar",$R686))),0)</f>
        <v>0.5</v>
      </c>
      <c r="V686" s="8" t="s">
        <v>54</v>
      </c>
      <c r="W686" s="8" t="s">
        <v>69</v>
      </c>
    </row>
    <row r="687" customFormat="false" ht="15" hidden="false" customHeight="false" outlineLevel="0" collapsed="false">
      <c r="A687" s="8" t="s">
        <v>3194</v>
      </c>
      <c r="B687" s="8" t="n">
        <v>10</v>
      </c>
      <c r="C687" s="8" t="s">
        <v>91</v>
      </c>
      <c r="D687" s="8" t="s">
        <v>2909</v>
      </c>
      <c r="E687" s="8" t="s">
        <v>2910</v>
      </c>
      <c r="F687" s="8" t="n">
        <v>63</v>
      </c>
      <c r="G687" s="8" t="s">
        <v>3180</v>
      </c>
      <c r="H687" s="8" t="s">
        <v>3195</v>
      </c>
      <c r="I687" s="27" t="s">
        <v>3196</v>
      </c>
      <c r="J687" s="8" t="s">
        <v>291</v>
      </c>
      <c r="K687" s="8" t="s">
        <v>417</v>
      </c>
      <c r="L687" s="8"/>
      <c r="M687" s="8" t="str">
        <f aca="false">IF(K687="FUERA","Fuera del marco",IF(K687="N/A","Sin marco",IFERROR(INDEX(Catalogo_TIMSS!$C$5:$C$105,MATCH(K687,Catalogo_TIMSS!$A$5:$A$105,0)),"Pendiente de clasificar")))</f>
        <v>Fuera del marco</v>
      </c>
      <c r="N687" s="8" t="str">
        <f aca="false">IF(K687="FUERA","Fuera del marco",IF(K687="N/A","Sin marco",IFERROR(INDEX(Catalogo_TIMSS!$F$5:$F$105,MATCH(K687,Catalogo_TIMSS!$A$5:$A$105,0)),"Pendiente de clasificar")))</f>
        <v>Fuera del marco</v>
      </c>
      <c r="O687" s="8" t="str">
        <f aca="false">IF(L687="","",IFERROR(INDEX(Catalogo_TIMSS!$C$5:$C$105,MATCH(L687,Catalogo_TIMSS!$A$5:$A$105,0)),"?"))</f>
        <v/>
      </c>
      <c r="P687" s="8" t="s">
        <v>513</v>
      </c>
      <c r="Q687" s="27" t="s">
        <v>3197</v>
      </c>
      <c r="R687" s="27" t="s">
        <v>3198</v>
      </c>
      <c r="S687" s="28" t="n">
        <f aca="false">IFERROR(ISNUMBER(SEARCH("Conocer",$R687))/(ISNUMBER(SEARCH("Conocer",$R687))+ISNUMBER(SEARCH("Aplicar",$R687))+ISNUMBER(SEARCH("Razonar",$R687))),0)</f>
        <v>0</v>
      </c>
      <c r="T687" s="28" t="n">
        <f aca="false">IFERROR(ISNUMBER(SEARCH("Aplicar",$R687))/(ISNUMBER(SEARCH("Conocer",$R687))+ISNUMBER(SEARCH("Aplicar",$R687))+ISNUMBER(SEARCH("Razonar",$R687))),0)</f>
        <v>0.5</v>
      </c>
      <c r="U687" s="28" t="n">
        <f aca="false">IFERROR(ISNUMBER(SEARCH("Razonar",$R687))/(ISNUMBER(SEARCH("Conocer",$R687))+ISNUMBER(SEARCH("Aplicar",$R687))+ISNUMBER(SEARCH("Razonar",$R687))),0)</f>
        <v>0.5</v>
      </c>
      <c r="V687" s="8" t="s">
        <v>54</v>
      </c>
      <c r="W687" s="8" t="s">
        <v>69</v>
      </c>
    </row>
    <row r="688" customFormat="false" ht="15" hidden="false" customHeight="false" outlineLevel="0" collapsed="false">
      <c r="A688" s="8" t="s">
        <v>3199</v>
      </c>
      <c r="B688" s="8" t="n">
        <v>10</v>
      </c>
      <c r="C688" s="8" t="s">
        <v>91</v>
      </c>
      <c r="D688" s="8" t="s">
        <v>2909</v>
      </c>
      <c r="E688" s="8" t="s">
        <v>2910</v>
      </c>
      <c r="F688" s="8" t="n">
        <v>64</v>
      </c>
      <c r="G688" s="8" t="s">
        <v>3180</v>
      </c>
      <c r="H688" s="8" t="s">
        <v>3195</v>
      </c>
      <c r="I688" s="27" t="s">
        <v>3200</v>
      </c>
      <c r="J688" s="8" t="s">
        <v>291</v>
      </c>
      <c r="K688" s="8" t="s">
        <v>295</v>
      </c>
      <c r="L688" s="8"/>
      <c r="M688" s="8" t="str">
        <f aca="false">IF(K688="FUERA","Fuera del marco",IF(K688="N/A","Sin marco",IFERROR(INDEX(Catalogo_TIMSS!$C$5:$C$105,MATCH(K688,Catalogo_TIMSS!$A$5:$A$105,0)),"Pendiente de clasificar")))</f>
        <v>Mecánica y termodinámica</v>
      </c>
      <c r="N688" s="8" t="str">
        <f aca="false">IF(K688="FUERA","Fuera del marco",IF(K688="N/A","Sin marco",IFERROR(INDEX(Catalogo_TIMSS!$F$5:$F$105,MATCH(K688,Catalogo_TIMSS!$A$5:$A$105,0)),"Pendiente de clasificar")))</f>
        <v>Fuerzas y movimiento</v>
      </c>
      <c r="O688" s="8" t="str">
        <f aca="false">IF(L688="","",IFERROR(INDEX(Catalogo_TIMSS!$C$5:$C$105,MATCH(L688,Catalogo_TIMSS!$A$5:$A$105,0)),"?"))</f>
        <v/>
      </c>
      <c r="P688" s="8" t="s">
        <v>460</v>
      </c>
      <c r="Q688" s="27" t="s">
        <v>3201</v>
      </c>
      <c r="R688" s="27" t="s">
        <v>3202</v>
      </c>
      <c r="S688" s="28" t="n">
        <f aca="false">IFERROR(ISNUMBER(SEARCH("Conocer",$R688))/(ISNUMBER(SEARCH("Conocer",$R688))+ISNUMBER(SEARCH("Aplicar",$R688))+ISNUMBER(SEARCH("Razonar",$R688))),0)</f>
        <v>0</v>
      </c>
      <c r="T688" s="28" t="n">
        <f aca="false">IFERROR(ISNUMBER(SEARCH("Aplicar",$R688))/(ISNUMBER(SEARCH("Conocer",$R688))+ISNUMBER(SEARCH("Aplicar",$R688))+ISNUMBER(SEARCH("Razonar",$R688))),0)</f>
        <v>0.5</v>
      </c>
      <c r="U688" s="28" t="n">
        <f aca="false">IFERROR(ISNUMBER(SEARCH("Razonar",$R688))/(ISNUMBER(SEARCH("Conocer",$R688))+ISNUMBER(SEARCH("Aplicar",$R688))+ISNUMBER(SEARCH("Razonar",$R688))),0)</f>
        <v>0.5</v>
      </c>
      <c r="V688" s="8" t="s">
        <v>54</v>
      </c>
      <c r="W688" s="8" t="s">
        <v>69</v>
      </c>
    </row>
    <row r="689" customFormat="false" ht="15" hidden="false" customHeight="false" outlineLevel="0" collapsed="false">
      <c r="A689" s="8" t="s">
        <v>3203</v>
      </c>
      <c r="B689" s="8" t="n">
        <v>10</v>
      </c>
      <c r="C689" s="8" t="s">
        <v>91</v>
      </c>
      <c r="D689" s="8" t="s">
        <v>2909</v>
      </c>
      <c r="E689" s="8" t="s">
        <v>2910</v>
      </c>
      <c r="F689" s="8" t="n">
        <v>65</v>
      </c>
      <c r="G689" s="8" t="s">
        <v>3180</v>
      </c>
      <c r="H689" s="8" t="s">
        <v>3204</v>
      </c>
      <c r="I689" s="27" t="s">
        <v>3205</v>
      </c>
      <c r="J689" s="8" t="s">
        <v>291</v>
      </c>
      <c r="K689" s="8" t="s">
        <v>417</v>
      </c>
      <c r="L689" s="8"/>
      <c r="M689" s="8" t="str">
        <f aca="false">IF(K689="FUERA","Fuera del marco",IF(K689="N/A","Sin marco",IFERROR(INDEX(Catalogo_TIMSS!$C$5:$C$105,MATCH(K689,Catalogo_TIMSS!$A$5:$A$105,0)),"Pendiente de clasificar")))</f>
        <v>Fuera del marco</v>
      </c>
      <c r="N689" s="8" t="str">
        <f aca="false">IF(K689="FUERA","Fuera del marco",IF(K689="N/A","Sin marco",IFERROR(INDEX(Catalogo_TIMSS!$F$5:$F$105,MATCH(K689,Catalogo_TIMSS!$A$5:$A$105,0)),"Pendiente de clasificar")))</f>
        <v>Fuera del marco</v>
      </c>
      <c r="O689" s="8" t="str">
        <f aca="false">IF(L689="","",IFERROR(INDEX(Catalogo_TIMSS!$C$5:$C$105,MATCH(L689,Catalogo_TIMSS!$A$5:$A$105,0)),"?"))</f>
        <v/>
      </c>
      <c r="P689" s="8" t="s">
        <v>460</v>
      </c>
      <c r="Q689" s="27" t="s">
        <v>3206</v>
      </c>
      <c r="R689" s="27" t="s">
        <v>3207</v>
      </c>
      <c r="S689" s="28" t="n">
        <f aca="false">IFERROR(ISNUMBER(SEARCH("Conocer",$R689))/(ISNUMBER(SEARCH("Conocer",$R689))+ISNUMBER(SEARCH("Aplicar",$R689))+ISNUMBER(SEARCH("Razonar",$R689))),0)</f>
        <v>0</v>
      </c>
      <c r="T689" s="28" t="n">
        <f aca="false">IFERROR(ISNUMBER(SEARCH("Aplicar",$R689))/(ISNUMBER(SEARCH("Conocer",$R689))+ISNUMBER(SEARCH("Aplicar",$R689))+ISNUMBER(SEARCH("Razonar",$R689))),0)</f>
        <v>0.5</v>
      </c>
      <c r="U689" s="28" t="n">
        <f aca="false">IFERROR(ISNUMBER(SEARCH("Razonar",$R689))/(ISNUMBER(SEARCH("Conocer",$R689))+ISNUMBER(SEARCH("Aplicar",$R689))+ISNUMBER(SEARCH("Razonar",$R689))),0)</f>
        <v>0.5</v>
      </c>
      <c r="V689" s="8" t="s">
        <v>54</v>
      </c>
      <c r="W689" s="8" t="s">
        <v>69</v>
      </c>
    </row>
    <row r="690" customFormat="false" ht="15" hidden="false" customHeight="false" outlineLevel="0" collapsed="false">
      <c r="A690" s="8" t="s">
        <v>3208</v>
      </c>
      <c r="B690" s="8" t="n">
        <v>10</v>
      </c>
      <c r="C690" s="8" t="s">
        <v>91</v>
      </c>
      <c r="D690" s="8" t="s">
        <v>2909</v>
      </c>
      <c r="E690" s="8" t="s">
        <v>2910</v>
      </c>
      <c r="F690" s="8" t="n">
        <v>66</v>
      </c>
      <c r="G690" s="8" t="s">
        <v>3180</v>
      </c>
      <c r="H690" s="8" t="s">
        <v>3209</v>
      </c>
      <c r="I690" s="27" t="s">
        <v>3210</v>
      </c>
      <c r="J690" s="8" t="s">
        <v>291</v>
      </c>
      <c r="K690" s="8" t="s">
        <v>417</v>
      </c>
      <c r="L690" s="8"/>
      <c r="M690" s="8" t="str">
        <f aca="false">IF(K690="FUERA","Fuera del marco",IF(K690="N/A","Sin marco",IFERROR(INDEX(Catalogo_TIMSS!$C$5:$C$105,MATCH(K690,Catalogo_TIMSS!$A$5:$A$105,0)),"Pendiente de clasificar")))</f>
        <v>Fuera del marco</v>
      </c>
      <c r="N690" s="8" t="str">
        <f aca="false">IF(K690="FUERA","Fuera del marco",IF(K690="N/A","Sin marco",IFERROR(INDEX(Catalogo_TIMSS!$F$5:$F$105,MATCH(K690,Catalogo_TIMSS!$A$5:$A$105,0)),"Pendiente de clasificar")))</f>
        <v>Fuera del marco</v>
      </c>
      <c r="O690" s="8" t="str">
        <f aca="false">IF(L690="","",IFERROR(INDEX(Catalogo_TIMSS!$C$5:$C$105,MATCH(L690,Catalogo_TIMSS!$A$5:$A$105,0)),"?"))</f>
        <v/>
      </c>
      <c r="P690" s="8" t="s">
        <v>418</v>
      </c>
      <c r="Q690" s="27" t="s">
        <v>3211</v>
      </c>
      <c r="R690" s="27" t="s">
        <v>3212</v>
      </c>
      <c r="S690" s="28" t="n">
        <f aca="false">IFERROR(ISNUMBER(SEARCH("Conocer",$R690))/(ISNUMBER(SEARCH("Conocer",$R690))+ISNUMBER(SEARCH("Aplicar",$R690))+ISNUMBER(SEARCH("Razonar",$R690))),0)</f>
        <v>0.333333333333333</v>
      </c>
      <c r="T690" s="28" t="n">
        <f aca="false">IFERROR(ISNUMBER(SEARCH("Aplicar",$R690))/(ISNUMBER(SEARCH("Conocer",$R690))+ISNUMBER(SEARCH("Aplicar",$R690))+ISNUMBER(SEARCH("Razonar",$R690))),0)</f>
        <v>0.333333333333333</v>
      </c>
      <c r="U690" s="28" t="n">
        <f aca="false">IFERROR(ISNUMBER(SEARCH("Razonar",$R690))/(ISNUMBER(SEARCH("Conocer",$R690))+ISNUMBER(SEARCH("Aplicar",$R690))+ISNUMBER(SEARCH("Razonar",$R690))),0)</f>
        <v>0.333333333333333</v>
      </c>
      <c r="V690" s="8" t="s">
        <v>54</v>
      </c>
      <c r="W690" s="8" t="s">
        <v>69</v>
      </c>
    </row>
    <row r="691" customFormat="false" ht="15" hidden="false" customHeight="false" outlineLevel="0" collapsed="false">
      <c r="A691" s="8" t="s">
        <v>3213</v>
      </c>
      <c r="B691" s="8" t="n">
        <v>10</v>
      </c>
      <c r="C691" s="8" t="s">
        <v>91</v>
      </c>
      <c r="D691" s="8" t="s">
        <v>2909</v>
      </c>
      <c r="E691" s="8" t="s">
        <v>2910</v>
      </c>
      <c r="F691" s="8" t="n">
        <v>67</v>
      </c>
      <c r="G691" s="8" t="s">
        <v>3214</v>
      </c>
      <c r="H691" s="8" t="s">
        <v>3215</v>
      </c>
      <c r="I691" s="27" t="s">
        <v>3216</v>
      </c>
      <c r="J691" s="8" t="s">
        <v>291</v>
      </c>
      <c r="K691" s="8" t="s">
        <v>417</v>
      </c>
      <c r="L691" s="8"/>
      <c r="M691" s="8" t="str">
        <f aca="false">IF(K691="FUERA","Fuera del marco",IF(K691="N/A","Sin marco",IFERROR(INDEX(Catalogo_TIMSS!$C$5:$C$105,MATCH(K691,Catalogo_TIMSS!$A$5:$A$105,0)),"Pendiente de clasificar")))</f>
        <v>Fuera del marco</v>
      </c>
      <c r="N691" s="8" t="str">
        <f aca="false">IF(K691="FUERA","Fuera del marco",IF(K691="N/A","Sin marco",IFERROR(INDEX(Catalogo_TIMSS!$F$5:$F$105,MATCH(K691,Catalogo_TIMSS!$A$5:$A$105,0)),"Pendiente de clasificar")))</f>
        <v>Fuera del marco</v>
      </c>
      <c r="O691" s="8" t="str">
        <f aca="false">IF(L691="","",IFERROR(INDEX(Catalogo_TIMSS!$C$5:$C$105,MATCH(L691,Catalogo_TIMSS!$A$5:$A$105,0)),"?"))</f>
        <v/>
      </c>
      <c r="P691" s="8" t="s">
        <v>460</v>
      </c>
      <c r="Q691" s="27" t="s">
        <v>3217</v>
      </c>
      <c r="R691" s="27" t="s">
        <v>3218</v>
      </c>
      <c r="S691" s="28" t="n">
        <f aca="false">IFERROR(ISNUMBER(SEARCH("Conocer",$R691))/(ISNUMBER(SEARCH("Conocer",$R691))+ISNUMBER(SEARCH("Aplicar",$R691))+ISNUMBER(SEARCH("Razonar",$R691))),0)</f>
        <v>0</v>
      </c>
      <c r="T691" s="28" t="n">
        <f aca="false">IFERROR(ISNUMBER(SEARCH("Aplicar",$R691))/(ISNUMBER(SEARCH("Conocer",$R691))+ISNUMBER(SEARCH("Aplicar",$R691))+ISNUMBER(SEARCH("Razonar",$R691))),0)</f>
        <v>0.5</v>
      </c>
      <c r="U691" s="28" t="n">
        <f aca="false">IFERROR(ISNUMBER(SEARCH("Razonar",$R691))/(ISNUMBER(SEARCH("Conocer",$R691))+ISNUMBER(SEARCH("Aplicar",$R691))+ISNUMBER(SEARCH("Razonar",$R691))),0)</f>
        <v>0.5</v>
      </c>
      <c r="V691" s="8" t="s">
        <v>54</v>
      </c>
      <c r="W691" s="8" t="s">
        <v>69</v>
      </c>
    </row>
    <row r="692" customFormat="false" ht="15" hidden="false" customHeight="false" outlineLevel="0" collapsed="false">
      <c r="A692" s="8" t="s">
        <v>3219</v>
      </c>
      <c r="B692" s="8" t="n">
        <v>10</v>
      </c>
      <c r="C692" s="8" t="s">
        <v>91</v>
      </c>
      <c r="D692" s="8" t="s">
        <v>2909</v>
      </c>
      <c r="E692" s="8" t="s">
        <v>2910</v>
      </c>
      <c r="F692" s="8" t="n">
        <v>68</v>
      </c>
      <c r="G692" s="8" t="s">
        <v>3214</v>
      </c>
      <c r="H692" s="8" t="s">
        <v>3215</v>
      </c>
      <c r="I692" s="27" t="s">
        <v>3220</v>
      </c>
      <c r="J692" s="8" t="s">
        <v>291</v>
      </c>
      <c r="K692" s="8" t="s">
        <v>293</v>
      </c>
      <c r="L692" s="8"/>
      <c r="M692" s="8" t="str">
        <f aca="false">IF(K692="FUERA","Fuera del marco",IF(K692="N/A","Sin marco",IFERROR(INDEX(Catalogo_TIMSS!$C$5:$C$105,MATCH(K692,Catalogo_TIMSS!$A$5:$A$105,0)),"Pendiente de clasificar")))</f>
        <v>Mecánica y termodinámica</v>
      </c>
      <c r="N692" s="8" t="str">
        <f aca="false">IF(K692="FUERA","Fuera del marco",IF(K692="N/A","Sin marco",IFERROR(INDEX(Catalogo_TIMSS!$F$5:$F$105,MATCH(K692,Catalogo_TIMSS!$A$5:$A$105,0)),"Pendiente de clasificar")))</f>
        <v>Fuerzas y movimiento</v>
      </c>
      <c r="O692" s="8" t="str">
        <f aca="false">IF(L692="","",IFERROR(INDEX(Catalogo_TIMSS!$C$5:$C$105,MATCH(L692,Catalogo_TIMSS!$A$5:$A$105,0)),"?"))</f>
        <v/>
      </c>
      <c r="P692" s="8" t="s">
        <v>513</v>
      </c>
      <c r="Q692" s="27" t="s">
        <v>3221</v>
      </c>
      <c r="R692" s="27" t="s">
        <v>3222</v>
      </c>
      <c r="S692" s="28" t="n">
        <f aca="false">IFERROR(ISNUMBER(SEARCH("Conocer",$R692))/(ISNUMBER(SEARCH("Conocer",$R692))+ISNUMBER(SEARCH("Aplicar",$R692))+ISNUMBER(SEARCH("Razonar",$R692))),0)</f>
        <v>0</v>
      </c>
      <c r="T692" s="28" t="n">
        <f aca="false">IFERROR(ISNUMBER(SEARCH("Aplicar",$R692))/(ISNUMBER(SEARCH("Conocer",$R692))+ISNUMBER(SEARCH("Aplicar",$R692))+ISNUMBER(SEARCH("Razonar",$R692))),0)</f>
        <v>0.5</v>
      </c>
      <c r="U692" s="28" t="n">
        <f aca="false">IFERROR(ISNUMBER(SEARCH("Razonar",$R692))/(ISNUMBER(SEARCH("Conocer",$R692))+ISNUMBER(SEARCH("Aplicar",$R692))+ISNUMBER(SEARCH("Razonar",$R692))),0)</f>
        <v>0.5</v>
      </c>
      <c r="V692" s="8" t="s">
        <v>54</v>
      </c>
      <c r="W692" s="8" t="s">
        <v>69</v>
      </c>
    </row>
    <row r="693" customFormat="false" ht="15" hidden="false" customHeight="false" outlineLevel="0" collapsed="false">
      <c r="A693" s="8" t="s">
        <v>3223</v>
      </c>
      <c r="B693" s="8" t="n">
        <v>10</v>
      </c>
      <c r="C693" s="8" t="s">
        <v>91</v>
      </c>
      <c r="D693" s="8" t="s">
        <v>2909</v>
      </c>
      <c r="E693" s="8" t="s">
        <v>2910</v>
      </c>
      <c r="F693" s="8" t="n">
        <v>69</v>
      </c>
      <c r="G693" s="8" t="s">
        <v>3214</v>
      </c>
      <c r="H693" s="8" t="s">
        <v>3224</v>
      </c>
      <c r="I693" s="27" t="s">
        <v>3225</v>
      </c>
      <c r="J693" s="8" t="s">
        <v>291</v>
      </c>
      <c r="K693" s="8" t="s">
        <v>417</v>
      </c>
      <c r="L693" s="8"/>
      <c r="M693" s="8" t="str">
        <f aca="false">IF(K693="FUERA","Fuera del marco",IF(K693="N/A","Sin marco",IFERROR(INDEX(Catalogo_TIMSS!$C$5:$C$105,MATCH(K693,Catalogo_TIMSS!$A$5:$A$105,0)),"Pendiente de clasificar")))</f>
        <v>Fuera del marco</v>
      </c>
      <c r="N693" s="8" t="str">
        <f aca="false">IF(K693="FUERA","Fuera del marco",IF(K693="N/A","Sin marco",IFERROR(INDEX(Catalogo_TIMSS!$F$5:$F$105,MATCH(K693,Catalogo_TIMSS!$A$5:$A$105,0)),"Pendiente de clasificar")))</f>
        <v>Fuera del marco</v>
      </c>
      <c r="O693" s="8" t="str">
        <f aca="false">IF(L693="","",IFERROR(INDEX(Catalogo_TIMSS!$C$5:$C$105,MATCH(L693,Catalogo_TIMSS!$A$5:$A$105,0)),"?"))</f>
        <v/>
      </c>
      <c r="P693" s="8" t="s">
        <v>460</v>
      </c>
      <c r="Q693" s="27" t="s">
        <v>3226</v>
      </c>
      <c r="R693" s="27" t="s">
        <v>3227</v>
      </c>
      <c r="S693" s="28" t="n">
        <f aca="false">IFERROR(ISNUMBER(SEARCH("Conocer",$R693))/(ISNUMBER(SEARCH("Conocer",$R693))+ISNUMBER(SEARCH("Aplicar",$R693))+ISNUMBER(SEARCH("Razonar",$R693))),0)</f>
        <v>0</v>
      </c>
      <c r="T693" s="28" t="n">
        <f aca="false">IFERROR(ISNUMBER(SEARCH("Aplicar",$R693))/(ISNUMBER(SEARCH("Conocer",$R693))+ISNUMBER(SEARCH("Aplicar",$R693))+ISNUMBER(SEARCH("Razonar",$R693))),0)</f>
        <v>0.5</v>
      </c>
      <c r="U693" s="28" t="n">
        <f aca="false">IFERROR(ISNUMBER(SEARCH("Razonar",$R693))/(ISNUMBER(SEARCH("Conocer",$R693))+ISNUMBER(SEARCH("Aplicar",$R693))+ISNUMBER(SEARCH("Razonar",$R693))),0)</f>
        <v>0.5</v>
      </c>
      <c r="V693" s="8" t="s">
        <v>54</v>
      </c>
      <c r="W693" s="8" t="s">
        <v>69</v>
      </c>
    </row>
    <row r="694" customFormat="false" ht="15" hidden="false" customHeight="false" outlineLevel="0" collapsed="false">
      <c r="A694" s="8" t="s">
        <v>3228</v>
      </c>
      <c r="B694" s="8" t="n">
        <v>10</v>
      </c>
      <c r="C694" s="8" t="s">
        <v>91</v>
      </c>
      <c r="D694" s="8" t="s">
        <v>2909</v>
      </c>
      <c r="E694" s="8" t="s">
        <v>2910</v>
      </c>
      <c r="F694" s="8" t="n">
        <v>70</v>
      </c>
      <c r="G694" s="8" t="s">
        <v>3214</v>
      </c>
      <c r="H694" s="8" t="s">
        <v>3229</v>
      </c>
      <c r="I694" s="27" t="s">
        <v>3230</v>
      </c>
      <c r="J694" s="8" t="s">
        <v>291</v>
      </c>
      <c r="K694" s="8" t="s">
        <v>417</v>
      </c>
      <c r="L694" s="8"/>
      <c r="M694" s="8" t="str">
        <f aca="false">IF(K694="FUERA","Fuera del marco",IF(K694="N/A","Sin marco",IFERROR(INDEX(Catalogo_TIMSS!$C$5:$C$105,MATCH(K694,Catalogo_TIMSS!$A$5:$A$105,0)),"Pendiente de clasificar")))</f>
        <v>Fuera del marco</v>
      </c>
      <c r="N694" s="8" t="str">
        <f aca="false">IF(K694="FUERA","Fuera del marco",IF(K694="N/A","Sin marco",IFERROR(INDEX(Catalogo_TIMSS!$F$5:$F$105,MATCH(K694,Catalogo_TIMSS!$A$5:$A$105,0)),"Pendiente de clasificar")))</f>
        <v>Fuera del marco</v>
      </c>
      <c r="O694" s="8" t="str">
        <f aca="false">IF(L694="","",IFERROR(INDEX(Catalogo_TIMSS!$C$5:$C$105,MATCH(L694,Catalogo_TIMSS!$A$5:$A$105,0)),"?"))</f>
        <v/>
      </c>
      <c r="P694" s="8" t="s">
        <v>418</v>
      </c>
      <c r="Q694" s="27" t="s">
        <v>3231</v>
      </c>
      <c r="R694" s="27" t="s">
        <v>3232</v>
      </c>
      <c r="S694" s="28" t="n">
        <f aca="false">IFERROR(ISNUMBER(SEARCH("Conocer",$R694))/(ISNUMBER(SEARCH("Conocer",$R694))+ISNUMBER(SEARCH("Aplicar",$R694))+ISNUMBER(SEARCH("Razonar",$R694))),0)</f>
        <v>0</v>
      </c>
      <c r="T694" s="28" t="n">
        <f aca="false">IFERROR(ISNUMBER(SEARCH("Aplicar",$R694))/(ISNUMBER(SEARCH("Conocer",$R694))+ISNUMBER(SEARCH("Aplicar",$R694))+ISNUMBER(SEARCH("Razonar",$R694))),0)</f>
        <v>0.5</v>
      </c>
      <c r="U694" s="28" t="n">
        <f aca="false">IFERROR(ISNUMBER(SEARCH("Razonar",$R694))/(ISNUMBER(SEARCH("Conocer",$R694))+ISNUMBER(SEARCH("Aplicar",$R694))+ISNUMBER(SEARCH("Razonar",$R694))),0)</f>
        <v>0.5</v>
      </c>
      <c r="V694" s="8" t="s">
        <v>54</v>
      </c>
      <c r="W694" s="8" t="s">
        <v>69</v>
      </c>
    </row>
    <row r="695" customFormat="false" ht="15" hidden="false" customHeight="false" outlineLevel="0" collapsed="false">
      <c r="A695" s="8" t="s">
        <v>3233</v>
      </c>
      <c r="B695" s="8" t="n">
        <v>10</v>
      </c>
      <c r="C695" s="8" t="s">
        <v>91</v>
      </c>
      <c r="D695" s="8" t="s">
        <v>2909</v>
      </c>
      <c r="E695" s="8" t="s">
        <v>2910</v>
      </c>
      <c r="F695" s="8" t="n">
        <v>71</v>
      </c>
      <c r="G695" s="8" t="s">
        <v>3214</v>
      </c>
      <c r="H695" s="8" t="s">
        <v>3234</v>
      </c>
      <c r="I695" s="27" t="s">
        <v>3235</v>
      </c>
      <c r="J695" s="8" t="s">
        <v>291</v>
      </c>
      <c r="K695" s="8" t="s">
        <v>299</v>
      </c>
      <c r="L695" s="8"/>
      <c r="M695" s="8" t="str">
        <f aca="false">IF(K695="FUERA","Fuera del marco",IF(K695="N/A","Sin marco",IFERROR(INDEX(Catalogo_TIMSS!$C$5:$C$105,MATCH(K695,Catalogo_TIMSS!$A$5:$A$105,0)),"Pendiente de clasificar")))</f>
        <v>Mecánica y termodinámica</v>
      </c>
      <c r="N695" s="8" t="str">
        <f aca="false">IF(K695="FUERA","Fuera del marco",IF(K695="N/A","Sin marco",IFERROR(INDEX(Catalogo_TIMSS!$F$5:$F$105,MATCH(K695,Catalogo_TIMSS!$A$5:$A$105,0)),"Pendiente de clasificar")))</f>
        <v>Leyes de conservación</v>
      </c>
      <c r="O695" s="8" t="str">
        <f aca="false">IF(L695="","",IFERROR(INDEX(Catalogo_TIMSS!$C$5:$C$105,MATCH(L695,Catalogo_TIMSS!$A$5:$A$105,0)),"?"))</f>
        <v/>
      </c>
      <c r="P695" s="8" t="s">
        <v>460</v>
      </c>
      <c r="Q695" s="27" t="s">
        <v>3236</v>
      </c>
      <c r="R695" s="27" t="s">
        <v>3237</v>
      </c>
      <c r="S695" s="28" t="n">
        <f aca="false">IFERROR(ISNUMBER(SEARCH("Conocer",$R695))/(ISNUMBER(SEARCH("Conocer",$R695))+ISNUMBER(SEARCH("Aplicar",$R695))+ISNUMBER(SEARCH("Razonar",$R695))),0)</f>
        <v>0</v>
      </c>
      <c r="T695" s="28" t="n">
        <f aca="false">IFERROR(ISNUMBER(SEARCH("Aplicar",$R695))/(ISNUMBER(SEARCH("Conocer",$R695))+ISNUMBER(SEARCH("Aplicar",$R695))+ISNUMBER(SEARCH("Razonar",$R695))),0)</f>
        <v>0.5</v>
      </c>
      <c r="U695" s="28" t="n">
        <f aca="false">IFERROR(ISNUMBER(SEARCH("Razonar",$R695))/(ISNUMBER(SEARCH("Conocer",$R695))+ISNUMBER(SEARCH("Aplicar",$R695))+ISNUMBER(SEARCH("Razonar",$R695))),0)</f>
        <v>0.5</v>
      </c>
      <c r="V695" s="8" t="s">
        <v>54</v>
      </c>
      <c r="W695" s="8" t="s">
        <v>69</v>
      </c>
    </row>
    <row r="696" customFormat="false" ht="15" hidden="false" customHeight="false" outlineLevel="0" collapsed="false">
      <c r="A696" s="8" t="s">
        <v>3238</v>
      </c>
      <c r="B696" s="8" t="n">
        <v>10</v>
      </c>
      <c r="C696" s="8" t="s">
        <v>91</v>
      </c>
      <c r="D696" s="8" t="s">
        <v>2909</v>
      </c>
      <c r="E696" s="8" t="s">
        <v>2910</v>
      </c>
      <c r="F696" s="8" t="n">
        <v>72</v>
      </c>
      <c r="G696" s="8" t="s">
        <v>3214</v>
      </c>
      <c r="H696" s="8" t="s">
        <v>3234</v>
      </c>
      <c r="I696" s="27" t="s">
        <v>3239</v>
      </c>
      <c r="J696" s="8" t="s">
        <v>291</v>
      </c>
      <c r="K696" s="8" t="s">
        <v>417</v>
      </c>
      <c r="L696" s="8"/>
      <c r="M696" s="8" t="str">
        <f aca="false">IF(K696="FUERA","Fuera del marco",IF(K696="N/A","Sin marco",IFERROR(INDEX(Catalogo_TIMSS!$C$5:$C$105,MATCH(K696,Catalogo_TIMSS!$A$5:$A$105,0)),"Pendiente de clasificar")))</f>
        <v>Fuera del marco</v>
      </c>
      <c r="N696" s="8" t="str">
        <f aca="false">IF(K696="FUERA","Fuera del marco",IF(K696="N/A","Sin marco",IFERROR(INDEX(Catalogo_TIMSS!$F$5:$F$105,MATCH(K696,Catalogo_TIMSS!$A$5:$A$105,0)),"Pendiente de clasificar")))</f>
        <v>Fuera del marco</v>
      </c>
      <c r="O696" s="8" t="str">
        <f aca="false">IF(L696="","",IFERROR(INDEX(Catalogo_TIMSS!$C$5:$C$105,MATCH(L696,Catalogo_TIMSS!$A$5:$A$105,0)),"?"))</f>
        <v/>
      </c>
      <c r="P696" s="8" t="s">
        <v>418</v>
      </c>
      <c r="Q696" s="27" t="s">
        <v>3240</v>
      </c>
      <c r="R696" s="27" t="s">
        <v>3241</v>
      </c>
      <c r="S696" s="28" t="n">
        <f aca="false">IFERROR(ISNUMBER(SEARCH("Conocer",$R696))/(ISNUMBER(SEARCH("Conocer",$R696))+ISNUMBER(SEARCH("Aplicar",$R696))+ISNUMBER(SEARCH("Razonar",$R696))),0)</f>
        <v>0</v>
      </c>
      <c r="T696" s="28" t="n">
        <f aca="false">IFERROR(ISNUMBER(SEARCH("Aplicar",$R696))/(ISNUMBER(SEARCH("Conocer",$R696))+ISNUMBER(SEARCH("Aplicar",$R696))+ISNUMBER(SEARCH("Razonar",$R696))),0)</f>
        <v>0.5</v>
      </c>
      <c r="U696" s="28" t="n">
        <f aca="false">IFERROR(ISNUMBER(SEARCH("Razonar",$R696))/(ISNUMBER(SEARCH("Conocer",$R696))+ISNUMBER(SEARCH("Aplicar",$R696))+ISNUMBER(SEARCH("Razonar",$R696))),0)</f>
        <v>0.5</v>
      </c>
      <c r="V696" s="8" t="s">
        <v>54</v>
      </c>
      <c r="W696" s="8" t="s">
        <v>69</v>
      </c>
    </row>
    <row r="697" customFormat="false" ht="15" hidden="false" customHeight="false" outlineLevel="0" collapsed="false">
      <c r="A697" s="8" t="s">
        <v>3242</v>
      </c>
      <c r="B697" s="8" t="n">
        <v>10</v>
      </c>
      <c r="C697" s="8" t="s">
        <v>91</v>
      </c>
      <c r="D697" s="8" t="s">
        <v>2909</v>
      </c>
      <c r="E697" s="8" t="s">
        <v>2910</v>
      </c>
      <c r="F697" s="8" t="n">
        <v>73</v>
      </c>
      <c r="G697" s="8" t="s">
        <v>3243</v>
      </c>
      <c r="H697" s="8" t="s">
        <v>3244</v>
      </c>
      <c r="I697" s="27" t="s">
        <v>3245</v>
      </c>
      <c r="J697" s="8" t="s">
        <v>291</v>
      </c>
      <c r="K697" s="8" t="s">
        <v>417</v>
      </c>
      <c r="L697" s="8"/>
      <c r="M697" s="8" t="str">
        <f aca="false">IF(K697="FUERA","Fuera del marco",IF(K697="N/A","Sin marco",IFERROR(INDEX(Catalogo_TIMSS!$C$5:$C$105,MATCH(K697,Catalogo_TIMSS!$A$5:$A$105,0)),"Pendiente de clasificar")))</f>
        <v>Fuera del marco</v>
      </c>
      <c r="N697" s="8" t="str">
        <f aca="false">IF(K697="FUERA","Fuera del marco",IF(K697="N/A","Sin marco",IFERROR(INDEX(Catalogo_TIMSS!$F$5:$F$105,MATCH(K697,Catalogo_TIMSS!$A$5:$A$105,0)),"Pendiente de clasificar")))</f>
        <v>Fuera del marco</v>
      </c>
      <c r="O697" s="8" t="str">
        <f aca="false">IF(L697="","",IFERROR(INDEX(Catalogo_TIMSS!$C$5:$C$105,MATCH(L697,Catalogo_TIMSS!$A$5:$A$105,0)),"?"))</f>
        <v/>
      </c>
      <c r="P697" s="8" t="s">
        <v>418</v>
      </c>
      <c r="Q697" s="27" t="s">
        <v>3246</v>
      </c>
      <c r="R697" s="27" t="s">
        <v>3247</v>
      </c>
      <c r="S697" s="28" t="n">
        <f aca="false">IFERROR(ISNUMBER(SEARCH("Conocer",$R697))/(ISNUMBER(SEARCH("Conocer",$R697))+ISNUMBER(SEARCH("Aplicar",$R697))+ISNUMBER(SEARCH("Razonar",$R697))),0)</f>
        <v>0</v>
      </c>
      <c r="T697" s="28" t="n">
        <f aca="false">IFERROR(ISNUMBER(SEARCH("Aplicar",$R697))/(ISNUMBER(SEARCH("Conocer",$R697))+ISNUMBER(SEARCH("Aplicar",$R697))+ISNUMBER(SEARCH("Razonar",$R697))),0)</f>
        <v>0.5</v>
      </c>
      <c r="U697" s="28" t="n">
        <f aca="false">IFERROR(ISNUMBER(SEARCH("Razonar",$R697))/(ISNUMBER(SEARCH("Conocer",$R697))+ISNUMBER(SEARCH("Aplicar",$R697))+ISNUMBER(SEARCH("Razonar",$R697))),0)</f>
        <v>0.5</v>
      </c>
      <c r="V697" s="8" t="s">
        <v>54</v>
      </c>
      <c r="W697" s="8" t="s">
        <v>69</v>
      </c>
    </row>
    <row r="698" customFormat="false" ht="15" hidden="false" customHeight="false" outlineLevel="0" collapsed="false">
      <c r="A698" s="8" t="s">
        <v>3248</v>
      </c>
      <c r="B698" s="8" t="n">
        <v>10</v>
      </c>
      <c r="C698" s="8" t="s">
        <v>91</v>
      </c>
      <c r="D698" s="8" t="s">
        <v>2909</v>
      </c>
      <c r="E698" s="8" t="s">
        <v>2910</v>
      </c>
      <c r="F698" s="8" t="n">
        <v>74</v>
      </c>
      <c r="G698" s="8" t="s">
        <v>3243</v>
      </c>
      <c r="H698" s="8" t="s">
        <v>3244</v>
      </c>
      <c r="I698" s="27" t="s">
        <v>3249</v>
      </c>
      <c r="J698" s="8" t="s">
        <v>291</v>
      </c>
      <c r="K698" s="8" t="s">
        <v>417</v>
      </c>
      <c r="L698" s="8"/>
      <c r="M698" s="8" t="str">
        <f aca="false">IF(K698="FUERA","Fuera del marco",IF(K698="N/A","Sin marco",IFERROR(INDEX(Catalogo_TIMSS!$C$5:$C$105,MATCH(K698,Catalogo_TIMSS!$A$5:$A$105,0)),"Pendiente de clasificar")))</f>
        <v>Fuera del marco</v>
      </c>
      <c r="N698" s="8" t="str">
        <f aca="false">IF(K698="FUERA","Fuera del marco",IF(K698="N/A","Sin marco",IFERROR(INDEX(Catalogo_TIMSS!$F$5:$F$105,MATCH(K698,Catalogo_TIMSS!$A$5:$A$105,0)),"Pendiente de clasificar")))</f>
        <v>Fuera del marco</v>
      </c>
      <c r="O698" s="8" t="str">
        <f aca="false">IF(L698="","",IFERROR(INDEX(Catalogo_TIMSS!$C$5:$C$105,MATCH(L698,Catalogo_TIMSS!$A$5:$A$105,0)),"?"))</f>
        <v/>
      </c>
      <c r="P698" s="8" t="s">
        <v>418</v>
      </c>
      <c r="Q698" s="27" t="s">
        <v>3250</v>
      </c>
      <c r="R698" s="27" t="s">
        <v>3251</v>
      </c>
      <c r="S698" s="28" t="n">
        <f aca="false">IFERROR(ISNUMBER(SEARCH("Conocer",$R698))/(ISNUMBER(SEARCH("Conocer",$R698))+ISNUMBER(SEARCH("Aplicar",$R698))+ISNUMBER(SEARCH("Razonar",$R698))),0)</f>
        <v>0</v>
      </c>
      <c r="T698" s="28" t="n">
        <f aca="false">IFERROR(ISNUMBER(SEARCH("Aplicar",$R698))/(ISNUMBER(SEARCH("Conocer",$R698))+ISNUMBER(SEARCH("Aplicar",$R698))+ISNUMBER(SEARCH("Razonar",$R698))),0)</f>
        <v>0.5</v>
      </c>
      <c r="U698" s="28" t="n">
        <f aca="false">IFERROR(ISNUMBER(SEARCH("Razonar",$R698))/(ISNUMBER(SEARCH("Conocer",$R698))+ISNUMBER(SEARCH("Aplicar",$R698))+ISNUMBER(SEARCH("Razonar",$R698))),0)</f>
        <v>0.5</v>
      </c>
      <c r="V698" s="8" t="s">
        <v>54</v>
      </c>
      <c r="W698" s="8" t="s">
        <v>69</v>
      </c>
    </row>
    <row r="699" customFormat="false" ht="15" hidden="false" customHeight="false" outlineLevel="0" collapsed="false">
      <c r="A699" s="8" t="s">
        <v>3252</v>
      </c>
      <c r="B699" s="8" t="n">
        <v>10</v>
      </c>
      <c r="C699" s="8" t="s">
        <v>91</v>
      </c>
      <c r="D699" s="8" t="s">
        <v>2909</v>
      </c>
      <c r="E699" s="8" t="s">
        <v>2910</v>
      </c>
      <c r="F699" s="8" t="n">
        <v>75</v>
      </c>
      <c r="G699" s="8" t="s">
        <v>3243</v>
      </c>
      <c r="H699" s="8" t="s">
        <v>3244</v>
      </c>
      <c r="I699" s="27" t="s">
        <v>3253</v>
      </c>
      <c r="J699" s="8" t="s">
        <v>291</v>
      </c>
      <c r="K699" s="8" t="s">
        <v>417</v>
      </c>
      <c r="L699" s="8"/>
      <c r="M699" s="8" t="str">
        <f aca="false">IF(K699="FUERA","Fuera del marco",IF(K699="N/A","Sin marco",IFERROR(INDEX(Catalogo_TIMSS!$C$5:$C$105,MATCH(K699,Catalogo_TIMSS!$A$5:$A$105,0)),"Pendiente de clasificar")))</f>
        <v>Fuera del marco</v>
      </c>
      <c r="N699" s="8" t="str">
        <f aca="false">IF(K699="FUERA","Fuera del marco",IF(K699="N/A","Sin marco",IFERROR(INDEX(Catalogo_TIMSS!$F$5:$F$105,MATCH(K699,Catalogo_TIMSS!$A$5:$A$105,0)),"Pendiente de clasificar")))</f>
        <v>Fuera del marco</v>
      </c>
      <c r="O699" s="8" t="str">
        <f aca="false">IF(L699="","",IFERROR(INDEX(Catalogo_TIMSS!$C$5:$C$105,MATCH(L699,Catalogo_TIMSS!$A$5:$A$105,0)),"?"))</f>
        <v/>
      </c>
      <c r="P699" s="8" t="s">
        <v>418</v>
      </c>
      <c r="Q699" s="27" t="s">
        <v>3254</v>
      </c>
      <c r="R699" s="27" t="s">
        <v>3255</v>
      </c>
      <c r="S699" s="28" t="n">
        <f aca="false">IFERROR(ISNUMBER(SEARCH("Conocer",$R699))/(ISNUMBER(SEARCH("Conocer",$R699))+ISNUMBER(SEARCH("Aplicar",$R699))+ISNUMBER(SEARCH("Razonar",$R699))),0)</f>
        <v>0</v>
      </c>
      <c r="T699" s="28" t="n">
        <f aca="false">IFERROR(ISNUMBER(SEARCH("Aplicar",$R699))/(ISNUMBER(SEARCH("Conocer",$R699))+ISNUMBER(SEARCH("Aplicar",$R699))+ISNUMBER(SEARCH("Razonar",$R699))),0)</f>
        <v>0.5</v>
      </c>
      <c r="U699" s="28" t="n">
        <f aca="false">IFERROR(ISNUMBER(SEARCH("Razonar",$R699))/(ISNUMBER(SEARCH("Conocer",$R699))+ISNUMBER(SEARCH("Aplicar",$R699))+ISNUMBER(SEARCH("Razonar",$R699))),0)</f>
        <v>0.5</v>
      </c>
      <c r="V699" s="8" t="s">
        <v>54</v>
      </c>
      <c r="W699" s="8" t="s">
        <v>69</v>
      </c>
    </row>
    <row r="700" customFormat="false" ht="15" hidden="false" customHeight="false" outlineLevel="0" collapsed="false">
      <c r="A700" s="8" t="s">
        <v>3256</v>
      </c>
      <c r="B700" s="8" t="n">
        <v>10</v>
      </c>
      <c r="C700" s="8" t="s">
        <v>91</v>
      </c>
      <c r="D700" s="8" t="s">
        <v>2909</v>
      </c>
      <c r="E700" s="8" t="s">
        <v>2910</v>
      </c>
      <c r="F700" s="8" t="n">
        <v>76</v>
      </c>
      <c r="G700" s="8" t="s">
        <v>3243</v>
      </c>
      <c r="H700" s="8" t="s">
        <v>3257</v>
      </c>
      <c r="I700" s="27" t="s">
        <v>3258</v>
      </c>
      <c r="J700" s="8" t="s">
        <v>291</v>
      </c>
      <c r="K700" s="8" t="s">
        <v>417</v>
      </c>
      <c r="L700" s="8"/>
      <c r="M700" s="8" t="str">
        <f aca="false">IF(K700="FUERA","Fuera del marco",IF(K700="N/A","Sin marco",IFERROR(INDEX(Catalogo_TIMSS!$C$5:$C$105,MATCH(K700,Catalogo_TIMSS!$A$5:$A$105,0)),"Pendiente de clasificar")))</f>
        <v>Fuera del marco</v>
      </c>
      <c r="N700" s="8" t="str">
        <f aca="false">IF(K700="FUERA","Fuera del marco",IF(K700="N/A","Sin marco",IFERROR(INDEX(Catalogo_TIMSS!$F$5:$F$105,MATCH(K700,Catalogo_TIMSS!$A$5:$A$105,0)),"Pendiente de clasificar")))</f>
        <v>Fuera del marco</v>
      </c>
      <c r="O700" s="8" t="str">
        <f aca="false">IF(L700="","",IFERROR(INDEX(Catalogo_TIMSS!$C$5:$C$105,MATCH(L700,Catalogo_TIMSS!$A$5:$A$105,0)),"?"))</f>
        <v/>
      </c>
      <c r="P700" s="8" t="s">
        <v>418</v>
      </c>
      <c r="Q700" s="27" t="s">
        <v>3259</v>
      </c>
      <c r="R700" s="27" t="s">
        <v>3260</v>
      </c>
      <c r="S700" s="28" t="n">
        <f aca="false">IFERROR(ISNUMBER(SEARCH("Conocer",$R700))/(ISNUMBER(SEARCH("Conocer",$R700))+ISNUMBER(SEARCH("Aplicar",$R700))+ISNUMBER(SEARCH("Razonar",$R700))),0)</f>
        <v>0</v>
      </c>
      <c r="T700" s="28" t="n">
        <f aca="false">IFERROR(ISNUMBER(SEARCH("Aplicar",$R700))/(ISNUMBER(SEARCH("Conocer",$R700))+ISNUMBER(SEARCH("Aplicar",$R700))+ISNUMBER(SEARCH("Razonar",$R700))),0)</f>
        <v>0.5</v>
      </c>
      <c r="U700" s="28" t="n">
        <f aca="false">IFERROR(ISNUMBER(SEARCH("Razonar",$R700))/(ISNUMBER(SEARCH("Conocer",$R700))+ISNUMBER(SEARCH("Aplicar",$R700))+ISNUMBER(SEARCH("Razonar",$R700))),0)</f>
        <v>0.5</v>
      </c>
      <c r="V700" s="8" t="s">
        <v>54</v>
      </c>
      <c r="W700" s="8" t="s">
        <v>69</v>
      </c>
    </row>
    <row r="701" customFormat="false" ht="15" hidden="false" customHeight="false" outlineLevel="0" collapsed="false">
      <c r="A701" s="8" t="s">
        <v>3261</v>
      </c>
      <c r="B701" s="8" t="n">
        <v>10</v>
      </c>
      <c r="C701" s="8" t="s">
        <v>91</v>
      </c>
      <c r="D701" s="8" t="s">
        <v>2909</v>
      </c>
      <c r="E701" s="8" t="s">
        <v>2910</v>
      </c>
      <c r="F701" s="8" t="n">
        <v>77</v>
      </c>
      <c r="G701" s="8" t="s">
        <v>3243</v>
      </c>
      <c r="H701" s="8" t="s">
        <v>3262</v>
      </c>
      <c r="I701" s="27" t="s">
        <v>3263</v>
      </c>
      <c r="J701" s="8" t="s">
        <v>291</v>
      </c>
      <c r="K701" s="8" t="s">
        <v>417</v>
      </c>
      <c r="L701" s="8"/>
      <c r="M701" s="8" t="str">
        <f aca="false">IF(K701="FUERA","Fuera del marco",IF(K701="N/A","Sin marco",IFERROR(INDEX(Catalogo_TIMSS!$C$5:$C$105,MATCH(K701,Catalogo_TIMSS!$A$5:$A$105,0)),"Pendiente de clasificar")))</f>
        <v>Fuera del marco</v>
      </c>
      <c r="N701" s="8" t="str">
        <f aca="false">IF(K701="FUERA","Fuera del marco",IF(K701="N/A","Sin marco",IFERROR(INDEX(Catalogo_TIMSS!$F$5:$F$105,MATCH(K701,Catalogo_TIMSS!$A$5:$A$105,0)),"Pendiente de clasificar")))</f>
        <v>Fuera del marco</v>
      </c>
      <c r="O701" s="8" t="str">
        <f aca="false">IF(L701="","",IFERROR(INDEX(Catalogo_TIMSS!$C$5:$C$105,MATCH(L701,Catalogo_TIMSS!$A$5:$A$105,0)),"?"))</f>
        <v/>
      </c>
      <c r="P701" s="8" t="s">
        <v>418</v>
      </c>
      <c r="Q701" s="27" t="s">
        <v>3264</v>
      </c>
      <c r="R701" s="27" t="s">
        <v>3265</v>
      </c>
      <c r="S701" s="28" t="n">
        <f aca="false">IFERROR(ISNUMBER(SEARCH("Conocer",$R701))/(ISNUMBER(SEARCH("Conocer",$R701))+ISNUMBER(SEARCH("Aplicar",$R701))+ISNUMBER(SEARCH("Razonar",$R701))),0)</f>
        <v>0</v>
      </c>
      <c r="T701" s="28" t="n">
        <f aca="false">IFERROR(ISNUMBER(SEARCH("Aplicar",$R701))/(ISNUMBER(SEARCH("Conocer",$R701))+ISNUMBER(SEARCH("Aplicar",$R701))+ISNUMBER(SEARCH("Razonar",$R701))),0)</f>
        <v>0.5</v>
      </c>
      <c r="U701" s="28" t="n">
        <f aca="false">IFERROR(ISNUMBER(SEARCH("Razonar",$R701))/(ISNUMBER(SEARCH("Conocer",$R701))+ISNUMBER(SEARCH("Aplicar",$R701))+ISNUMBER(SEARCH("Razonar",$R701))),0)</f>
        <v>0.5</v>
      </c>
      <c r="V701" s="8" t="s">
        <v>54</v>
      </c>
      <c r="W701" s="8" t="s">
        <v>69</v>
      </c>
    </row>
    <row r="702" customFormat="false" ht="15" hidden="false" customHeight="false" outlineLevel="0" collapsed="false">
      <c r="A702" s="8" t="s">
        <v>3266</v>
      </c>
      <c r="B702" s="8" t="n">
        <v>10</v>
      </c>
      <c r="C702" s="8" t="s">
        <v>91</v>
      </c>
      <c r="D702" s="8" t="s">
        <v>2909</v>
      </c>
      <c r="E702" s="8" t="s">
        <v>2910</v>
      </c>
      <c r="F702" s="8" t="n">
        <v>78</v>
      </c>
      <c r="G702" s="8" t="s">
        <v>3243</v>
      </c>
      <c r="H702" s="8" t="s">
        <v>3262</v>
      </c>
      <c r="I702" s="27" t="s">
        <v>3267</v>
      </c>
      <c r="J702" s="8" t="s">
        <v>291</v>
      </c>
      <c r="K702" s="8" t="s">
        <v>417</v>
      </c>
      <c r="L702" s="8"/>
      <c r="M702" s="8" t="str">
        <f aca="false">IF(K702="FUERA","Fuera del marco",IF(K702="N/A","Sin marco",IFERROR(INDEX(Catalogo_TIMSS!$C$5:$C$105,MATCH(K702,Catalogo_TIMSS!$A$5:$A$105,0)),"Pendiente de clasificar")))</f>
        <v>Fuera del marco</v>
      </c>
      <c r="N702" s="8" t="str">
        <f aca="false">IF(K702="FUERA","Fuera del marco",IF(K702="N/A","Sin marco",IFERROR(INDEX(Catalogo_TIMSS!$F$5:$F$105,MATCH(K702,Catalogo_TIMSS!$A$5:$A$105,0)),"Pendiente de clasificar")))</f>
        <v>Fuera del marco</v>
      </c>
      <c r="O702" s="8" t="str">
        <f aca="false">IF(L702="","",IFERROR(INDEX(Catalogo_TIMSS!$C$5:$C$105,MATCH(L702,Catalogo_TIMSS!$A$5:$A$105,0)),"?"))</f>
        <v/>
      </c>
      <c r="P702" s="8" t="s">
        <v>460</v>
      </c>
      <c r="Q702" s="27" t="s">
        <v>3268</v>
      </c>
      <c r="R702" s="27" t="s">
        <v>3269</v>
      </c>
      <c r="S702" s="28" t="n">
        <f aca="false">IFERROR(ISNUMBER(SEARCH("Conocer",$R702))/(ISNUMBER(SEARCH("Conocer",$R702))+ISNUMBER(SEARCH("Aplicar",$R702))+ISNUMBER(SEARCH("Razonar",$R702))),0)</f>
        <v>0</v>
      </c>
      <c r="T702" s="28" t="n">
        <f aca="false">IFERROR(ISNUMBER(SEARCH("Aplicar",$R702))/(ISNUMBER(SEARCH("Conocer",$R702))+ISNUMBER(SEARCH("Aplicar",$R702))+ISNUMBER(SEARCH("Razonar",$R702))),0)</f>
        <v>0.5</v>
      </c>
      <c r="U702" s="28" t="n">
        <f aca="false">IFERROR(ISNUMBER(SEARCH("Razonar",$R702))/(ISNUMBER(SEARCH("Conocer",$R702))+ISNUMBER(SEARCH("Aplicar",$R702))+ISNUMBER(SEARCH("Razonar",$R702))),0)</f>
        <v>0.5</v>
      </c>
      <c r="V702" s="8" t="s">
        <v>54</v>
      </c>
      <c r="W702" s="8" t="s">
        <v>69</v>
      </c>
    </row>
    <row r="703" customFormat="false" ht="15" hidden="false" customHeight="false" outlineLevel="0" collapsed="false">
      <c r="A703" s="8" t="s">
        <v>3270</v>
      </c>
      <c r="B703" s="8" t="n">
        <v>10</v>
      </c>
      <c r="C703" s="8" t="s">
        <v>91</v>
      </c>
      <c r="D703" s="8" t="s">
        <v>2909</v>
      </c>
      <c r="E703" s="8" t="s">
        <v>2910</v>
      </c>
      <c r="F703" s="8" t="n">
        <v>79</v>
      </c>
      <c r="G703" s="8" t="s">
        <v>3243</v>
      </c>
      <c r="H703" s="8" t="s">
        <v>3271</v>
      </c>
      <c r="I703" s="27" t="s">
        <v>3272</v>
      </c>
      <c r="J703" s="8" t="s">
        <v>291</v>
      </c>
      <c r="K703" s="8" t="s">
        <v>417</v>
      </c>
      <c r="L703" s="8"/>
      <c r="M703" s="8" t="str">
        <f aca="false">IF(K703="FUERA","Fuera del marco",IF(K703="N/A","Sin marco",IFERROR(INDEX(Catalogo_TIMSS!$C$5:$C$105,MATCH(K703,Catalogo_TIMSS!$A$5:$A$105,0)),"Pendiente de clasificar")))</f>
        <v>Fuera del marco</v>
      </c>
      <c r="N703" s="8" t="str">
        <f aca="false">IF(K703="FUERA","Fuera del marco",IF(K703="N/A","Sin marco",IFERROR(INDEX(Catalogo_TIMSS!$F$5:$F$105,MATCH(K703,Catalogo_TIMSS!$A$5:$A$105,0)),"Pendiente de clasificar")))</f>
        <v>Fuera del marco</v>
      </c>
      <c r="O703" s="8" t="str">
        <f aca="false">IF(L703="","",IFERROR(INDEX(Catalogo_TIMSS!$C$5:$C$105,MATCH(L703,Catalogo_TIMSS!$A$5:$A$105,0)),"?"))</f>
        <v/>
      </c>
      <c r="P703" s="8" t="s">
        <v>418</v>
      </c>
      <c r="Q703" s="27" t="s">
        <v>3273</v>
      </c>
      <c r="R703" s="27" t="s">
        <v>3274</v>
      </c>
      <c r="S703" s="28" t="n">
        <f aca="false">IFERROR(ISNUMBER(SEARCH("Conocer",$R703))/(ISNUMBER(SEARCH("Conocer",$R703))+ISNUMBER(SEARCH("Aplicar",$R703))+ISNUMBER(SEARCH("Razonar",$R703))),0)</f>
        <v>0</v>
      </c>
      <c r="T703" s="28" t="n">
        <f aca="false">IFERROR(ISNUMBER(SEARCH("Aplicar",$R703))/(ISNUMBER(SEARCH("Conocer",$R703))+ISNUMBER(SEARCH("Aplicar",$R703))+ISNUMBER(SEARCH("Razonar",$R703))),0)</f>
        <v>0.5</v>
      </c>
      <c r="U703" s="28" t="n">
        <f aca="false">IFERROR(ISNUMBER(SEARCH("Razonar",$R703))/(ISNUMBER(SEARCH("Conocer",$R703))+ISNUMBER(SEARCH("Aplicar",$R703))+ISNUMBER(SEARCH("Razonar",$R703))),0)</f>
        <v>0.5</v>
      </c>
      <c r="V703" s="8" t="s">
        <v>54</v>
      </c>
      <c r="W703" s="8" t="s">
        <v>69</v>
      </c>
    </row>
    <row r="704" customFormat="false" ht="15" hidden="false" customHeight="false" outlineLevel="0" collapsed="false">
      <c r="A704" s="8" t="s">
        <v>3275</v>
      </c>
      <c r="B704" s="8" t="n">
        <v>10</v>
      </c>
      <c r="C704" s="8" t="s">
        <v>91</v>
      </c>
      <c r="D704" s="8" t="s">
        <v>2909</v>
      </c>
      <c r="E704" s="8" t="s">
        <v>2910</v>
      </c>
      <c r="F704" s="8" t="n">
        <v>80</v>
      </c>
      <c r="G704" s="8" t="s">
        <v>3243</v>
      </c>
      <c r="H704" s="8" t="s">
        <v>3271</v>
      </c>
      <c r="I704" s="27" t="s">
        <v>3276</v>
      </c>
      <c r="J704" s="8" t="s">
        <v>291</v>
      </c>
      <c r="K704" s="8" t="s">
        <v>417</v>
      </c>
      <c r="L704" s="8"/>
      <c r="M704" s="8" t="str">
        <f aca="false">IF(K704="FUERA","Fuera del marco",IF(K704="N/A","Sin marco",IFERROR(INDEX(Catalogo_TIMSS!$C$5:$C$105,MATCH(K704,Catalogo_TIMSS!$A$5:$A$105,0)),"Pendiente de clasificar")))</f>
        <v>Fuera del marco</v>
      </c>
      <c r="N704" s="8" t="str">
        <f aca="false">IF(K704="FUERA","Fuera del marco",IF(K704="N/A","Sin marco",IFERROR(INDEX(Catalogo_TIMSS!$F$5:$F$105,MATCH(K704,Catalogo_TIMSS!$A$5:$A$105,0)),"Pendiente de clasificar")))</f>
        <v>Fuera del marco</v>
      </c>
      <c r="O704" s="8" t="str">
        <f aca="false">IF(L704="","",IFERROR(INDEX(Catalogo_TIMSS!$C$5:$C$105,MATCH(L704,Catalogo_TIMSS!$A$5:$A$105,0)),"?"))</f>
        <v/>
      </c>
      <c r="P704" s="8" t="s">
        <v>418</v>
      </c>
      <c r="Q704" s="27" t="s">
        <v>3277</v>
      </c>
      <c r="R704" s="27" t="s">
        <v>3278</v>
      </c>
      <c r="S704" s="28" t="n">
        <f aca="false">IFERROR(ISNUMBER(SEARCH("Conocer",$R704))/(ISNUMBER(SEARCH("Conocer",$R704))+ISNUMBER(SEARCH("Aplicar",$R704))+ISNUMBER(SEARCH("Razonar",$R704))),0)</f>
        <v>0</v>
      </c>
      <c r="T704" s="28" t="n">
        <f aca="false">IFERROR(ISNUMBER(SEARCH("Aplicar",$R704))/(ISNUMBER(SEARCH("Conocer",$R704))+ISNUMBER(SEARCH("Aplicar",$R704))+ISNUMBER(SEARCH("Razonar",$R704))),0)</f>
        <v>0.5</v>
      </c>
      <c r="U704" s="28" t="n">
        <f aca="false">IFERROR(ISNUMBER(SEARCH("Razonar",$R704))/(ISNUMBER(SEARCH("Conocer",$R704))+ISNUMBER(SEARCH("Aplicar",$R704))+ISNUMBER(SEARCH("Razonar",$R704))),0)</f>
        <v>0.5</v>
      </c>
      <c r="V704" s="8" t="s">
        <v>54</v>
      </c>
      <c r="W704" s="8" t="s">
        <v>69</v>
      </c>
    </row>
    <row r="705" customFormat="false" ht="15" hidden="false" customHeight="false" outlineLevel="0" collapsed="false">
      <c r="A705" s="8" t="s">
        <v>3279</v>
      </c>
      <c r="B705" s="8" t="n">
        <v>10</v>
      </c>
      <c r="C705" s="8" t="s">
        <v>91</v>
      </c>
      <c r="D705" s="8" t="s">
        <v>2909</v>
      </c>
      <c r="E705" s="8" t="s">
        <v>2910</v>
      </c>
      <c r="F705" s="8" t="n">
        <v>81</v>
      </c>
      <c r="G705" s="8" t="s">
        <v>3243</v>
      </c>
      <c r="H705" s="8" t="s">
        <v>3280</v>
      </c>
      <c r="I705" s="27" t="s">
        <v>3281</v>
      </c>
      <c r="J705" s="8" t="s">
        <v>291</v>
      </c>
      <c r="K705" s="8" t="s">
        <v>417</v>
      </c>
      <c r="L705" s="8"/>
      <c r="M705" s="8" t="str">
        <f aca="false">IF(K705="FUERA","Fuera del marco",IF(K705="N/A","Sin marco",IFERROR(INDEX(Catalogo_TIMSS!$C$5:$C$105,MATCH(K705,Catalogo_TIMSS!$A$5:$A$105,0)),"Pendiente de clasificar")))</f>
        <v>Fuera del marco</v>
      </c>
      <c r="N705" s="8" t="str">
        <f aca="false">IF(K705="FUERA","Fuera del marco",IF(K705="N/A","Sin marco",IFERROR(INDEX(Catalogo_TIMSS!$F$5:$F$105,MATCH(K705,Catalogo_TIMSS!$A$5:$A$105,0)),"Pendiente de clasificar")))</f>
        <v>Fuera del marco</v>
      </c>
      <c r="O705" s="8" t="str">
        <f aca="false">IF(L705="","",IFERROR(INDEX(Catalogo_TIMSS!$C$5:$C$105,MATCH(L705,Catalogo_TIMSS!$A$5:$A$105,0)),"?"))</f>
        <v/>
      </c>
      <c r="P705" s="8" t="s">
        <v>460</v>
      </c>
      <c r="Q705" s="27" t="s">
        <v>3282</v>
      </c>
      <c r="R705" s="27" t="s">
        <v>3283</v>
      </c>
      <c r="S705" s="28" t="n">
        <f aca="false">IFERROR(ISNUMBER(SEARCH("Conocer",$R705))/(ISNUMBER(SEARCH("Conocer",$R705))+ISNUMBER(SEARCH("Aplicar",$R705))+ISNUMBER(SEARCH("Razonar",$R705))),0)</f>
        <v>0</v>
      </c>
      <c r="T705" s="28" t="n">
        <f aca="false">IFERROR(ISNUMBER(SEARCH("Aplicar",$R705))/(ISNUMBER(SEARCH("Conocer",$R705))+ISNUMBER(SEARCH("Aplicar",$R705))+ISNUMBER(SEARCH("Razonar",$R705))),0)</f>
        <v>0.5</v>
      </c>
      <c r="U705" s="28" t="n">
        <f aca="false">IFERROR(ISNUMBER(SEARCH("Razonar",$R705))/(ISNUMBER(SEARCH("Conocer",$R705))+ISNUMBER(SEARCH("Aplicar",$R705))+ISNUMBER(SEARCH("Razonar",$R705))),0)</f>
        <v>0.5</v>
      </c>
      <c r="V705" s="8" t="s">
        <v>54</v>
      </c>
      <c r="W705" s="8" t="s">
        <v>69</v>
      </c>
    </row>
    <row r="706" customFormat="false" ht="15" hidden="false" customHeight="false" outlineLevel="0" collapsed="false">
      <c r="A706" s="8" t="s">
        <v>3284</v>
      </c>
      <c r="B706" s="8" t="n">
        <v>10</v>
      </c>
      <c r="C706" s="8" t="s">
        <v>91</v>
      </c>
      <c r="D706" s="8" t="s">
        <v>2909</v>
      </c>
      <c r="E706" s="8" t="s">
        <v>2910</v>
      </c>
      <c r="F706" s="8" t="n">
        <v>82</v>
      </c>
      <c r="G706" s="8" t="s">
        <v>3243</v>
      </c>
      <c r="H706" s="8" t="s">
        <v>3280</v>
      </c>
      <c r="I706" s="27" t="s">
        <v>3285</v>
      </c>
      <c r="J706" s="8" t="s">
        <v>291</v>
      </c>
      <c r="K706" s="8" t="s">
        <v>417</v>
      </c>
      <c r="L706" s="8"/>
      <c r="M706" s="8" t="str">
        <f aca="false">IF(K706="FUERA","Fuera del marco",IF(K706="N/A","Sin marco",IFERROR(INDEX(Catalogo_TIMSS!$C$5:$C$105,MATCH(K706,Catalogo_TIMSS!$A$5:$A$105,0)),"Pendiente de clasificar")))</f>
        <v>Fuera del marco</v>
      </c>
      <c r="N706" s="8" t="str">
        <f aca="false">IF(K706="FUERA","Fuera del marco",IF(K706="N/A","Sin marco",IFERROR(INDEX(Catalogo_TIMSS!$F$5:$F$105,MATCH(K706,Catalogo_TIMSS!$A$5:$A$105,0)),"Pendiente de clasificar")))</f>
        <v>Fuera del marco</v>
      </c>
      <c r="O706" s="8" t="str">
        <f aca="false">IF(L706="","",IFERROR(INDEX(Catalogo_TIMSS!$C$5:$C$105,MATCH(L706,Catalogo_TIMSS!$A$5:$A$105,0)),"?"))</f>
        <v/>
      </c>
      <c r="P706" s="8" t="s">
        <v>418</v>
      </c>
      <c r="Q706" s="27" t="s">
        <v>3286</v>
      </c>
      <c r="R706" s="27" t="s">
        <v>3287</v>
      </c>
      <c r="S706" s="28" t="n">
        <f aca="false">IFERROR(ISNUMBER(SEARCH("Conocer",$R706))/(ISNUMBER(SEARCH("Conocer",$R706))+ISNUMBER(SEARCH("Aplicar",$R706))+ISNUMBER(SEARCH("Razonar",$R706))),0)</f>
        <v>0</v>
      </c>
      <c r="T706" s="28" t="n">
        <f aca="false">IFERROR(ISNUMBER(SEARCH("Aplicar",$R706))/(ISNUMBER(SEARCH("Conocer",$R706))+ISNUMBER(SEARCH("Aplicar",$R706))+ISNUMBER(SEARCH("Razonar",$R706))),0)</f>
        <v>0.5</v>
      </c>
      <c r="U706" s="28" t="n">
        <f aca="false">IFERROR(ISNUMBER(SEARCH("Razonar",$R706))/(ISNUMBER(SEARCH("Conocer",$R706))+ISNUMBER(SEARCH("Aplicar",$R706))+ISNUMBER(SEARCH("Razonar",$R706))),0)</f>
        <v>0.5</v>
      </c>
      <c r="V706" s="8" t="s">
        <v>54</v>
      </c>
      <c r="W706" s="8" t="s">
        <v>69</v>
      </c>
    </row>
    <row r="707" customFormat="false" ht="15" hidden="false" customHeight="false" outlineLevel="0" collapsed="false">
      <c r="A707" s="8" t="s">
        <v>3288</v>
      </c>
      <c r="B707" s="8" t="n">
        <v>10</v>
      </c>
      <c r="C707" s="8" t="s">
        <v>91</v>
      </c>
      <c r="D707" s="8" t="s">
        <v>2909</v>
      </c>
      <c r="E707" s="8" t="s">
        <v>2910</v>
      </c>
      <c r="F707" s="8" t="n">
        <v>83</v>
      </c>
      <c r="G707" s="8" t="s">
        <v>3243</v>
      </c>
      <c r="H707" s="8" t="s">
        <v>3289</v>
      </c>
      <c r="I707" s="27" t="s">
        <v>3290</v>
      </c>
      <c r="J707" s="8" t="s">
        <v>291</v>
      </c>
      <c r="K707" s="8" t="s">
        <v>417</v>
      </c>
      <c r="L707" s="8"/>
      <c r="M707" s="8" t="str">
        <f aca="false">IF(K707="FUERA","Fuera del marco",IF(K707="N/A","Sin marco",IFERROR(INDEX(Catalogo_TIMSS!$C$5:$C$105,MATCH(K707,Catalogo_TIMSS!$A$5:$A$105,0)),"Pendiente de clasificar")))</f>
        <v>Fuera del marco</v>
      </c>
      <c r="N707" s="8" t="str">
        <f aca="false">IF(K707="FUERA","Fuera del marco",IF(K707="N/A","Sin marco",IFERROR(INDEX(Catalogo_TIMSS!$F$5:$F$105,MATCH(K707,Catalogo_TIMSS!$A$5:$A$105,0)),"Pendiente de clasificar")))</f>
        <v>Fuera del marco</v>
      </c>
      <c r="O707" s="8" t="str">
        <f aca="false">IF(L707="","",IFERROR(INDEX(Catalogo_TIMSS!$C$5:$C$105,MATCH(L707,Catalogo_TIMSS!$A$5:$A$105,0)),"?"))</f>
        <v/>
      </c>
      <c r="P707" s="8" t="s">
        <v>418</v>
      </c>
      <c r="Q707" s="27" t="s">
        <v>3291</v>
      </c>
      <c r="R707" s="27" t="s">
        <v>3292</v>
      </c>
      <c r="S707" s="28" t="n">
        <f aca="false">IFERROR(ISNUMBER(SEARCH("Conocer",$R707))/(ISNUMBER(SEARCH("Conocer",$R707))+ISNUMBER(SEARCH("Aplicar",$R707))+ISNUMBER(SEARCH("Razonar",$R707))),0)</f>
        <v>0</v>
      </c>
      <c r="T707" s="28" t="n">
        <f aca="false">IFERROR(ISNUMBER(SEARCH("Aplicar",$R707))/(ISNUMBER(SEARCH("Conocer",$R707))+ISNUMBER(SEARCH("Aplicar",$R707))+ISNUMBER(SEARCH("Razonar",$R707))),0)</f>
        <v>0.5</v>
      </c>
      <c r="U707" s="28" t="n">
        <f aca="false">IFERROR(ISNUMBER(SEARCH("Razonar",$R707))/(ISNUMBER(SEARCH("Conocer",$R707))+ISNUMBER(SEARCH("Aplicar",$R707))+ISNUMBER(SEARCH("Razonar",$R707))),0)</f>
        <v>0.5</v>
      </c>
      <c r="V707" s="8" t="s">
        <v>54</v>
      </c>
      <c r="W707" s="8" t="s">
        <v>69</v>
      </c>
    </row>
    <row r="708" customFormat="false" ht="15" hidden="false" customHeight="false" outlineLevel="0" collapsed="false">
      <c r="A708" s="8" t="s">
        <v>3293</v>
      </c>
      <c r="B708" s="8" t="n">
        <v>10</v>
      </c>
      <c r="C708" s="8" t="s">
        <v>91</v>
      </c>
      <c r="D708" s="8" t="s">
        <v>2909</v>
      </c>
      <c r="E708" s="8" t="s">
        <v>2910</v>
      </c>
      <c r="F708" s="8" t="n">
        <v>84</v>
      </c>
      <c r="G708" s="8" t="s">
        <v>3294</v>
      </c>
      <c r="H708" s="8" t="s">
        <v>3295</v>
      </c>
      <c r="I708" s="27" t="s">
        <v>3296</v>
      </c>
      <c r="J708" s="8" t="s">
        <v>291</v>
      </c>
      <c r="K708" s="8" t="s">
        <v>417</v>
      </c>
      <c r="L708" s="8"/>
      <c r="M708" s="8" t="str">
        <f aca="false">IF(K708="FUERA","Fuera del marco",IF(K708="N/A","Sin marco",IFERROR(INDEX(Catalogo_TIMSS!$C$5:$C$105,MATCH(K708,Catalogo_TIMSS!$A$5:$A$105,0)),"Pendiente de clasificar")))</f>
        <v>Fuera del marco</v>
      </c>
      <c r="N708" s="8" t="str">
        <f aca="false">IF(K708="FUERA","Fuera del marco",IF(K708="N/A","Sin marco",IFERROR(INDEX(Catalogo_TIMSS!$F$5:$F$105,MATCH(K708,Catalogo_TIMSS!$A$5:$A$105,0)),"Pendiente de clasificar")))</f>
        <v>Fuera del marco</v>
      </c>
      <c r="O708" s="8" t="str">
        <f aca="false">IF(L708="","",IFERROR(INDEX(Catalogo_TIMSS!$C$5:$C$105,MATCH(L708,Catalogo_TIMSS!$A$5:$A$105,0)),"?"))</f>
        <v/>
      </c>
      <c r="P708" s="8" t="s">
        <v>460</v>
      </c>
      <c r="Q708" s="27" t="s">
        <v>3297</v>
      </c>
      <c r="R708" s="27" t="s">
        <v>3298</v>
      </c>
      <c r="S708" s="28" t="n">
        <f aca="false">IFERROR(ISNUMBER(SEARCH("Conocer",$R708))/(ISNUMBER(SEARCH("Conocer",$R708))+ISNUMBER(SEARCH("Aplicar",$R708))+ISNUMBER(SEARCH("Razonar",$R708))),0)</f>
        <v>0</v>
      </c>
      <c r="T708" s="28" t="n">
        <f aca="false">IFERROR(ISNUMBER(SEARCH("Aplicar",$R708))/(ISNUMBER(SEARCH("Conocer",$R708))+ISNUMBER(SEARCH("Aplicar",$R708))+ISNUMBER(SEARCH("Razonar",$R708))),0)</f>
        <v>0.5</v>
      </c>
      <c r="U708" s="28" t="n">
        <f aca="false">IFERROR(ISNUMBER(SEARCH("Razonar",$R708))/(ISNUMBER(SEARCH("Conocer",$R708))+ISNUMBER(SEARCH("Aplicar",$R708))+ISNUMBER(SEARCH("Razonar",$R708))),0)</f>
        <v>0.5</v>
      </c>
      <c r="V708" s="8" t="s">
        <v>54</v>
      </c>
      <c r="W708" s="8" t="s">
        <v>69</v>
      </c>
    </row>
    <row r="709" customFormat="false" ht="15" hidden="false" customHeight="false" outlineLevel="0" collapsed="false">
      <c r="A709" s="8" t="s">
        <v>3299</v>
      </c>
      <c r="B709" s="8" t="n">
        <v>10</v>
      </c>
      <c r="C709" s="8" t="s">
        <v>91</v>
      </c>
      <c r="D709" s="8" t="s">
        <v>2909</v>
      </c>
      <c r="E709" s="8" t="s">
        <v>2910</v>
      </c>
      <c r="F709" s="8" t="n">
        <v>85</v>
      </c>
      <c r="G709" s="8" t="s">
        <v>3294</v>
      </c>
      <c r="H709" s="8" t="s">
        <v>3295</v>
      </c>
      <c r="I709" s="27" t="s">
        <v>3300</v>
      </c>
      <c r="J709" s="8" t="s">
        <v>291</v>
      </c>
      <c r="K709" s="8" t="s">
        <v>309</v>
      </c>
      <c r="L709" s="8"/>
      <c r="M709" s="8" t="str">
        <f aca="false">IF(K709="FUERA","Fuera del marco",IF(K709="N/A","Sin marco",IFERROR(INDEX(Catalogo_TIMSS!$C$5:$C$105,MATCH(K709,Catalogo_TIMSS!$A$5:$A$105,0)),"Pendiente de clasificar")))</f>
        <v>Mecánica y termodinámica</v>
      </c>
      <c r="N709" s="8" t="str">
        <f aca="false">IF(K709="FUERA","Fuera del marco",IF(K709="N/A","Sin marco",IFERROR(INDEX(Catalogo_TIMSS!$F$5:$F$105,MATCH(K709,Catalogo_TIMSS!$A$5:$A$105,0)),"Pendiente de clasificar")))</f>
        <v>Calor y temperatura</v>
      </c>
      <c r="O709" s="8" t="str">
        <f aca="false">IF(L709="","",IFERROR(INDEX(Catalogo_TIMSS!$C$5:$C$105,MATCH(L709,Catalogo_TIMSS!$A$5:$A$105,0)),"?"))</f>
        <v/>
      </c>
      <c r="P709" s="8" t="s">
        <v>460</v>
      </c>
      <c r="Q709" s="27" t="s">
        <v>3301</v>
      </c>
      <c r="R709" s="27" t="s">
        <v>3302</v>
      </c>
      <c r="S709" s="28" t="n">
        <f aca="false">IFERROR(ISNUMBER(SEARCH("Conocer",$R709))/(ISNUMBER(SEARCH("Conocer",$R709))+ISNUMBER(SEARCH("Aplicar",$R709))+ISNUMBER(SEARCH("Razonar",$R709))),0)</f>
        <v>0</v>
      </c>
      <c r="T709" s="28" t="n">
        <f aca="false">IFERROR(ISNUMBER(SEARCH("Aplicar",$R709))/(ISNUMBER(SEARCH("Conocer",$R709))+ISNUMBER(SEARCH("Aplicar",$R709))+ISNUMBER(SEARCH("Razonar",$R709))),0)</f>
        <v>0.5</v>
      </c>
      <c r="U709" s="28" t="n">
        <f aca="false">IFERROR(ISNUMBER(SEARCH("Razonar",$R709))/(ISNUMBER(SEARCH("Conocer",$R709))+ISNUMBER(SEARCH("Aplicar",$R709))+ISNUMBER(SEARCH("Razonar",$R709))),0)</f>
        <v>0.5</v>
      </c>
      <c r="V709" s="8" t="s">
        <v>54</v>
      </c>
      <c r="W709" s="8" t="s">
        <v>69</v>
      </c>
    </row>
    <row r="710" customFormat="false" ht="15" hidden="false" customHeight="false" outlineLevel="0" collapsed="false">
      <c r="A710" s="8" t="s">
        <v>3303</v>
      </c>
      <c r="B710" s="8" t="n">
        <v>10</v>
      </c>
      <c r="C710" s="8" t="s">
        <v>91</v>
      </c>
      <c r="D710" s="8" t="s">
        <v>2909</v>
      </c>
      <c r="E710" s="8" t="s">
        <v>2910</v>
      </c>
      <c r="F710" s="8" t="n">
        <v>86</v>
      </c>
      <c r="G710" s="8" t="s">
        <v>3294</v>
      </c>
      <c r="H710" s="8" t="s">
        <v>3295</v>
      </c>
      <c r="I710" s="27" t="s">
        <v>3304</v>
      </c>
      <c r="J710" s="8" t="s">
        <v>291</v>
      </c>
      <c r="K710" s="8" t="s">
        <v>306</v>
      </c>
      <c r="L710" s="8"/>
      <c r="M710" s="8" t="str">
        <f aca="false">IF(K710="FUERA","Fuera del marco",IF(K710="N/A","Sin marco",IFERROR(INDEX(Catalogo_TIMSS!$C$5:$C$105,MATCH(K710,Catalogo_TIMSS!$A$5:$A$105,0)),"Pendiente de clasificar")))</f>
        <v>Mecánica y termodinámica</v>
      </c>
      <c r="N710" s="8" t="str">
        <f aca="false">IF(K710="FUERA","Fuera del marco",IF(K710="N/A","Sin marco",IFERROR(INDEX(Catalogo_TIMSS!$F$5:$F$105,MATCH(K710,Catalogo_TIMSS!$A$5:$A$105,0)),"Pendiente de clasificar")))</f>
        <v>Calor y temperatura</v>
      </c>
      <c r="O710" s="8" t="str">
        <f aca="false">IF(L710="","",IFERROR(INDEX(Catalogo_TIMSS!$C$5:$C$105,MATCH(L710,Catalogo_TIMSS!$A$5:$A$105,0)),"?"))</f>
        <v/>
      </c>
      <c r="P710" s="8" t="s">
        <v>513</v>
      </c>
      <c r="Q710" s="27" t="s">
        <v>3305</v>
      </c>
      <c r="R710" s="27" t="s">
        <v>3306</v>
      </c>
      <c r="S710" s="28" t="n">
        <f aca="false">IFERROR(ISNUMBER(SEARCH("Conocer",$R710))/(ISNUMBER(SEARCH("Conocer",$R710))+ISNUMBER(SEARCH("Aplicar",$R710))+ISNUMBER(SEARCH("Razonar",$R710))),0)</f>
        <v>0.333333333333333</v>
      </c>
      <c r="T710" s="28" t="n">
        <f aca="false">IFERROR(ISNUMBER(SEARCH("Aplicar",$R710))/(ISNUMBER(SEARCH("Conocer",$R710))+ISNUMBER(SEARCH("Aplicar",$R710))+ISNUMBER(SEARCH("Razonar",$R710))),0)</f>
        <v>0.333333333333333</v>
      </c>
      <c r="U710" s="28" t="n">
        <f aca="false">IFERROR(ISNUMBER(SEARCH("Razonar",$R710))/(ISNUMBER(SEARCH("Conocer",$R710))+ISNUMBER(SEARCH("Aplicar",$R710))+ISNUMBER(SEARCH("Razonar",$R710))),0)</f>
        <v>0.333333333333333</v>
      </c>
      <c r="V710" s="8" t="s">
        <v>54</v>
      </c>
      <c r="W710" s="8" t="s">
        <v>69</v>
      </c>
    </row>
    <row r="711" customFormat="false" ht="15" hidden="false" customHeight="false" outlineLevel="0" collapsed="false">
      <c r="A711" s="8" t="s">
        <v>3307</v>
      </c>
      <c r="B711" s="8" t="n">
        <v>10</v>
      </c>
      <c r="C711" s="8" t="s">
        <v>91</v>
      </c>
      <c r="D711" s="8" t="s">
        <v>2909</v>
      </c>
      <c r="E711" s="8" t="s">
        <v>2910</v>
      </c>
      <c r="F711" s="8" t="n">
        <v>87</v>
      </c>
      <c r="G711" s="8" t="s">
        <v>3294</v>
      </c>
      <c r="H711" s="8" t="s">
        <v>3308</v>
      </c>
      <c r="I711" s="27" t="s">
        <v>3309</v>
      </c>
      <c r="J711" s="8" t="s">
        <v>291</v>
      </c>
      <c r="K711" s="8" t="s">
        <v>309</v>
      </c>
      <c r="L711" s="8"/>
      <c r="M711" s="8" t="str">
        <f aca="false">IF(K711="FUERA","Fuera del marco",IF(K711="N/A","Sin marco",IFERROR(INDEX(Catalogo_TIMSS!$C$5:$C$105,MATCH(K711,Catalogo_TIMSS!$A$5:$A$105,0)),"Pendiente de clasificar")))</f>
        <v>Mecánica y termodinámica</v>
      </c>
      <c r="N711" s="8" t="str">
        <f aca="false">IF(K711="FUERA","Fuera del marco",IF(K711="N/A","Sin marco",IFERROR(INDEX(Catalogo_TIMSS!$F$5:$F$105,MATCH(K711,Catalogo_TIMSS!$A$5:$A$105,0)),"Pendiente de clasificar")))</f>
        <v>Calor y temperatura</v>
      </c>
      <c r="O711" s="8" t="str">
        <f aca="false">IF(L711="","",IFERROR(INDEX(Catalogo_TIMSS!$C$5:$C$105,MATCH(L711,Catalogo_TIMSS!$A$5:$A$105,0)),"?"))</f>
        <v/>
      </c>
      <c r="P711" s="8" t="s">
        <v>418</v>
      </c>
      <c r="Q711" s="27" t="s">
        <v>3310</v>
      </c>
      <c r="R711" s="27" t="s">
        <v>3311</v>
      </c>
      <c r="S711" s="28" t="n">
        <f aca="false">IFERROR(ISNUMBER(SEARCH("Conocer",$R711))/(ISNUMBER(SEARCH("Conocer",$R711))+ISNUMBER(SEARCH("Aplicar",$R711))+ISNUMBER(SEARCH("Razonar",$R711))),0)</f>
        <v>0</v>
      </c>
      <c r="T711" s="28" t="n">
        <f aca="false">IFERROR(ISNUMBER(SEARCH("Aplicar",$R711))/(ISNUMBER(SEARCH("Conocer",$R711))+ISNUMBER(SEARCH("Aplicar",$R711))+ISNUMBER(SEARCH("Razonar",$R711))),0)</f>
        <v>0.5</v>
      </c>
      <c r="U711" s="28" t="n">
        <f aca="false">IFERROR(ISNUMBER(SEARCH("Razonar",$R711))/(ISNUMBER(SEARCH("Conocer",$R711))+ISNUMBER(SEARCH("Aplicar",$R711))+ISNUMBER(SEARCH("Razonar",$R711))),0)</f>
        <v>0.5</v>
      </c>
      <c r="V711" s="8" t="s">
        <v>54</v>
      </c>
      <c r="W711" s="8" t="s">
        <v>69</v>
      </c>
    </row>
    <row r="712" customFormat="false" ht="15" hidden="false" customHeight="false" outlineLevel="0" collapsed="false">
      <c r="A712" s="8" t="s">
        <v>3312</v>
      </c>
      <c r="B712" s="8" t="n">
        <v>10</v>
      </c>
      <c r="C712" s="8" t="s">
        <v>91</v>
      </c>
      <c r="D712" s="8" t="s">
        <v>2909</v>
      </c>
      <c r="E712" s="8" t="s">
        <v>2910</v>
      </c>
      <c r="F712" s="8" t="n">
        <v>88</v>
      </c>
      <c r="G712" s="8" t="s">
        <v>3294</v>
      </c>
      <c r="H712" s="8" t="s">
        <v>3308</v>
      </c>
      <c r="I712" s="27" t="s">
        <v>3313</v>
      </c>
      <c r="J712" s="8" t="s">
        <v>291</v>
      </c>
      <c r="K712" s="8" t="s">
        <v>309</v>
      </c>
      <c r="L712" s="8"/>
      <c r="M712" s="8" t="str">
        <f aca="false">IF(K712="FUERA","Fuera del marco",IF(K712="N/A","Sin marco",IFERROR(INDEX(Catalogo_TIMSS!$C$5:$C$105,MATCH(K712,Catalogo_TIMSS!$A$5:$A$105,0)),"Pendiente de clasificar")))</f>
        <v>Mecánica y termodinámica</v>
      </c>
      <c r="N712" s="8" t="str">
        <f aca="false">IF(K712="FUERA","Fuera del marco",IF(K712="N/A","Sin marco",IFERROR(INDEX(Catalogo_TIMSS!$F$5:$F$105,MATCH(K712,Catalogo_TIMSS!$A$5:$A$105,0)),"Pendiente de clasificar")))</f>
        <v>Calor y temperatura</v>
      </c>
      <c r="O712" s="8" t="str">
        <f aca="false">IF(L712="","",IFERROR(INDEX(Catalogo_TIMSS!$C$5:$C$105,MATCH(L712,Catalogo_TIMSS!$A$5:$A$105,0)),"?"))</f>
        <v/>
      </c>
      <c r="P712" s="8" t="s">
        <v>418</v>
      </c>
      <c r="Q712" s="27" t="s">
        <v>3314</v>
      </c>
      <c r="R712" s="27" t="s">
        <v>3315</v>
      </c>
      <c r="S712" s="28" t="n">
        <f aca="false">IFERROR(ISNUMBER(SEARCH("Conocer",$R712))/(ISNUMBER(SEARCH("Conocer",$R712))+ISNUMBER(SEARCH("Aplicar",$R712))+ISNUMBER(SEARCH("Razonar",$R712))),0)</f>
        <v>0</v>
      </c>
      <c r="T712" s="28" t="n">
        <f aca="false">IFERROR(ISNUMBER(SEARCH("Aplicar",$R712))/(ISNUMBER(SEARCH("Conocer",$R712))+ISNUMBER(SEARCH("Aplicar",$R712))+ISNUMBER(SEARCH("Razonar",$R712))),0)</f>
        <v>0.5</v>
      </c>
      <c r="U712" s="28" t="n">
        <f aca="false">IFERROR(ISNUMBER(SEARCH("Razonar",$R712))/(ISNUMBER(SEARCH("Conocer",$R712))+ISNUMBER(SEARCH("Aplicar",$R712))+ISNUMBER(SEARCH("Razonar",$R712))),0)</f>
        <v>0.5</v>
      </c>
      <c r="V712" s="8" t="s">
        <v>54</v>
      </c>
      <c r="W712" s="8" t="s">
        <v>69</v>
      </c>
    </row>
    <row r="713" customFormat="false" ht="15" hidden="false" customHeight="false" outlineLevel="0" collapsed="false">
      <c r="A713" s="8" t="s">
        <v>3316</v>
      </c>
      <c r="B713" s="8" t="n">
        <v>10</v>
      </c>
      <c r="C713" s="8" t="s">
        <v>91</v>
      </c>
      <c r="D713" s="8" t="s">
        <v>2909</v>
      </c>
      <c r="E713" s="8" t="s">
        <v>2910</v>
      </c>
      <c r="F713" s="8" t="n">
        <v>89</v>
      </c>
      <c r="G713" s="8" t="s">
        <v>3294</v>
      </c>
      <c r="H713" s="8" t="s">
        <v>3317</v>
      </c>
      <c r="I713" s="27" t="s">
        <v>3318</v>
      </c>
      <c r="J713" s="8" t="s">
        <v>291</v>
      </c>
      <c r="K713" s="8" t="s">
        <v>306</v>
      </c>
      <c r="L713" s="8" t="s">
        <v>304</v>
      </c>
      <c r="M713" s="8" t="str">
        <f aca="false">IF(K713="FUERA","Fuera del marco",IF(K713="N/A","Sin marco",IFERROR(INDEX(Catalogo_TIMSS!$C$5:$C$105,MATCH(K713,Catalogo_TIMSS!$A$5:$A$105,0)),"Pendiente de clasificar")))</f>
        <v>Mecánica y termodinámica</v>
      </c>
      <c r="N713" s="8" t="str">
        <f aca="false">IF(K713="FUERA","Fuera del marco",IF(K713="N/A","Sin marco",IFERROR(INDEX(Catalogo_TIMSS!$F$5:$F$105,MATCH(K713,Catalogo_TIMSS!$A$5:$A$105,0)),"Pendiente de clasificar")))</f>
        <v>Calor y temperatura</v>
      </c>
      <c r="O713" s="8" t="str">
        <f aca="false">IF(L713="","",IFERROR(INDEX(Catalogo_TIMSS!$C$5:$C$105,MATCH(L713,Catalogo_TIMSS!$A$5:$A$105,0)),"?"))</f>
        <v>Mecánica y termodinámica</v>
      </c>
      <c r="P713" s="8" t="s">
        <v>460</v>
      </c>
      <c r="Q713" s="27" t="s">
        <v>3319</v>
      </c>
      <c r="R713" s="27" t="s">
        <v>3320</v>
      </c>
      <c r="S713" s="28" t="n">
        <f aca="false">IFERROR(ISNUMBER(SEARCH("Conocer",$R713))/(ISNUMBER(SEARCH("Conocer",$R713))+ISNUMBER(SEARCH("Aplicar",$R713))+ISNUMBER(SEARCH("Razonar",$R713))),0)</f>
        <v>0.5</v>
      </c>
      <c r="T713" s="28" t="n">
        <f aca="false">IFERROR(ISNUMBER(SEARCH("Aplicar",$R713))/(ISNUMBER(SEARCH("Conocer",$R713))+ISNUMBER(SEARCH("Aplicar",$R713))+ISNUMBER(SEARCH("Razonar",$R713))),0)</f>
        <v>0</v>
      </c>
      <c r="U713" s="28" t="n">
        <f aca="false">IFERROR(ISNUMBER(SEARCH("Razonar",$R713))/(ISNUMBER(SEARCH("Conocer",$R713))+ISNUMBER(SEARCH("Aplicar",$R713))+ISNUMBER(SEARCH("Razonar",$R713))),0)</f>
        <v>0.5</v>
      </c>
      <c r="V713" s="8" t="s">
        <v>54</v>
      </c>
      <c r="W713" s="8" t="s">
        <v>69</v>
      </c>
    </row>
    <row r="714" customFormat="false" ht="15" hidden="false" customHeight="false" outlineLevel="0" collapsed="false">
      <c r="A714" s="8" t="s">
        <v>3321</v>
      </c>
      <c r="B714" s="8" t="n">
        <v>10</v>
      </c>
      <c r="C714" s="8" t="s">
        <v>91</v>
      </c>
      <c r="D714" s="8" t="s">
        <v>2909</v>
      </c>
      <c r="E714" s="8" t="s">
        <v>2910</v>
      </c>
      <c r="F714" s="8" t="n">
        <v>90</v>
      </c>
      <c r="G714" s="8" t="s">
        <v>3294</v>
      </c>
      <c r="H714" s="8" t="s">
        <v>3322</v>
      </c>
      <c r="I714" s="27" t="s">
        <v>3323</v>
      </c>
      <c r="J714" s="8" t="s">
        <v>291</v>
      </c>
      <c r="K714" s="8" t="s">
        <v>306</v>
      </c>
      <c r="L714" s="8"/>
      <c r="M714" s="8" t="str">
        <f aca="false">IF(K714="FUERA","Fuera del marco",IF(K714="N/A","Sin marco",IFERROR(INDEX(Catalogo_TIMSS!$C$5:$C$105,MATCH(K714,Catalogo_TIMSS!$A$5:$A$105,0)),"Pendiente de clasificar")))</f>
        <v>Mecánica y termodinámica</v>
      </c>
      <c r="N714" s="8" t="str">
        <f aca="false">IF(K714="FUERA","Fuera del marco",IF(K714="N/A","Sin marco",IFERROR(INDEX(Catalogo_TIMSS!$F$5:$F$105,MATCH(K714,Catalogo_TIMSS!$A$5:$A$105,0)),"Pendiente de clasificar")))</f>
        <v>Calor y temperatura</v>
      </c>
      <c r="O714" s="8" t="str">
        <f aca="false">IF(L714="","",IFERROR(INDEX(Catalogo_TIMSS!$C$5:$C$105,MATCH(L714,Catalogo_TIMSS!$A$5:$A$105,0)),"?"))</f>
        <v/>
      </c>
      <c r="P714" s="8" t="s">
        <v>418</v>
      </c>
      <c r="Q714" s="27" t="s">
        <v>3324</v>
      </c>
      <c r="R714" s="27" t="s">
        <v>3325</v>
      </c>
      <c r="S714" s="28" t="n">
        <f aca="false">IFERROR(ISNUMBER(SEARCH("Conocer",$R714))/(ISNUMBER(SEARCH("Conocer",$R714))+ISNUMBER(SEARCH("Aplicar",$R714))+ISNUMBER(SEARCH("Razonar",$R714))),0)</f>
        <v>0</v>
      </c>
      <c r="T714" s="28" t="n">
        <f aca="false">IFERROR(ISNUMBER(SEARCH("Aplicar",$R714))/(ISNUMBER(SEARCH("Conocer",$R714))+ISNUMBER(SEARCH("Aplicar",$R714))+ISNUMBER(SEARCH("Razonar",$R714))),0)</f>
        <v>0.5</v>
      </c>
      <c r="U714" s="28" t="n">
        <f aca="false">IFERROR(ISNUMBER(SEARCH("Razonar",$R714))/(ISNUMBER(SEARCH("Conocer",$R714))+ISNUMBER(SEARCH("Aplicar",$R714))+ISNUMBER(SEARCH("Razonar",$R714))),0)</f>
        <v>0.5</v>
      </c>
      <c r="V714" s="8" t="s">
        <v>54</v>
      </c>
      <c r="W714" s="8" t="s">
        <v>69</v>
      </c>
    </row>
    <row r="715" customFormat="false" ht="15" hidden="false" customHeight="false" outlineLevel="0" collapsed="false">
      <c r="A715" s="8" t="s">
        <v>3326</v>
      </c>
      <c r="B715" s="8" t="n">
        <v>10</v>
      </c>
      <c r="C715" s="8" t="s">
        <v>91</v>
      </c>
      <c r="D715" s="8" t="s">
        <v>2909</v>
      </c>
      <c r="E715" s="8" t="s">
        <v>2910</v>
      </c>
      <c r="F715" s="8" t="n">
        <v>91</v>
      </c>
      <c r="G715" s="8" t="s">
        <v>3294</v>
      </c>
      <c r="H715" s="8" t="s">
        <v>3322</v>
      </c>
      <c r="I715" s="27" t="s">
        <v>3327</v>
      </c>
      <c r="J715" s="8" t="s">
        <v>291</v>
      </c>
      <c r="K715" s="8" t="s">
        <v>306</v>
      </c>
      <c r="L715" s="8"/>
      <c r="M715" s="8" t="str">
        <f aca="false">IF(K715="FUERA","Fuera del marco",IF(K715="N/A","Sin marco",IFERROR(INDEX(Catalogo_TIMSS!$C$5:$C$105,MATCH(K715,Catalogo_TIMSS!$A$5:$A$105,0)),"Pendiente de clasificar")))</f>
        <v>Mecánica y termodinámica</v>
      </c>
      <c r="N715" s="8" t="str">
        <f aca="false">IF(K715="FUERA","Fuera del marco",IF(K715="N/A","Sin marco",IFERROR(INDEX(Catalogo_TIMSS!$F$5:$F$105,MATCH(K715,Catalogo_TIMSS!$A$5:$A$105,0)),"Pendiente de clasificar")))</f>
        <v>Calor y temperatura</v>
      </c>
      <c r="O715" s="8" t="str">
        <f aca="false">IF(L715="","",IFERROR(INDEX(Catalogo_TIMSS!$C$5:$C$105,MATCH(L715,Catalogo_TIMSS!$A$5:$A$105,0)),"?"))</f>
        <v/>
      </c>
      <c r="P715" s="8" t="s">
        <v>418</v>
      </c>
      <c r="Q715" s="27" t="s">
        <v>3328</v>
      </c>
      <c r="R715" s="27" t="s">
        <v>3329</v>
      </c>
      <c r="S715" s="28" t="n">
        <f aca="false">IFERROR(ISNUMBER(SEARCH("Conocer",$R715))/(ISNUMBER(SEARCH("Conocer",$R715))+ISNUMBER(SEARCH("Aplicar",$R715))+ISNUMBER(SEARCH("Razonar",$R715))),0)</f>
        <v>0</v>
      </c>
      <c r="T715" s="28" t="n">
        <f aca="false">IFERROR(ISNUMBER(SEARCH("Aplicar",$R715))/(ISNUMBER(SEARCH("Conocer",$R715))+ISNUMBER(SEARCH("Aplicar",$R715))+ISNUMBER(SEARCH("Razonar",$R715))),0)</f>
        <v>0.5</v>
      </c>
      <c r="U715" s="28" t="n">
        <f aca="false">IFERROR(ISNUMBER(SEARCH("Razonar",$R715))/(ISNUMBER(SEARCH("Conocer",$R715))+ISNUMBER(SEARCH("Aplicar",$R715))+ISNUMBER(SEARCH("Razonar",$R715))),0)</f>
        <v>0.5</v>
      </c>
      <c r="V715" s="8" t="s">
        <v>54</v>
      </c>
      <c r="W715" s="8" t="s">
        <v>69</v>
      </c>
    </row>
    <row r="716" customFormat="false" ht="15" hidden="false" customHeight="false" outlineLevel="0" collapsed="false">
      <c r="A716" s="8" t="s">
        <v>3330</v>
      </c>
      <c r="B716" s="8" t="n">
        <v>10</v>
      </c>
      <c r="C716" s="8" t="s">
        <v>91</v>
      </c>
      <c r="D716" s="8" t="s">
        <v>2909</v>
      </c>
      <c r="E716" s="8" t="s">
        <v>2910</v>
      </c>
      <c r="F716" s="8" t="n">
        <v>92</v>
      </c>
      <c r="G716" s="8" t="s">
        <v>3294</v>
      </c>
      <c r="H716" s="8" t="s">
        <v>3331</v>
      </c>
      <c r="I716" s="27" t="s">
        <v>3332</v>
      </c>
      <c r="J716" s="8" t="s">
        <v>291</v>
      </c>
      <c r="K716" s="8" t="s">
        <v>417</v>
      </c>
      <c r="L716" s="8"/>
      <c r="M716" s="8" t="str">
        <f aca="false">IF(K716="FUERA","Fuera del marco",IF(K716="N/A","Sin marco",IFERROR(INDEX(Catalogo_TIMSS!$C$5:$C$105,MATCH(K716,Catalogo_TIMSS!$A$5:$A$105,0)),"Pendiente de clasificar")))</f>
        <v>Fuera del marco</v>
      </c>
      <c r="N716" s="8" t="str">
        <f aca="false">IF(K716="FUERA","Fuera del marco",IF(K716="N/A","Sin marco",IFERROR(INDEX(Catalogo_TIMSS!$F$5:$F$105,MATCH(K716,Catalogo_TIMSS!$A$5:$A$105,0)),"Pendiente de clasificar")))</f>
        <v>Fuera del marco</v>
      </c>
      <c r="O716" s="8" t="str">
        <f aca="false">IF(L716="","",IFERROR(INDEX(Catalogo_TIMSS!$C$5:$C$105,MATCH(L716,Catalogo_TIMSS!$A$5:$A$105,0)),"?"))</f>
        <v/>
      </c>
      <c r="P716" s="8" t="s">
        <v>460</v>
      </c>
      <c r="Q716" s="27" t="s">
        <v>3333</v>
      </c>
      <c r="R716" s="27" t="s">
        <v>3334</v>
      </c>
      <c r="S716" s="28" t="n">
        <f aca="false">IFERROR(ISNUMBER(SEARCH("Conocer",$R716))/(ISNUMBER(SEARCH("Conocer",$R716))+ISNUMBER(SEARCH("Aplicar",$R716))+ISNUMBER(SEARCH("Razonar",$R716))),0)</f>
        <v>0</v>
      </c>
      <c r="T716" s="28" t="n">
        <f aca="false">IFERROR(ISNUMBER(SEARCH("Aplicar",$R716))/(ISNUMBER(SEARCH("Conocer",$R716))+ISNUMBER(SEARCH("Aplicar",$R716))+ISNUMBER(SEARCH("Razonar",$R716))),0)</f>
        <v>0.5</v>
      </c>
      <c r="U716" s="28" t="n">
        <f aca="false">IFERROR(ISNUMBER(SEARCH("Razonar",$R716))/(ISNUMBER(SEARCH("Conocer",$R716))+ISNUMBER(SEARCH("Aplicar",$R716))+ISNUMBER(SEARCH("Razonar",$R716))),0)</f>
        <v>0.5</v>
      </c>
      <c r="V716" s="8" t="s">
        <v>54</v>
      </c>
      <c r="W716" s="8" t="s">
        <v>69</v>
      </c>
    </row>
    <row r="717" customFormat="false" ht="15" hidden="false" customHeight="false" outlineLevel="0" collapsed="false">
      <c r="A717" s="8" t="s">
        <v>3335</v>
      </c>
      <c r="B717" s="8" t="n">
        <v>10</v>
      </c>
      <c r="C717" s="8" t="s">
        <v>91</v>
      </c>
      <c r="D717" s="8" t="s">
        <v>2909</v>
      </c>
      <c r="E717" s="8" t="s">
        <v>2910</v>
      </c>
      <c r="F717" s="8" t="n">
        <v>93</v>
      </c>
      <c r="G717" s="8" t="s">
        <v>3294</v>
      </c>
      <c r="H717" s="8" t="s">
        <v>3331</v>
      </c>
      <c r="I717" s="27" t="s">
        <v>3336</v>
      </c>
      <c r="J717" s="8" t="s">
        <v>291</v>
      </c>
      <c r="K717" s="8" t="s">
        <v>417</v>
      </c>
      <c r="L717" s="8"/>
      <c r="M717" s="8" t="str">
        <f aca="false">IF(K717="FUERA","Fuera del marco",IF(K717="N/A","Sin marco",IFERROR(INDEX(Catalogo_TIMSS!$C$5:$C$105,MATCH(K717,Catalogo_TIMSS!$A$5:$A$105,0)),"Pendiente de clasificar")))</f>
        <v>Fuera del marco</v>
      </c>
      <c r="N717" s="8" t="str">
        <f aca="false">IF(K717="FUERA","Fuera del marco",IF(K717="N/A","Sin marco",IFERROR(INDEX(Catalogo_TIMSS!$F$5:$F$105,MATCH(K717,Catalogo_TIMSS!$A$5:$A$105,0)),"Pendiente de clasificar")))</f>
        <v>Fuera del marco</v>
      </c>
      <c r="O717" s="8" t="str">
        <f aca="false">IF(L717="","",IFERROR(INDEX(Catalogo_TIMSS!$C$5:$C$105,MATCH(L717,Catalogo_TIMSS!$A$5:$A$105,0)),"?"))</f>
        <v/>
      </c>
      <c r="P717" s="8" t="s">
        <v>460</v>
      </c>
      <c r="Q717" s="27" t="s">
        <v>3337</v>
      </c>
      <c r="R717" s="27" t="s">
        <v>3338</v>
      </c>
      <c r="S717" s="28" t="n">
        <f aca="false">IFERROR(ISNUMBER(SEARCH("Conocer",$R717))/(ISNUMBER(SEARCH("Conocer",$R717))+ISNUMBER(SEARCH("Aplicar",$R717))+ISNUMBER(SEARCH("Razonar",$R717))),0)</f>
        <v>0</v>
      </c>
      <c r="T717" s="28" t="n">
        <f aca="false">IFERROR(ISNUMBER(SEARCH("Aplicar",$R717))/(ISNUMBER(SEARCH("Conocer",$R717))+ISNUMBER(SEARCH("Aplicar",$R717))+ISNUMBER(SEARCH("Razonar",$R717))),0)</f>
        <v>0.5</v>
      </c>
      <c r="U717" s="28" t="n">
        <f aca="false">IFERROR(ISNUMBER(SEARCH("Razonar",$R717))/(ISNUMBER(SEARCH("Conocer",$R717))+ISNUMBER(SEARCH("Aplicar",$R717))+ISNUMBER(SEARCH("Razonar",$R717))),0)</f>
        <v>0.5</v>
      </c>
      <c r="V717" s="8" t="s">
        <v>54</v>
      </c>
      <c r="W717" s="8" t="s">
        <v>69</v>
      </c>
    </row>
    <row r="718" customFormat="false" ht="15" hidden="false" customHeight="false" outlineLevel="0" collapsed="false">
      <c r="A718" s="8" t="s">
        <v>3339</v>
      </c>
      <c r="B718" s="8" t="n">
        <v>10</v>
      </c>
      <c r="C718" s="8" t="s">
        <v>91</v>
      </c>
      <c r="D718" s="8" t="s">
        <v>2909</v>
      </c>
      <c r="E718" s="8" t="s">
        <v>2910</v>
      </c>
      <c r="F718" s="8" t="n">
        <v>94</v>
      </c>
      <c r="G718" s="8" t="s">
        <v>3340</v>
      </c>
      <c r="H718" s="8" t="s">
        <v>3341</v>
      </c>
      <c r="I718" s="27" t="s">
        <v>3342</v>
      </c>
      <c r="J718" s="8" t="s">
        <v>291</v>
      </c>
      <c r="K718" s="8" t="s">
        <v>306</v>
      </c>
      <c r="L718" s="8"/>
      <c r="M718" s="8" t="str">
        <f aca="false">IF(K718="FUERA","Fuera del marco",IF(K718="N/A","Sin marco",IFERROR(INDEX(Catalogo_TIMSS!$C$5:$C$105,MATCH(K718,Catalogo_TIMSS!$A$5:$A$105,0)),"Pendiente de clasificar")))</f>
        <v>Mecánica y termodinámica</v>
      </c>
      <c r="N718" s="8" t="str">
        <f aca="false">IF(K718="FUERA","Fuera del marco",IF(K718="N/A","Sin marco",IFERROR(INDEX(Catalogo_TIMSS!$F$5:$F$105,MATCH(K718,Catalogo_TIMSS!$A$5:$A$105,0)),"Pendiente de clasificar")))</f>
        <v>Calor y temperatura</v>
      </c>
      <c r="O718" s="8" t="str">
        <f aca="false">IF(L718="","",IFERROR(INDEX(Catalogo_TIMSS!$C$5:$C$105,MATCH(L718,Catalogo_TIMSS!$A$5:$A$105,0)),"?"))</f>
        <v/>
      </c>
      <c r="P718" s="8" t="s">
        <v>418</v>
      </c>
      <c r="Q718" s="27" t="s">
        <v>3343</v>
      </c>
      <c r="R718" s="27" t="s">
        <v>3344</v>
      </c>
      <c r="S718" s="28" t="n">
        <f aca="false">IFERROR(ISNUMBER(SEARCH("Conocer",$R718))/(ISNUMBER(SEARCH("Conocer",$R718))+ISNUMBER(SEARCH("Aplicar",$R718))+ISNUMBER(SEARCH("Razonar",$R718))),0)</f>
        <v>0.5</v>
      </c>
      <c r="T718" s="28" t="n">
        <f aca="false">IFERROR(ISNUMBER(SEARCH("Aplicar",$R718))/(ISNUMBER(SEARCH("Conocer",$R718))+ISNUMBER(SEARCH("Aplicar",$R718))+ISNUMBER(SEARCH("Razonar",$R718))),0)</f>
        <v>0</v>
      </c>
      <c r="U718" s="28" t="n">
        <f aca="false">IFERROR(ISNUMBER(SEARCH("Razonar",$R718))/(ISNUMBER(SEARCH("Conocer",$R718))+ISNUMBER(SEARCH("Aplicar",$R718))+ISNUMBER(SEARCH("Razonar",$R718))),0)</f>
        <v>0.5</v>
      </c>
      <c r="V718" s="8" t="s">
        <v>54</v>
      </c>
      <c r="W718" s="8" t="s">
        <v>69</v>
      </c>
    </row>
    <row r="719" customFormat="false" ht="15" hidden="false" customHeight="false" outlineLevel="0" collapsed="false">
      <c r="A719" s="8" t="s">
        <v>3345</v>
      </c>
      <c r="B719" s="8" t="n">
        <v>10</v>
      </c>
      <c r="C719" s="8" t="s">
        <v>91</v>
      </c>
      <c r="D719" s="8" t="s">
        <v>2909</v>
      </c>
      <c r="E719" s="8" t="s">
        <v>2910</v>
      </c>
      <c r="F719" s="8" t="n">
        <v>95</v>
      </c>
      <c r="G719" s="8" t="s">
        <v>3340</v>
      </c>
      <c r="H719" s="8" t="s">
        <v>3341</v>
      </c>
      <c r="I719" s="27" t="s">
        <v>3346</v>
      </c>
      <c r="J719" s="8" t="s">
        <v>291</v>
      </c>
      <c r="K719" s="8" t="s">
        <v>306</v>
      </c>
      <c r="L719" s="8"/>
      <c r="M719" s="8" t="str">
        <f aca="false">IF(K719="FUERA","Fuera del marco",IF(K719="N/A","Sin marco",IFERROR(INDEX(Catalogo_TIMSS!$C$5:$C$105,MATCH(K719,Catalogo_TIMSS!$A$5:$A$105,0)),"Pendiente de clasificar")))</f>
        <v>Mecánica y termodinámica</v>
      </c>
      <c r="N719" s="8" t="str">
        <f aca="false">IF(K719="FUERA","Fuera del marco",IF(K719="N/A","Sin marco",IFERROR(INDEX(Catalogo_TIMSS!$F$5:$F$105,MATCH(K719,Catalogo_TIMSS!$A$5:$A$105,0)),"Pendiente de clasificar")))</f>
        <v>Calor y temperatura</v>
      </c>
      <c r="O719" s="8" t="str">
        <f aca="false">IF(L719="","",IFERROR(INDEX(Catalogo_TIMSS!$C$5:$C$105,MATCH(L719,Catalogo_TIMSS!$A$5:$A$105,0)),"?"))</f>
        <v/>
      </c>
      <c r="P719" s="8" t="s">
        <v>418</v>
      </c>
      <c r="Q719" s="27" t="s">
        <v>3347</v>
      </c>
      <c r="R719" s="27" t="s">
        <v>3348</v>
      </c>
      <c r="S719" s="28" t="n">
        <f aca="false">IFERROR(ISNUMBER(SEARCH("Conocer",$R719))/(ISNUMBER(SEARCH("Conocer",$R719))+ISNUMBER(SEARCH("Aplicar",$R719))+ISNUMBER(SEARCH("Razonar",$R719))),0)</f>
        <v>0</v>
      </c>
      <c r="T719" s="28" t="n">
        <f aca="false">IFERROR(ISNUMBER(SEARCH("Aplicar",$R719))/(ISNUMBER(SEARCH("Conocer",$R719))+ISNUMBER(SEARCH("Aplicar",$R719))+ISNUMBER(SEARCH("Razonar",$R719))),0)</f>
        <v>0.5</v>
      </c>
      <c r="U719" s="28" t="n">
        <f aca="false">IFERROR(ISNUMBER(SEARCH("Razonar",$R719))/(ISNUMBER(SEARCH("Conocer",$R719))+ISNUMBER(SEARCH("Aplicar",$R719))+ISNUMBER(SEARCH("Razonar",$R719))),0)</f>
        <v>0.5</v>
      </c>
      <c r="V719" s="8" t="s">
        <v>54</v>
      </c>
      <c r="W719" s="8" t="s">
        <v>69</v>
      </c>
    </row>
    <row r="720" customFormat="false" ht="15" hidden="false" customHeight="false" outlineLevel="0" collapsed="false">
      <c r="A720" s="8" t="s">
        <v>3349</v>
      </c>
      <c r="B720" s="8" t="n">
        <v>10</v>
      </c>
      <c r="C720" s="8" t="s">
        <v>91</v>
      </c>
      <c r="D720" s="8" t="s">
        <v>2909</v>
      </c>
      <c r="E720" s="8" t="s">
        <v>2910</v>
      </c>
      <c r="F720" s="8" t="n">
        <v>96</v>
      </c>
      <c r="G720" s="8" t="s">
        <v>3340</v>
      </c>
      <c r="H720" s="8" t="s">
        <v>3341</v>
      </c>
      <c r="I720" s="27" t="s">
        <v>3350</v>
      </c>
      <c r="J720" s="8" t="s">
        <v>291</v>
      </c>
      <c r="K720" s="8" t="s">
        <v>330</v>
      </c>
      <c r="L720" s="8" t="s">
        <v>306</v>
      </c>
      <c r="M720" s="8" t="str">
        <f aca="false">IF(K720="FUERA","Fuera del marco",IF(K720="N/A","Sin marco",IFERROR(INDEX(Catalogo_TIMSS!$C$5:$C$105,MATCH(K720,Catalogo_TIMSS!$A$5:$A$105,0)),"Pendiente de clasificar")))</f>
        <v>Ondas y física atómica/nuclear</v>
      </c>
      <c r="N720" s="8" t="str">
        <f aca="false">IF(K720="FUERA","Fuera del marco",IF(K720="N/A","Sin marco",IFERROR(INDEX(Catalogo_TIMSS!$F$5:$F$105,MATCH(K720,Catalogo_TIMSS!$A$5:$A$105,0)),"Pendiente de clasificar")))</f>
        <v>Fenómenos ondulatorios</v>
      </c>
      <c r="O720" s="8" t="str">
        <f aca="false">IF(L720="","",IFERROR(INDEX(Catalogo_TIMSS!$C$5:$C$105,MATCH(L720,Catalogo_TIMSS!$A$5:$A$105,0)),"?"))</f>
        <v>Mecánica y termodinámica</v>
      </c>
      <c r="P720" s="8" t="s">
        <v>418</v>
      </c>
      <c r="Q720" s="27" t="s">
        <v>3351</v>
      </c>
      <c r="R720" s="27" t="s">
        <v>3352</v>
      </c>
      <c r="S720" s="28" t="n">
        <f aca="false">IFERROR(ISNUMBER(SEARCH("Conocer",$R720))/(ISNUMBER(SEARCH("Conocer",$R720))+ISNUMBER(SEARCH("Aplicar",$R720))+ISNUMBER(SEARCH("Razonar",$R720))),0)</f>
        <v>0</v>
      </c>
      <c r="T720" s="28" t="n">
        <f aca="false">IFERROR(ISNUMBER(SEARCH("Aplicar",$R720))/(ISNUMBER(SEARCH("Conocer",$R720))+ISNUMBER(SEARCH("Aplicar",$R720))+ISNUMBER(SEARCH("Razonar",$R720))),0)</f>
        <v>0.5</v>
      </c>
      <c r="U720" s="28" t="n">
        <f aca="false">IFERROR(ISNUMBER(SEARCH("Razonar",$R720))/(ISNUMBER(SEARCH("Conocer",$R720))+ISNUMBER(SEARCH("Aplicar",$R720))+ISNUMBER(SEARCH("Razonar",$R720))),0)</f>
        <v>0.5</v>
      </c>
      <c r="V720" s="8" t="s">
        <v>54</v>
      </c>
      <c r="W720" s="8" t="s">
        <v>69</v>
      </c>
    </row>
    <row r="721" customFormat="false" ht="15" hidden="false" customHeight="false" outlineLevel="0" collapsed="false">
      <c r="A721" s="8" t="s">
        <v>3353</v>
      </c>
      <c r="B721" s="8" t="n">
        <v>10</v>
      </c>
      <c r="C721" s="8" t="s">
        <v>91</v>
      </c>
      <c r="D721" s="8" t="s">
        <v>2909</v>
      </c>
      <c r="E721" s="8" t="s">
        <v>2910</v>
      </c>
      <c r="F721" s="8" t="n">
        <v>97</v>
      </c>
      <c r="G721" s="8" t="s">
        <v>3340</v>
      </c>
      <c r="H721" s="8" t="s">
        <v>3354</v>
      </c>
      <c r="I721" s="27" t="s">
        <v>3355</v>
      </c>
      <c r="J721" s="8" t="s">
        <v>291</v>
      </c>
      <c r="K721" s="8" t="s">
        <v>306</v>
      </c>
      <c r="L721" s="8"/>
      <c r="M721" s="8" t="str">
        <f aca="false">IF(K721="FUERA","Fuera del marco",IF(K721="N/A","Sin marco",IFERROR(INDEX(Catalogo_TIMSS!$C$5:$C$105,MATCH(K721,Catalogo_TIMSS!$A$5:$A$105,0)),"Pendiente de clasificar")))</f>
        <v>Mecánica y termodinámica</v>
      </c>
      <c r="N721" s="8" t="str">
        <f aca="false">IF(K721="FUERA","Fuera del marco",IF(K721="N/A","Sin marco",IFERROR(INDEX(Catalogo_TIMSS!$F$5:$F$105,MATCH(K721,Catalogo_TIMSS!$A$5:$A$105,0)),"Pendiente de clasificar")))</f>
        <v>Calor y temperatura</v>
      </c>
      <c r="O721" s="8" t="str">
        <f aca="false">IF(L721="","",IFERROR(INDEX(Catalogo_TIMSS!$C$5:$C$105,MATCH(L721,Catalogo_TIMSS!$A$5:$A$105,0)),"?"))</f>
        <v/>
      </c>
      <c r="P721" s="8" t="s">
        <v>418</v>
      </c>
      <c r="Q721" s="27" t="s">
        <v>3356</v>
      </c>
      <c r="R721" s="27" t="s">
        <v>3357</v>
      </c>
      <c r="S721" s="28" t="n">
        <f aca="false">IFERROR(ISNUMBER(SEARCH("Conocer",$R721))/(ISNUMBER(SEARCH("Conocer",$R721))+ISNUMBER(SEARCH("Aplicar",$R721))+ISNUMBER(SEARCH("Razonar",$R721))),0)</f>
        <v>0</v>
      </c>
      <c r="T721" s="28" t="n">
        <f aca="false">IFERROR(ISNUMBER(SEARCH("Aplicar",$R721))/(ISNUMBER(SEARCH("Conocer",$R721))+ISNUMBER(SEARCH("Aplicar",$R721))+ISNUMBER(SEARCH("Razonar",$R721))),0)</f>
        <v>0.5</v>
      </c>
      <c r="U721" s="28" t="n">
        <f aca="false">IFERROR(ISNUMBER(SEARCH("Razonar",$R721))/(ISNUMBER(SEARCH("Conocer",$R721))+ISNUMBER(SEARCH("Aplicar",$R721))+ISNUMBER(SEARCH("Razonar",$R721))),0)</f>
        <v>0.5</v>
      </c>
      <c r="V721" s="8" t="s">
        <v>54</v>
      </c>
      <c r="W721" s="8" t="s">
        <v>69</v>
      </c>
    </row>
    <row r="722" customFormat="false" ht="15" hidden="false" customHeight="false" outlineLevel="0" collapsed="false">
      <c r="A722" s="8" t="s">
        <v>3358</v>
      </c>
      <c r="B722" s="8" t="n">
        <v>10</v>
      </c>
      <c r="C722" s="8" t="s">
        <v>91</v>
      </c>
      <c r="D722" s="8" t="s">
        <v>2909</v>
      </c>
      <c r="E722" s="8" t="s">
        <v>2910</v>
      </c>
      <c r="F722" s="8" t="n">
        <v>98</v>
      </c>
      <c r="G722" s="8" t="s">
        <v>3359</v>
      </c>
      <c r="H722" s="8" t="s">
        <v>3360</v>
      </c>
      <c r="I722" s="27" t="s">
        <v>3361</v>
      </c>
      <c r="J722" s="8" t="s">
        <v>291</v>
      </c>
      <c r="K722" s="8" t="s">
        <v>309</v>
      </c>
      <c r="L722" s="8"/>
      <c r="M722" s="8" t="str">
        <f aca="false">IF(K722="FUERA","Fuera del marco",IF(K722="N/A","Sin marco",IFERROR(INDEX(Catalogo_TIMSS!$C$5:$C$105,MATCH(K722,Catalogo_TIMSS!$A$5:$A$105,0)),"Pendiente de clasificar")))</f>
        <v>Mecánica y termodinámica</v>
      </c>
      <c r="N722" s="8" t="str">
        <f aca="false">IF(K722="FUERA","Fuera del marco",IF(K722="N/A","Sin marco",IFERROR(INDEX(Catalogo_TIMSS!$F$5:$F$105,MATCH(K722,Catalogo_TIMSS!$A$5:$A$105,0)),"Pendiente de clasificar")))</f>
        <v>Calor y temperatura</v>
      </c>
      <c r="O722" s="8" t="str">
        <f aca="false">IF(L722="","",IFERROR(INDEX(Catalogo_TIMSS!$C$5:$C$105,MATCH(L722,Catalogo_TIMSS!$A$5:$A$105,0)),"?"))</f>
        <v/>
      </c>
      <c r="P722" s="8" t="s">
        <v>418</v>
      </c>
      <c r="Q722" s="27" t="s">
        <v>3362</v>
      </c>
      <c r="R722" s="27" t="s">
        <v>3363</v>
      </c>
      <c r="S722" s="28" t="n">
        <f aca="false">IFERROR(ISNUMBER(SEARCH("Conocer",$R722))/(ISNUMBER(SEARCH("Conocer",$R722))+ISNUMBER(SEARCH("Aplicar",$R722))+ISNUMBER(SEARCH("Razonar",$R722))),0)</f>
        <v>0</v>
      </c>
      <c r="T722" s="28" t="n">
        <f aca="false">IFERROR(ISNUMBER(SEARCH("Aplicar",$R722))/(ISNUMBER(SEARCH("Conocer",$R722))+ISNUMBER(SEARCH("Aplicar",$R722))+ISNUMBER(SEARCH("Razonar",$R722))),0)</f>
        <v>0.5</v>
      </c>
      <c r="U722" s="28" t="n">
        <f aca="false">IFERROR(ISNUMBER(SEARCH("Razonar",$R722))/(ISNUMBER(SEARCH("Conocer",$R722))+ISNUMBER(SEARCH("Aplicar",$R722))+ISNUMBER(SEARCH("Razonar",$R722))),0)</f>
        <v>0.5</v>
      </c>
      <c r="V722" s="8" t="s">
        <v>54</v>
      </c>
      <c r="W722" s="8" t="s">
        <v>69</v>
      </c>
    </row>
    <row r="723" customFormat="false" ht="15" hidden="false" customHeight="false" outlineLevel="0" collapsed="false">
      <c r="A723" s="8" t="s">
        <v>3364</v>
      </c>
      <c r="B723" s="8" t="n">
        <v>10</v>
      </c>
      <c r="C723" s="8" t="s">
        <v>91</v>
      </c>
      <c r="D723" s="8" t="s">
        <v>2909</v>
      </c>
      <c r="E723" s="8" t="s">
        <v>2910</v>
      </c>
      <c r="F723" s="8" t="n">
        <v>99</v>
      </c>
      <c r="G723" s="8" t="s">
        <v>3359</v>
      </c>
      <c r="H723" s="8" t="s">
        <v>3365</v>
      </c>
      <c r="I723" s="27" t="s">
        <v>3366</v>
      </c>
      <c r="J723" s="8" t="s">
        <v>291</v>
      </c>
      <c r="K723" s="8" t="s">
        <v>309</v>
      </c>
      <c r="L723" s="8"/>
      <c r="M723" s="8" t="str">
        <f aca="false">IF(K723="FUERA","Fuera del marco",IF(K723="N/A","Sin marco",IFERROR(INDEX(Catalogo_TIMSS!$C$5:$C$105,MATCH(K723,Catalogo_TIMSS!$A$5:$A$105,0)),"Pendiente de clasificar")))</f>
        <v>Mecánica y termodinámica</v>
      </c>
      <c r="N723" s="8" t="str">
        <f aca="false">IF(K723="FUERA","Fuera del marco",IF(K723="N/A","Sin marco",IFERROR(INDEX(Catalogo_TIMSS!$F$5:$F$105,MATCH(K723,Catalogo_TIMSS!$A$5:$A$105,0)),"Pendiente de clasificar")))</f>
        <v>Calor y temperatura</v>
      </c>
      <c r="O723" s="8" t="str">
        <f aca="false">IF(L723="","",IFERROR(INDEX(Catalogo_TIMSS!$C$5:$C$105,MATCH(L723,Catalogo_TIMSS!$A$5:$A$105,0)),"?"))</f>
        <v/>
      </c>
      <c r="P723" s="8" t="s">
        <v>460</v>
      </c>
      <c r="Q723" s="27" t="s">
        <v>3367</v>
      </c>
      <c r="R723" s="27" t="s">
        <v>3368</v>
      </c>
      <c r="S723" s="28" t="n">
        <f aca="false">IFERROR(ISNUMBER(SEARCH("Conocer",$R723))/(ISNUMBER(SEARCH("Conocer",$R723))+ISNUMBER(SEARCH("Aplicar",$R723))+ISNUMBER(SEARCH("Razonar",$R723))),0)</f>
        <v>0</v>
      </c>
      <c r="T723" s="28" t="n">
        <f aca="false">IFERROR(ISNUMBER(SEARCH("Aplicar",$R723))/(ISNUMBER(SEARCH("Conocer",$R723))+ISNUMBER(SEARCH("Aplicar",$R723))+ISNUMBER(SEARCH("Razonar",$R723))),0)</f>
        <v>0.5</v>
      </c>
      <c r="U723" s="28" t="n">
        <f aca="false">IFERROR(ISNUMBER(SEARCH("Razonar",$R723))/(ISNUMBER(SEARCH("Conocer",$R723))+ISNUMBER(SEARCH("Aplicar",$R723))+ISNUMBER(SEARCH("Razonar",$R723))),0)</f>
        <v>0.5</v>
      </c>
      <c r="V723" s="8" t="s">
        <v>54</v>
      </c>
      <c r="W723" s="8" t="s">
        <v>69</v>
      </c>
    </row>
    <row r="724" customFormat="false" ht="15" hidden="false" customHeight="false" outlineLevel="0" collapsed="false">
      <c r="A724" s="8" t="s">
        <v>3369</v>
      </c>
      <c r="B724" s="8" t="n">
        <v>10</v>
      </c>
      <c r="C724" s="8" t="s">
        <v>91</v>
      </c>
      <c r="D724" s="8" t="s">
        <v>2909</v>
      </c>
      <c r="E724" s="8" t="s">
        <v>2910</v>
      </c>
      <c r="F724" s="8" t="n">
        <v>100</v>
      </c>
      <c r="G724" s="8" t="s">
        <v>3370</v>
      </c>
      <c r="H724" s="8" t="s">
        <v>3371</v>
      </c>
      <c r="I724" s="27" t="s">
        <v>3372</v>
      </c>
      <c r="J724" s="8" t="s">
        <v>291</v>
      </c>
      <c r="K724" s="8" t="s">
        <v>304</v>
      </c>
      <c r="L724" s="8"/>
      <c r="M724" s="8" t="str">
        <f aca="false">IF(K724="FUERA","Fuera del marco",IF(K724="N/A","Sin marco",IFERROR(INDEX(Catalogo_TIMSS!$C$5:$C$105,MATCH(K724,Catalogo_TIMSS!$A$5:$A$105,0)),"Pendiente de clasificar")))</f>
        <v>Mecánica y termodinámica</v>
      </c>
      <c r="N724" s="8" t="str">
        <f aca="false">IF(K724="FUERA","Fuera del marco",IF(K724="N/A","Sin marco",IFERROR(INDEX(Catalogo_TIMSS!$F$5:$F$105,MATCH(K724,Catalogo_TIMSS!$A$5:$A$105,0)),"Pendiente de clasificar")))</f>
        <v>Leyes de conservación</v>
      </c>
      <c r="O724" s="8" t="str">
        <f aca="false">IF(L724="","",IFERROR(INDEX(Catalogo_TIMSS!$C$5:$C$105,MATCH(L724,Catalogo_TIMSS!$A$5:$A$105,0)),"?"))</f>
        <v/>
      </c>
      <c r="P724" s="8" t="s">
        <v>513</v>
      </c>
      <c r="Q724" s="27" t="s">
        <v>3373</v>
      </c>
      <c r="R724" s="27" t="s">
        <v>3374</v>
      </c>
      <c r="S724" s="28" t="n">
        <f aca="false">IFERROR(ISNUMBER(SEARCH("Conocer",$R724))/(ISNUMBER(SEARCH("Conocer",$R724))+ISNUMBER(SEARCH("Aplicar",$R724))+ISNUMBER(SEARCH("Razonar",$R724))),0)</f>
        <v>0.5</v>
      </c>
      <c r="T724" s="28" t="n">
        <f aca="false">IFERROR(ISNUMBER(SEARCH("Aplicar",$R724))/(ISNUMBER(SEARCH("Conocer",$R724))+ISNUMBER(SEARCH("Aplicar",$R724))+ISNUMBER(SEARCH("Razonar",$R724))),0)</f>
        <v>0.5</v>
      </c>
      <c r="U724" s="28" t="n">
        <f aca="false">IFERROR(ISNUMBER(SEARCH("Razonar",$R724))/(ISNUMBER(SEARCH("Conocer",$R724))+ISNUMBER(SEARCH("Aplicar",$R724))+ISNUMBER(SEARCH("Razonar",$R724))),0)</f>
        <v>0</v>
      </c>
      <c r="V724" s="8" t="s">
        <v>54</v>
      </c>
      <c r="W724" s="8" t="s">
        <v>69</v>
      </c>
    </row>
    <row r="725" customFormat="false" ht="15" hidden="false" customHeight="false" outlineLevel="0" collapsed="false">
      <c r="A725" s="8" t="s">
        <v>3375</v>
      </c>
      <c r="B725" s="8" t="n">
        <v>10</v>
      </c>
      <c r="C725" s="8" t="s">
        <v>91</v>
      </c>
      <c r="D725" s="8" t="s">
        <v>2909</v>
      </c>
      <c r="E725" s="8" t="s">
        <v>2910</v>
      </c>
      <c r="F725" s="8" t="n">
        <v>101</v>
      </c>
      <c r="G725" s="8" t="s">
        <v>3370</v>
      </c>
      <c r="H725" s="8" t="s">
        <v>3371</v>
      </c>
      <c r="I725" s="27" t="s">
        <v>3376</v>
      </c>
      <c r="J725" s="8" t="s">
        <v>291</v>
      </c>
      <c r="K725" s="8" t="s">
        <v>306</v>
      </c>
      <c r="L725" s="8"/>
      <c r="M725" s="8" t="str">
        <f aca="false">IF(K725="FUERA","Fuera del marco",IF(K725="N/A","Sin marco",IFERROR(INDEX(Catalogo_TIMSS!$C$5:$C$105,MATCH(K725,Catalogo_TIMSS!$A$5:$A$105,0)),"Pendiente de clasificar")))</f>
        <v>Mecánica y termodinámica</v>
      </c>
      <c r="N725" s="8" t="str">
        <f aca="false">IF(K725="FUERA","Fuera del marco",IF(K725="N/A","Sin marco",IFERROR(INDEX(Catalogo_TIMSS!$F$5:$F$105,MATCH(K725,Catalogo_TIMSS!$A$5:$A$105,0)),"Pendiente de clasificar")))</f>
        <v>Calor y temperatura</v>
      </c>
      <c r="O725" s="8" t="str">
        <f aca="false">IF(L725="","",IFERROR(INDEX(Catalogo_TIMSS!$C$5:$C$105,MATCH(L725,Catalogo_TIMSS!$A$5:$A$105,0)),"?"))</f>
        <v/>
      </c>
      <c r="P725" s="8" t="s">
        <v>418</v>
      </c>
      <c r="Q725" s="27" t="s">
        <v>3377</v>
      </c>
      <c r="R725" s="27" t="s">
        <v>3378</v>
      </c>
      <c r="S725" s="28" t="n">
        <f aca="false">IFERROR(ISNUMBER(SEARCH("Conocer",$R725))/(ISNUMBER(SEARCH("Conocer",$R725))+ISNUMBER(SEARCH("Aplicar",$R725))+ISNUMBER(SEARCH("Razonar",$R725))),0)</f>
        <v>0</v>
      </c>
      <c r="T725" s="28" t="n">
        <f aca="false">IFERROR(ISNUMBER(SEARCH("Aplicar",$R725))/(ISNUMBER(SEARCH("Conocer",$R725))+ISNUMBER(SEARCH("Aplicar",$R725))+ISNUMBER(SEARCH("Razonar",$R725))),0)</f>
        <v>0.5</v>
      </c>
      <c r="U725" s="28" t="n">
        <f aca="false">IFERROR(ISNUMBER(SEARCH("Razonar",$R725))/(ISNUMBER(SEARCH("Conocer",$R725))+ISNUMBER(SEARCH("Aplicar",$R725))+ISNUMBER(SEARCH("Razonar",$R725))),0)</f>
        <v>0.5</v>
      </c>
      <c r="V725" s="8" t="s">
        <v>54</v>
      </c>
      <c r="W725" s="8" t="s">
        <v>69</v>
      </c>
    </row>
    <row r="726" customFormat="false" ht="15" hidden="false" customHeight="false" outlineLevel="0" collapsed="false">
      <c r="A726" s="8" t="s">
        <v>3379</v>
      </c>
      <c r="B726" s="8" t="n">
        <v>10</v>
      </c>
      <c r="C726" s="8" t="s">
        <v>91</v>
      </c>
      <c r="D726" s="8" t="s">
        <v>2909</v>
      </c>
      <c r="E726" s="8" t="s">
        <v>2910</v>
      </c>
      <c r="F726" s="8" t="n">
        <v>102</v>
      </c>
      <c r="G726" s="8" t="s">
        <v>3370</v>
      </c>
      <c r="H726" s="8" t="s">
        <v>305</v>
      </c>
      <c r="I726" s="27" t="s">
        <v>3380</v>
      </c>
      <c r="J726" s="8" t="s">
        <v>291</v>
      </c>
      <c r="K726" s="8" t="s">
        <v>304</v>
      </c>
      <c r="L726" s="8"/>
      <c r="M726" s="8" t="str">
        <f aca="false">IF(K726="FUERA","Fuera del marco",IF(K726="N/A","Sin marco",IFERROR(INDEX(Catalogo_TIMSS!$C$5:$C$105,MATCH(K726,Catalogo_TIMSS!$A$5:$A$105,0)),"Pendiente de clasificar")))</f>
        <v>Mecánica y termodinámica</v>
      </c>
      <c r="N726" s="8" t="str">
        <f aca="false">IF(K726="FUERA","Fuera del marco",IF(K726="N/A","Sin marco",IFERROR(INDEX(Catalogo_TIMSS!$F$5:$F$105,MATCH(K726,Catalogo_TIMSS!$A$5:$A$105,0)),"Pendiente de clasificar")))</f>
        <v>Leyes de conservación</v>
      </c>
      <c r="O726" s="8" t="str">
        <f aca="false">IF(L726="","",IFERROR(INDEX(Catalogo_TIMSS!$C$5:$C$105,MATCH(L726,Catalogo_TIMSS!$A$5:$A$105,0)),"?"))</f>
        <v/>
      </c>
      <c r="P726" s="8" t="s">
        <v>418</v>
      </c>
      <c r="Q726" s="27" t="s">
        <v>3381</v>
      </c>
      <c r="R726" s="27" t="s">
        <v>3382</v>
      </c>
      <c r="S726" s="28" t="n">
        <f aca="false">IFERROR(ISNUMBER(SEARCH("Conocer",$R726))/(ISNUMBER(SEARCH("Conocer",$R726))+ISNUMBER(SEARCH("Aplicar",$R726))+ISNUMBER(SEARCH("Razonar",$R726))),0)</f>
        <v>0</v>
      </c>
      <c r="T726" s="28" t="n">
        <f aca="false">IFERROR(ISNUMBER(SEARCH("Aplicar",$R726))/(ISNUMBER(SEARCH("Conocer",$R726))+ISNUMBER(SEARCH("Aplicar",$R726))+ISNUMBER(SEARCH("Razonar",$R726))),0)</f>
        <v>0.5</v>
      </c>
      <c r="U726" s="28" t="n">
        <f aca="false">IFERROR(ISNUMBER(SEARCH("Razonar",$R726))/(ISNUMBER(SEARCH("Conocer",$R726))+ISNUMBER(SEARCH("Aplicar",$R726))+ISNUMBER(SEARCH("Razonar",$R726))),0)</f>
        <v>0.5</v>
      </c>
      <c r="V726" s="8" t="s">
        <v>54</v>
      </c>
      <c r="W726" s="8" t="s">
        <v>69</v>
      </c>
    </row>
    <row r="727" customFormat="false" ht="15" hidden="false" customHeight="false" outlineLevel="0" collapsed="false">
      <c r="A727" s="8" t="s">
        <v>3383</v>
      </c>
      <c r="B727" s="8" t="n">
        <v>10</v>
      </c>
      <c r="C727" s="8" t="s">
        <v>91</v>
      </c>
      <c r="D727" s="8" t="s">
        <v>2909</v>
      </c>
      <c r="E727" s="8" t="s">
        <v>2910</v>
      </c>
      <c r="F727" s="8" t="n">
        <v>103</v>
      </c>
      <c r="G727" s="8" t="s">
        <v>3370</v>
      </c>
      <c r="H727" s="8" t="s">
        <v>2631</v>
      </c>
      <c r="I727" s="27" t="s">
        <v>3384</v>
      </c>
      <c r="J727" s="8" t="s">
        <v>291</v>
      </c>
      <c r="K727" s="8" t="s">
        <v>304</v>
      </c>
      <c r="L727" s="8" t="s">
        <v>309</v>
      </c>
      <c r="M727" s="8" t="str">
        <f aca="false">IF(K727="FUERA","Fuera del marco",IF(K727="N/A","Sin marco",IFERROR(INDEX(Catalogo_TIMSS!$C$5:$C$105,MATCH(K727,Catalogo_TIMSS!$A$5:$A$105,0)),"Pendiente de clasificar")))</f>
        <v>Mecánica y termodinámica</v>
      </c>
      <c r="N727" s="8" t="str">
        <f aca="false">IF(K727="FUERA","Fuera del marco",IF(K727="N/A","Sin marco",IFERROR(INDEX(Catalogo_TIMSS!$F$5:$F$105,MATCH(K727,Catalogo_TIMSS!$A$5:$A$105,0)),"Pendiente de clasificar")))</f>
        <v>Leyes de conservación</v>
      </c>
      <c r="O727" s="8" t="str">
        <f aca="false">IF(L727="","",IFERROR(INDEX(Catalogo_TIMSS!$C$5:$C$105,MATCH(L727,Catalogo_TIMSS!$A$5:$A$105,0)),"?"))</f>
        <v>Mecánica y termodinámica</v>
      </c>
      <c r="P727" s="8" t="s">
        <v>418</v>
      </c>
      <c r="Q727" s="27" t="s">
        <v>3385</v>
      </c>
      <c r="R727" s="27" t="s">
        <v>3386</v>
      </c>
      <c r="S727" s="28" t="n">
        <f aca="false">IFERROR(ISNUMBER(SEARCH("Conocer",$R727))/(ISNUMBER(SEARCH("Conocer",$R727))+ISNUMBER(SEARCH("Aplicar",$R727))+ISNUMBER(SEARCH("Razonar",$R727))),0)</f>
        <v>0</v>
      </c>
      <c r="T727" s="28" t="n">
        <f aca="false">IFERROR(ISNUMBER(SEARCH("Aplicar",$R727))/(ISNUMBER(SEARCH("Conocer",$R727))+ISNUMBER(SEARCH("Aplicar",$R727))+ISNUMBER(SEARCH("Razonar",$R727))),0)</f>
        <v>0.5</v>
      </c>
      <c r="U727" s="28" t="n">
        <f aca="false">IFERROR(ISNUMBER(SEARCH("Razonar",$R727))/(ISNUMBER(SEARCH("Conocer",$R727))+ISNUMBER(SEARCH("Aplicar",$R727))+ISNUMBER(SEARCH("Razonar",$R727))),0)</f>
        <v>0.5</v>
      </c>
      <c r="V727" s="8" t="s">
        <v>54</v>
      </c>
      <c r="W727" s="8" t="s">
        <v>69</v>
      </c>
    </row>
    <row r="728" customFormat="false" ht="15" hidden="false" customHeight="false" outlineLevel="0" collapsed="false">
      <c r="A728" s="8" t="s">
        <v>3387</v>
      </c>
      <c r="B728" s="8" t="n">
        <v>10</v>
      </c>
      <c r="C728" s="8" t="s">
        <v>91</v>
      </c>
      <c r="D728" s="8" t="s">
        <v>2909</v>
      </c>
      <c r="E728" s="8" t="s">
        <v>2910</v>
      </c>
      <c r="F728" s="8" t="n">
        <v>104</v>
      </c>
      <c r="G728" s="8" t="s">
        <v>3370</v>
      </c>
      <c r="H728" s="8" t="s">
        <v>2631</v>
      </c>
      <c r="I728" s="27" t="s">
        <v>3388</v>
      </c>
      <c r="J728" s="8" t="s">
        <v>291</v>
      </c>
      <c r="K728" s="8" t="s">
        <v>304</v>
      </c>
      <c r="L728" s="8" t="s">
        <v>309</v>
      </c>
      <c r="M728" s="8" t="str">
        <f aca="false">IF(K728="FUERA","Fuera del marco",IF(K728="N/A","Sin marco",IFERROR(INDEX(Catalogo_TIMSS!$C$5:$C$105,MATCH(K728,Catalogo_TIMSS!$A$5:$A$105,0)),"Pendiente de clasificar")))</f>
        <v>Mecánica y termodinámica</v>
      </c>
      <c r="N728" s="8" t="str">
        <f aca="false">IF(K728="FUERA","Fuera del marco",IF(K728="N/A","Sin marco",IFERROR(INDEX(Catalogo_TIMSS!$F$5:$F$105,MATCH(K728,Catalogo_TIMSS!$A$5:$A$105,0)),"Pendiente de clasificar")))</f>
        <v>Leyes de conservación</v>
      </c>
      <c r="O728" s="8" t="str">
        <f aca="false">IF(L728="","",IFERROR(INDEX(Catalogo_TIMSS!$C$5:$C$105,MATCH(L728,Catalogo_TIMSS!$A$5:$A$105,0)),"?"))</f>
        <v>Mecánica y termodinámica</v>
      </c>
      <c r="P728" s="8" t="s">
        <v>418</v>
      </c>
      <c r="Q728" s="27" t="s">
        <v>3389</v>
      </c>
      <c r="R728" s="27" t="s">
        <v>3390</v>
      </c>
      <c r="S728" s="28" t="n">
        <f aca="false">IFERROR(ISNUMBER(SEARCH("Conocer",$R728))/(ISNUMBER(SEARCH("Conocer",$R728))+ISNUMBER(SEARCH("Aplicar",$R728))+ISNUMBER(SEARCH("Razonar",$R728))),0)</f>
        <v>0</v>
      </c>
      <c r="T728" s="28" t="n">
        <f aca="false">IFERROR(ISNUMBER(SEARCH("Aplicar",$R728))/(ISNUMBER(SEARCH("Conocer",$R728))+ISNUMBER(SEARCH("Aplicar",$R728))+ISNUMBER(SEARCH("Razonar",$R728))),0)</f>
        <v>0.5</v>
      </c>
      <c r="U728" s="28" t="n">
        <f aca="false">IFERROR(ISNUMBER(SEARCH("Razonar",$R728))/(ISNUMBER(SEARCH("Conocer",$R728))+ISNUMBER(SEARCH("Aplicar",$R728))+ISNUMBER(SEARCH("Razonar",$R728))),0)</f>
        <v>0.5</v>
      </c>
      <c r="V728" s="8" t="s">
        <v>54</v>
      </c>
      <c r="W728" s="8" t="s">
        <v>69</v>
      </c>
    </row>
    <row r="729" customFormat="false" ht="15" hidden="false" customHeight="false" outlineLevel="0" collapsed="false">
      <c r="A729" s="8" t="s">
        <v>3391</v>
      </c>
      <c r="B729" s="8" t="n">
        <v>10</v>
      </c>
      <c r="C729" s="8" t="s">
        <v>91</v>
      </c>
      <c r="D729" s="8" t="s">
        <v>2909</v>
      </c>
      <c r="E729" s="8" t="s">
        <v>2910</v>
      </c>
      <c r="F729" s="8" t="n">
        <v>105</v>
      </c>
      <c r="G729" s="8" t="s">
        <v>3370</v>
      </c>
      <c r="H729" s="8" t="s">
        <v>2631</v>
      </c>
      <c r="I729" s="27" t="s">
        <v>3392</v>
      </c>
      <c r="J729" s="8" t="s">
        <v>291</v>
      </c>
      <c r="K729" s="8" t="s">
        <v>304</v>
      </c>
      <c r="L729" s="8" t="s">
        <v>306</v>
      </c>
      <c r="M729" s="8" t="str">
        <f aca="false">IF(K729="FUERA","Fuera del marco",IF(K729="N/A","Sin marco",IFERROR(INDEX(Catalogo_TIMSS!$C$5:$C$105,MATCH(K729,Catalogo_TIMSS!$A$5:$A$105,0)),"Pendiente de clasificar")))</f>
        <v>Mecánica y termodinámica</v>
      </c>
      <c r="N729" s="8" t="str">
        <f aca="false">IF(K729="FUERA","Fuera del marco",IF(K729="N/A","Sin marco",IFERROR(INDEX(Catalogo_TIMSS!$F$5:$F$105,MATCH(K729,Catalogo_TIMSS!$A$5:$A$105,0)),"Pendiente de clasificar")))</f>
        <v>Leyes de conservación</v>
      </c>
      <c r="O729" s="8" t="str">
        <f aca="false">IF(L729="","",IFERROR(INDEX(Catalogo_TIMSS!$C$5:$C$105,MATCH(L729,Catalogo_TIMSS!$A$5:$A$105,0)),"?"))</f>
        <v>Mecánica y termodinámica</v>
      </c>
      <c r="P729" s="8" t="s">
        <v>418</v>
      </c>
      <c r="Q729" s="27" t="s">
        <v>3393</v>
      </c>
      <c r="R729" s="27" t="s">
        <v>3394</v>
      </c>
      <c r="S729" s="28" t="n">
        <f aca="false">IFERROR(ISNUMBER(SEARCH("Conocer",$R729))/(ISNUMBER(SEARCH("Conocer",$R729))+ISNUMBER(SEARCH("Aplicar",$R729))+ISNUMBER(SEARCH("Razonar",$R729))),0)</f>
        <v>0</v>
      </c>
      <c r="T729" s="28" t="n">
        <f aca="false">IFERROR(ISNUMBER(SEARCH("Aplicar",$R729))/(ISNUMBER(SEARCH("Conocer",$R729))+ISNUMBER(SEARCH("Aplicar",$R729))+ISNUMBER(SEARCH("Razonar",$R729))),0)</f>
        <v>0.5</v>
      </c>
      <c r="U729" s="28" t="n">
        <f aca="false">IFERROR(ISNUMBER(SEARCH("Razonar",$R729))/(ISNUMBER(SEARCH("Conocer",$R729))+ISNUMBER(SEARCH("Aplicar",$R729))+ISNUMBER(SEARCH("Razonar",$R729))),0)</f>
        <v>0.5</v>
      </c>
      <c r="V729" s="8" t="s">
        <v>54</v>
      </c>
      <c r="W729" s="8" t="s">
        <v>69</v>
      </c>
    </row>
    <row r="730" customFormat="false" ht="15" hidden="false" customHeight="false" outlineLevel="0" collapsed="false">
      <c r="A730" s="8" t="s">
        <v>3395</v>
      </c>
      <c r="B730" s="8" t="n">
        <v>10</v>
      </c>
      <c r="C730" s="8" t="s">
        <v>91</v>
      </c>
      <c r="D730" s="8" t="s">
        <v>2909</v>
      </c>
      <c r="E730" s="8" t="s">
        <v>2910</v>
      </c>
      <c r="F730" s="8" t="n">
        <v>106</v>
      </c>
      <c r="G730" s="8" t="s">
        <v>3370</v>
      </c>
      <c r="H730" s="8" t="s">
        <v>2650</v>
      </c>
      <c r="I730" s="27" t="s">
        <v>3396</v>
      </c>
      <c r="J730" s="8" t="s">
        <v>291</v>
      </c>
      <c r="K730" s="8" t="s">
        <v>417</v>
      </c>
      <c r="L730" s="8"/>
      <c r="M730" s="8" t="str">
        <f aca="false">IF(K730="FUERA","Fuera del marco",IF(K730="N/A","Sin marco",IFERROR(INDEX(Catalogo_TIMSS!$C$5:$C$105,MATCH(K730,Catalogo_TIMSS!$A$5:$A$105,0)),"Pendiente de clasificar")))</f>
        <v>Fuera del marco</v>
      </c>
      <c r="N730" s="8" t="str">
        <f aca="false">IF(K730="FUERA","Fuera del marco",IF(K730="N/A","Sin marco",IFERROR(INDEX(Catalogo_TIMSS!$F$5:$F$105,MATCH(K730,Catalogo_TIMSS!$A$5:$A$105,0)),"Pendiente de clasificar")))</f>
        <v>Fuera del marco</v>
      </c>
      <c r="O730" s="8" t="str">
        <f aca="false">IF(L730="","",IFERROR(INDEX(Catalogo_TIMSS!$C$5:$C$105,MATCH(L730,Catalogo_TIMSS!$A$5:$A$105,0)),"?"))</f>
        <v/>
      </c>
      <c r="P730" s="8" t="s">
        <v>460</v>
      </c>
      <c r="Q730" s="27" t="s">
        <v>3397</v>
      </c>
      <c r="R730" s="27" t="s">
        <v>3398</v>
      </c>
      <c r="S730" s="28" t="n">
        <f aca="false">IFERROR(ISNUMBER(SEARCH("Conocer",$R730))/(ISNUMBER(SEARCH("Conocer",$R730))+ISNUMBER(SEARCH("Aplicar",$R730))+ISNUMBER(SEARCH("Razonar",$R730))),0)</f>
        <v>0</v>
      </c>
      <c r="T730" s="28" t="n">
        <f aca="false">IFERROR(ISNUMBER(SEARCH("Aplicar",$R730))/(ISNUMBER(SEARCH("Conocer",$R730))+ISNUMBER(SEARCH("Aplicar",$R730))+ISNUMBER(SEARCH("Razonar",$R730))),0)</f>
        <v>0.5</v>
      </c>
      <c r="U730" s="28" t="n">
        <f aca="false">IFERROR(ISNUMBER(SEARCH("Razonar",$R730))/(ISNUMBER(SEARCH("Conocer",$R730))+ISNUMBER(SEARCH("Aplicar",$R730))+ISNUMBER(SEARCH("Razonar",$R730))),0)</f>
        <v>0.5</v>
      </c>
      <c r="V730" s="8" t="s">
        <v>54</v>
      </c>
      <c r="W730" s="8" t="s">
        <v>69</v>
      </c>
    </row>
    <row r="731" customFormat="false" ht="15" hidden="false" customHeight="false" outlineLevel="0" collapsed="false">
      <c r="A731" s="8" t="s">
        <v>3399</v>
      </c>
      <c r="B731" s="8" t="n">
        <v>10</v>
      </c>
      <c r="C731" s="8" t="s">
        <v>91</v>
      </c>
      <c r="D731" s="8" t="s">
        <v>2909</v>
      </c>
      <c r="E731" s="8" t="s">
        <v>2910</v>
      </c>
      <c r="F731" s="8" t="n">
        <v>107</v>
      </c>
      <c r="G731" s="8" t="s">
        <v>3370</v>
      </c>
      <c r="H731" s="8" t="s">
        <v>2650</v>
      </c>
      <c r="I731" s="27" t="s">
        <v>3400</v>
      </c>
      <c r="J731" s="8" t="s">
        <v>291</v>
      </c>
      <c r="K731" s="8" t="s">
        <v>304</v>
      </c>
      <c r="L731" s="8"/>
      <c r="M731" s="8" t="str">
        <f aca="false">IF(K731="FUERA","Fuera del marco",IF(K731="N/A","Sin marco",IFERROR(INDEX(Catalogo_TIMSS!$C$5:$C$105,MATCH(K731,Catalogo_TIMSS!$A$5:$A$105,0)),"Pendiente de clasificar")))</f>
        <v>Mecánica y termodinámica</v>
      </c>
      <c r="N731" s="8" t="str">
        <f aca="false">IF(K731="FUERA","Fuera del marco",IF(K731="N/A","Sin marco",IFERROR(INDEX(Catalogo_TIMSS!$F$5:$F$105,MATCH(K731,Catalogo_TIMSS!$A$5:$A$105,0)),"Pendiente de clasificar")))</f>
        <v>Leyes de conservación</v>
      </c>
      <c r="O731" s="8" t="str">
        <f aca="false">IF(L731="","",IFERROR(INDEX(Catalogo_TIMSS!$C$5:$C$105,MATCH(L731,Catalogo_TIMSS!$A$5:$A$105,0)),"?"))</f>
        <v/>
      </c>
      <c r="P731" s="8" t="s">
        <v>460</v>
      </c>
      <c r="Q731" s="27" t="s">
        <v>3401</v>
      </c>
      <c r="R731" s="27" t="s">
        <v>3402</v>
      </c>
      <c r="S731" s="28" t="n">
        <f aca="false">IFERROR(ISNUMBER(SEARCH("Conocer",$R731))/(ISNUMBER(SEARCH("Conocer",$R731))+ISNUMBER(SEARCH("Aplicar",$R731))+ISNUMBER(SEARCH("Razonar",$R731))),0)</f>
        <v>0</v>
      </c>
      <c r="T731" s="28" t="n">
        <f aca="false">IFERROR(ISNUMBER(SEARCH("Aplicar",$R731))/(ISNUMBER(SEARCH("Conocer",$R731))+ISNUMBER(SEARCH("Aplicar",$R731))+ISNUMBER(SEARCH("Razonar",$R731))),0)</f>
        <v>0.5</v>
      </c>
      <c r="U731" s="28" t="n">
        <f aca="false">IFERROR(ISNUMBER(SEARCH("Razonar",$R731))/(ISNUMBER(SEARCH("Conocer",$R731))+ISNUMBER(SEARCH("Aplicar",$R731))+ISNUMBER(SEARCH("Razonar",$R731))),0)</f>
        <v>0.5</v>
      </c>
      <c r="V731" s="8" t="s">
        <v>54</v>
      </c>
      <c r="W731" s="8" t="s">
        <v>69</v>
      </c>
    </row>
    <row r="732" customFormat="false" ht="15" hidden="false" customHeight="false" outlineLevel="0" collapsed="false">
      <c r="A732" s="8" t="s">
        <v>3403</v>
      </c>
      <c r="B732" s="8" t="n">
        <v>10</v>
      </c>
      <c r="C732" s="8" t="s">
        <v>91</v>
      </c>
      <c r="D732" s="8" t="s">
        <v>2909</v>
      </c>
      <c r="E732" s="8" t="s">
        <v>2910</v>
      </c>
      <c r="F732" s="8" t="n">
        <v>108</v>
      </c>
      <c r="G732" s="8" t="s">
        <v>3370</v>
      </c>
      <c r="H732" s="8" t="s">
        <v>2650</v>
      </c>
      <c r="I732" s="27" t="s">
        <v>3404</v>
      </c>
      <c r="J732" s="8" t="s">
        <v>291</v>
      </c>
      <c r="K732" s="8" t="s">
        <v>417</v>
      </c>
      <c r="L732" s="8"/>
      <c r="M732" s="8" t="str">
        <f aca="false">IF(K732="FUERA","Fuera del marco",IF(K732="N/A","Sin marco",IFERROR(INDEX(Catalogo_TIMSS!$C$5:$C$105,MATCH(K732,Catalogo_TIMSS!$A$5:$A$105,0)),"Pendiente de clasificar")))</f>
        <v>Fuera del marco</v>
      </c>
      <c r="N732" s="8" t="str">
        <f aca="false">IF(K732="FUERA","Fuera del marco",IF(K732="N/A","Sin marco",IFERROR(INDEX(Catalogo_TIMSS!$F$5:$F$105,MATCH(K732,Catalogo_TIMSS!$A$5:$A$105,0)),"Pendiente de clasificar")))</f>
        <v>Fuera del marco</v>
      </c>
      <c r="O732" s="8" t="str">
        <f aca="false">IF(L732="","",IFERROR(INDEX(Catalogo_TIMSS!$C$5:$C$105,MATCH(L732,Catalogo_TIMSS!$A$5:$A$105,0)),"?"))</f>
        <v/>
      </c>
      <c r="P732" s="8" t="s">
        <v>513</v>
      </c>
      <c r="Q732" s="27" t="s">
        <v>3405</v>
      </c>
      <c r="R732" s="27" t="s">
        <v>3406</v>
      </c>
      <c r="S732" s="28" t="n">
        <f aca="false">IFERROR(ISNUMBER(SEARCH("Conocer",$R732))/(ISNUMBER(SEARCH("Conocer",$R732))+ISNUMBER(SEARCH("Aplicar",$R732))+ISNUMBER(SEARCH("Razonar",$R732))),0)</f>
        <v>0</v>
      </c>
      <c r="T732" s="28" t="n">
        <f aca="false">IFERROR(ISNUMBER(SEARCH("Aplicar",$R732))/(ISNUMBER(SEARCH("Conocer",$R732))+ISNUMBER(SEARCH("Aplicar",$R732))+ISNUMBER(SEARCH("Razonar",$R732))),0)</f>
        <v>0.5</v>
      </c>
      <c r="U732" s="28" t="n">
        <f aca="false">IFERROR(ISNUMBER(SEARCH("Razonar",$R732))/(ISNUMBER(SEARCH("Conocer",$R732))+ISNUMBER(SEARCH("Aplicar",$R732))+ISNUMBER(SEARCH("Razonar",$R732))),0)</f>
        <v>0.5</v>
      </c>
      <c r="V732" s="8" t="s">
        <v>54</v>
      </c>
      <c r="W732" s="8" t="s">
        <v>69</v>
      </c>
    </row>
    <row r="733" customFormat="false" ht="15" hidden="false" customHeight="false" outlineLevel="0" collapsed="false">
      <c r="A733" s="8" t="s">
        <v>3407</v>
      </c>
      <c r="B733" s="8" t="n">
        <v>10</v>
      </c>
      <c r="C733" s="8" t="s">
        <v>91</v>
      </c>
      <c r="D733" s="8" t="s">
        <v>2909</v>
      </c>
      <c r="E733" s="8" t="s">
        <v>2910</v>
      </c>
      <c r="F733" s="8" t="n">
        <v>109</v>
      </c>
      <c r="G733" s="8" t="s">
        <v>3370</v>
      </c>
      <c r="H733" s="8" t="s">
        <v>3408</v>
      </c>
      <c r="I733" s="27" t="s">
        <v>3409</v>
      </c>
      <c r="J733" s="8" t="s">
        <v>291</v>
      </c>
      <c r="K733" s="8" t="s">
        <v>304</v>
      </c>
      <c r="L733" s="8"/>
      <c r="M733" s="8" t="str">
        <f aca="false">IF(K733="FUERA","Fuera del marco",IF(K733="N/A","Sin marco",IFERROR(INDEX(Catalogo_TIMSS!$C$5:$C$105,MATCH(K733,Catalogo_TIMSS!$A$5:$A$105,0)),"Pendiente de clasificar")))</f>
        <v>Mecánica y termodinámica</v>
      </c>
      <c r="N733" s="8" t="str">
        <f aca="false">IF(K733="FUERA","Fuera del marco",IF(K733="N/A","Sin marco",IFERROR(INDEX(Catalogo_TIMSS!$F$5:$F$105,MATCH(K733,Catalogo_TIMSS!$A$5:$A$105,0)),"Pendiente de clasificar")))</f>
        <v>Leyes de conservación</v>
      </c>
      <c r="O733" s="8" t="str">
        <f aca="false">IF(L733="","",IFERROR(INDEX(Catalogo_TIMSS!$C$5:$C$105,MATCH(L733,Catalogo_TIMSS!$A$5:$A$105,0)),"?"))</f>
        <v/>
      </c>
      <c r="P733" s="8" t="s">
        <v>513</v>
      </c>
      <c r="Q733" s="27" t="s">
        <v>3410</v>
      </c>
      <c r="R733" s="27" t="s">
        <v>3411</v>
      </c>
      <c r="S733" s="28" t="n">
        <f aca="false">IFERROR(ISNUMBER(SEARCH("Conocer",$R733))/(ISNUMBER(SEARCH("Conocer",$R733))+ISNUMBER(SEARCH("Aplicar",$R733))+ISNUMBER(SEARCH("Razonar",$R733))),0)</f>
        <v>0</v>
      </c>
      <c r="T733" s="28" t="n">
        <f aca="false">IFERROR(ISNUMBER(SEARCH("Aplicar",$R733))/(ISNUMBER(SEARCH("Conocer",$R733))+ISNUMBER(SEARCH("Aplicar",$R733))+ISNUMBER(SEARCH("Razonar",$R733))),0)</f>
        <v>0.5</v>
      </c>
      <c r="U733" s="28" t="n">
        <f aca="false">IFERROR(ISNUMBER(SEARCH("Razonar",$R733))/(ISNUMBER(SEARCH("Conocer",$R733))+ISNUMBER(SEARCH("Aplicar",$R733))+ISNUMBER(SEARCH("Razonar",$R733))),0)</f>
        <v>0.5</v>
      </c>
      <c r="V733" s="8" t="s">
        <v>54</v>
      </c>
      <c r="W733" s="8" t="s">
        <v>69</v>
      </c>
    </row>
    <row r="734" customFormat="false" ht="15" hidden="false" customHeight="false" outlineLevel="0" collapsed="false">
      <c r="A734" s="8" t="s">
        <v>3412</v>
      </c>
      <c r="B734" s="8" t="n">
        <v>10</v>
      </c>
      <c r="C734" s="8" t="s">
        <v>91</v>
      </c>
      <c r="D734" s="8" t="s">
        <v>2909</v>
      </c>
      <c r="E734" s="8" t="s">
        <v>2910</v>
      </c>
      <c r="F734" s="8" t="n">
        <v>110</v>
      </c>
      <c r="G734" s="8" t="s">
        <v>3370</v>
      </c>
      <c r="H734" s="8" t="s">
        <v>3413</v>
      </c>
      <c r="I734" s="27" t="s">
        <v>3414</v>
      </c>
      <c r="J734" s="8" t="s">
        <v>291</v>
      </c>
      <c r="K734" s="8" t="s">
        <v>417</v>
      </c>
      <c r="L734" s="8"/>
      <c r="M734" s="8" t="str">
        <f aca="false">IF(K734="FUERA","Fuera del marco",IF(K734="N/A","Sin marco",IFERROR(INDEX(Catalogo_TIMSS!$C$5:$C$105,MATCH(K734,Catalogo_TIMSS!$A$5:$A$105,0)),"Pendiente de clasificar")))</f>
        <v>Fuera del marco</v>
      </c>
      <c r="N734" s="8" t="str">
        <f aca="false">IF(K734="FUERA","Fuera del marco",IF(K734="N/A","Sin marco",IFERROR(INDEX(Catalogo_TIMSS!$F$5:$F$105,MATCH(K734,Catalogo_TIMSS!$A$5:$A$105,0)),"Pendiente de clasificar")))</f>
        <v>Fuera del marco</v>
      </c>
      <c r="O734" s="8" t="str">
        <f aca="false">IF(L734="","",IFERROR(INDEX(Catalogo_TIMSS!$C$5:$C$105,MATCH(L734,Catalogo_TIMSS!$A$5:$A$105,0)),"?"))</f>
        <v/>
      </c>
      <c r="P734" s="8" t="s">
        <v>418</v>
      </c>
      <c r="Q734" s="27" t="s">
        <v>3415</v>
      </c>
      <c r="R734" s="27" t="s">
        <v>3416</v>
      </c>
      <c r="S734" s="28" t="n">
        <f aca="false">IFERROR(ISNUMBER(SEARCH("Conocer",$R734))/(ISNUMBER(SEARCH("Conocer",$R734))+ISNUMBER(SEARCH("Aplicar",$R734))+ISNUMBER(SEARCH("Razonar",$R734))),0)</f>
        <v>0</v>
      </c>
      <c r="T734" s="28" t="n">
        <f aca="false">IFERROR(ISNUMBER(SEARCH("Aplicar",$R734))/(ISNUMBER(SEARCH("Conocer",$R734))+ISNUMBER(SEARCH("Aplicar",$R734))+ISNUMBER(SEARCH("Razonar",$R734))),0)</f>
        <v>0.5</v>
      </c>
      <c r="U734" s="28" t="n">
        <f aca="false">IFERROR(ISNUMBER(SEARCH("Razonar",$R734))/(ISNUMBER(SEARCH("Conocer",$R734))+ISNUMBER(SEARCH("Aplicar",$R734))+ISNUMBER(SEARCH("Razonar",$R734))),0)</f>
        <v>0.5</v>
      </c>
      <c r="V734" s="8" t="s">
        <v>54</v>
      </c>
      <c r="W734" s="8" t="s">
        <v>69</v>
      </c>
    </row>
    <row r="735" customFormat="false" ht="15" hidden="false" customHeight="false" outlineLevel="0" collapsed="false">
      <c r="A735" s="8" t="s">
        <v>3417</v>
      </c>
      <c r="B735" s="8" t="n">
        <v>10</v>
      </c>
      <c r="C735" s="8" t="s">
        <v>91</v>
      </c>
      <c r="D735" s="8" t="s">
        <v>2909</v>
      </c>
      <c r="E735" s="8" t="s">
        <v>2910</v>
      </c>
      <c r="F735" s="8" t="n">
        <v>111</v>
      </c>
      <c r="G735" s="8" t="s">
        <v>3370</v>
      </c>
      <c r="H735" s="8" t="s">
        <v>3413</v>
      </c>
      <c r="I735" s="27" t="s">
        <v>3418</v>
      </c>
      <c r="J735" s="8" t="s">
        <v>291</v>
      </c>
      <c r="K735" s="8" t="s">
        <v>417</v>
      </c>
      <c r="L735" s="8"/>
      <c r="M735" s="8" t="str">
        <f aca="false">IF(K735="FUERA","Fuera del marco",IF(K735="N/A","Sin marco",IFERROR(INDEX(Catalogo_TIMSS!$C$5:$C$105,MATCH(K735,Catalogo_TIMSS!$A$5:$A$105,0)),"Pendiente de clasificar")))</f>
        <v>Fuera del marco</v>
      </c>
      <c r="N735" s="8" t="str">
        <f aca="false">IF(K735="FUERA","Fuera del marco",IF(K735="N/A","Sin marco",IFERROR(INDEX(Catalogo_TIMSS!$F$5:$F$105,MATCH(K735,Catalogo_TIMSS!$A$5:$A$105,0)),"Pendiente de clasificar")))</f>
        <v>Fuera del marco</v>
      </c>
      <c r="O735" s="8" t="str">
        <f aca="false">IF(L735="","",IFERROR(INDEX(Catalogo_TIMSS!$C$5:$C$105,MATCH(L735,Catalogo_TIMSS!$A$5:$A$105,0)),"?"))</f>
        <v/>
      </c>
      <c r="P735" s="8" t="s">
        <v>418</v>
      </c>
      <c r="Q735" s="27" t="s">
        <v>3419</v>
      </c>
      <c r="R735" s="27" t="s">
        <v>3420</v>
      </c>
      <c r="S735" s="28" t="n">
        <f aca="false">IFERROR(ISNUMBER(SEARCH("Conocer",$R735))/(ISNUMBER(SEARCH("Conocer",$R735))+ISNUMBER(SEARCH("Aplicar",$R735))+ISNUMBER(SEARCH("Razonar",$R735))),0)</f>
        <v>0.5</v>
      </c>
      <c r="T735" s="28" t="n">
        <f aca="false">IFERROR(ISNUMBER(SEARCH("Aplicar",$R735))/(ISNUMBER(SEARCH("Conocer",$R735))+ISNUMBER(SEARCH("Aplicar",$R735))+ISNUMBER(SEARCH("Razonar",$R735))),0)</f>
        <v>0</v>
      </c>
      <c r="U735" s="28" t="n">
        <f aca="false">IFERROR(ISNUMBER(SEARCH("Razonar",$R735))/(ISNUMBER(SEARCH("Conocer",$R735))+ISNUMBER(SEARCH("Aplicar",$R735))+ISNUMBER(SEARCH("Razonar",$R735))),0)</f>
        <v>0.5</v>
      </c>
      <c r="V735" s="8" t="s">
        <v>54</v>
      </c>
      <c r="W735" s="8" t="s">
        <v>69</v>
      </c>
    </row>
    <row r="736" customFormat="false" ht="15" hidden="false" customHeight="false" outlineLevel="0" collapsed="false">
      <c r="A736" s="8" t="s">
        <v>3421</v>
      </c>
      <c r="B736" s="8" t="n">
        <v>10</v>
      </c>
      <c r="C736" s="8" t="s">
        <v>91</v>
      </c>
      <c r="D736" s="8" t="s">
        <v>2909</v>
      </c>
      <c r="E736" s="8" t="s">
        <v>2910</v>
      </c>
      <c r="F736" s="8" t="n">
        <v>112</v>
      </c>
      <c r="G736" s="8" t="s">
        <v>3422</v>
      </c>
      <c r="H736" s="8" t="s">
        <v>3423</v>
      </c>
      <c r="I736" s="27" t="s">
        <v>3424</v>
      </c>
      <c r="J736" s="8" t="s">
        <v>291</v>
      </c>
      <c r="K736" s="8" t="s">
        <v>332</v>
      </c>
      <c r="L736" s="8"/>
      <c r="M736" s="8" t="str">
        <f aca="false">IF(K736="FUERA","Fuera del marco",IF(K736="N/A","Sin marco",IFERROR(INDEX(Catalogo_TIMSS!$C$5:$C$105,MATCH(K736,Catalogo_TIMSS!$A$5:$A$105,0)),"Pendiente de clasificar")))</f>
        <v>Ondas y física atómica/nuclear</v>
      </c>
      <c r="N736" s="8" t="str">
        <f aca="false">IF(K736="FUERA","Fuera del marco",IF(K736="N/A","Sin marco",IFERROR(INDEX(Catalogo_TIMSS!$F$5:$F$105,MATCH(K736,Catalogo_TIMSS!$A$5:$A$105,0)),"Pendiente de clasificar")))</f>
        <v>Fenómenos ondulatorios</v>
      </c>
      <c r="O736" s="8" t="str">
        <f aca="false">IF(L736="","",IFERROR(INDEX(Catalogo_TIMSS!$C$5:$C$105,MATCH(L736,Catalogo_TIMSS!$A$5:$A$105,0)),"?"))</f>
        <v/>
      </c>
      <c r="P736" s="8" t="s">
        <v>460</v>
      </c>
      <c r="Q736" s="27" t="s">
        <v>3425</v>
      </c>
      <c r="R736" s="27" t="s">
        <v>3426</v>
      </c>
      <c r="S736" s="28" t="n">
        <f aca="false">IFERROR(ISNUMBER(SEARCH("Conocer",$R736))/(ISNUMBER(SEARCH("Conocer",$R736))+ISNUMBER(SEARCH("Aplicar",$R736))+ISNUMBER(SEARCH("Razonar",$R736))),0)</f>
        <v>0.333333333333333</v>
      </c>
      <c r="T736" s="28" t="n">
        <f aca="false">IFERROR(ISNUMBER(SEARCH("Aplicar",$R736))/(ISNUMBER(SEARCH("Conocer",$R736))+ISNUMBER(SEARCH("Aplicar",$R736))+ISNUMBER(SEARCH("Razonar",$R736))),0)</f>
        <v>0.333333333333333</v>
      </c>
      <c r="U736" s="28" t="n">
        <f aca="false">IFERROR(ISNUMBER(SEARCH("Razonar",$R736))/(ISNUMBER(SEARCH("Conocer",$R736))+ISNUMBER(SEARCH("Aplicar",$R736))+ISNUMBER(SEARCH("Razonar",$R736))),0)</f>
        <v>0.333333333333333</v>
      </c>
      <c r="V736" s="8" t="s">
        <v>54</v>
      </c>
      <c r="W736" s="8" t="s">
        <v>69</v>
      </c>
    </row>
    <row r="737" customFormat="false" ht="15" hidden="false" customHeight="false" outlineLevel="0" collapsed="false">
      <c r="A737" s="8" t="s">
        <v>3427</v>
      </c>
      <c r="B737" s="8" t="n">
        <v>10</v>
      </c>
      <c r="C737" s="8" t="s">
        <v>91</v>
      </c>
      <c r="D737" s="8" t="s">
        <v>2909</v>
      </c>
      <c r="E737" s="8" t="s">
        <v>2910</v>
      </c>
      <c r="F737" s="8" t="n">
        <v>113</v>
      </c>
      <c r="G737" s="8" t="s">
        <v>3422</v>
      </c>
      <c r="H737" s="8" t="s">
        <v>3423</v>
      </c>
      <c r="I737" s="27" t="s">
        <v>3428</v>
      </c>
      <c r="J737" s="8" t="s">
        <v>291</v>
      </c>
      <c r="K737" s="8" t="s">
        <v>332</v>
      </c>
      <c r="L737" s="8"/>
      <c r="M737" s="8" t="str">
        <f aca="false">IF(K737="FUERA","Fuera del marco",IF(K737="N/A","Sin marco",IFERROR(INDEX(Catalogo_TIMSS!$C$5:$C$105,MATCH(K737,Catalogo_TIMSS!$A$5:$A$105,0)),"Pendiente de clasificar")))</f>
        <v>Ondas y física atómica/nuclear</v>
      </c>
      <c r="N737" s="8" t="str">
        <f aca="false">IF(K737="FUERA","Fuera del marco",IF(K737="N/A","Sin marco",IFERROR(INDEX(Catalogo_TIMSS!$F$5:$F$105,MATCH(K737,Catalogo_TIMSS!$A$5:$A$105,0)),"Pendiente de clasificar")))</f>
        <v>Fenómenos ondulatorios</v>
      </c>
      <c r="O737" s="8" t="str">
        <f aca="false">IF(L737="","",IFERROR(INDEX(Catalogo_TIMSS!$C$5:$C$105,MATCH(L737,Catalogo_TIMSS!$A$5:$A$105,0)),"?"))</f>
        <v/>
      </c>
      <c r="P737" s="8" t="s">
        <v>418</v>
      </c>
      <c r="Q737" s="27" t="s">
        <v>3429</v>
      </c>
      <c r="R737" s="27" t="s">
        <v>3430</v>
      </c>
      <c r="S737" s="28" t="n">
        <f aca="false">IFERROR(ISNUMBER(SEARCH("Conocer",$R737))/(ISNUMBER(SEARCH("Conocer",$R737))+ISNUMBER(SEARCH("Aplicar",$R737))+ISNUMBER(SEARCH("Razonar",$R737))),0)</f>
        <v>0</v>
      </c>
      <c r="T737" s="28" t="n">
        <f aca="false">IFERROR(ISNUMBER(SEARCH("Aplicar",$R737))/(ISNUMBER(SEARCH("Conocer",$R737))+ISNUMBER(SEARCH("Aplicar",$R737))+ISNUMBER(SEARCH("Razonar",$R737))),0)</f>
        <v>0.5</v>
      </c>
      <c r="U737" s="28" t="n">
        <f aca="false">IFERROR(ISNUMBER(SEARCH("Razonar",$R737))/(ISNUMBER(SEARCH("Conocer",$R737))+ISNUMBER(SEARCH("Aplicar",$R737))+ISNUMBER(SEARCH("Razonar",$R737))),0)</f>
        <v>0.5</v>
      </c>
      <c r="V737" s="8" t="s">
        <v>54</v>
      </c>
      <c r="W737" s="8" t="s">
        <v>69</v>
      </c>
    </row>
    <row r="738" customFormat="false" ht="15" hidden="false" customHeight="false" outlineLevel="0" collapsed="false">
      <c r="A738" s="8" t="s">
        <v>3431</v>
      </c>
      <c r="B738" s="8" t="n">
        <v>10</v>
      </c>
      <c r="C738" s="8" t="s">
        <v>91</v>
      </c>
      <c r="D738" s="8" t="s">
        <v>2909</v>
      </c>
      <c r="E738" s="8" t="s">
        <v>2910</v>
      </c>
      <c r="F738" s="8" t="n">
        <v>114</v>
      </c>
      <c r="G738" s="8" t="s">
        <v>3422</v>
      </c>
      <c r="H738" s="8" t="s">
        <v>3423</v>
      </c>
      <c r="I738" s="27" t="s">
        <v>3432</v>
      </c>
      <c r="J738" s="8" t="s">
        <v>291</v>
      </c>
      <c r="K738" s="8" t="s">
        <v>332</v>
      </c>
      <c r="L738" s="8"/>
      <c r="M738" s="8" t="str">
        <f aca="false">IF(K738="FUERA","Fuera del marco",IF(K738="N/A","Sin marco",IFERROR(INDEX(Catalogo_TIMSS!$C$5:$C$105,MATCH(K738,Catalogo_TIMSS!$A$5:$A$105,0)),"Pendiente de clasificar")))</f>
        <v>Ondas y física atómica/nuclear</v>
      </c>
      <c r="N738" s="8" t="str">
        <f aca="false">IF(K738="FUERA","Fuera del marco",IF(K738="N/A","Sin marco",IFERROR(INDEX(Catalogo_TIMSS!$F$5:$F$105,MATCH(K738,Catalogo_TIMSS!$A$5:$A$105,0)),"Pendiente de clasificar")))</f>
        <v>Fenómenos ondulatorios</v>
      </c>
      <c r="O738" s="8" t="str">
        <f aca="false">IF(L738="","",IFERROR(INDEX(Catalogo_TIMSS!$C$5:$C$105,MATCH(L738,Catalogo_TIMSS!$A$5:$A$105,0)),"?"))</f>
        <v/>
      </c>
      <c r="P738" s="8" t="s">
        <v>460</v>
      </c>
      <c r="Q738" s="27" t="s">
        <v>3433</v>
      </c>
      <c r="R738" s="27" t="s">
        <v>3434</v>
      </c>
      <c r="S738" s="28" t="n">
        <f aca="false">IFERROR(ISNUMBER(SEARCH("Conocer",$R738))/(ISNUMBER(SEARCH("Conocer",$R738))+ISNUMBER(SEARCH("Aplicar",$R738))+ISNUMBER(SEARCH("Razonar",$R738))),0)</f>
        <v>0.5</v>
      </c>
      <c r="T738" s="28" t="n">
        <f aca="false">IFERROR(ISNUMBER(SEARCH("Aplicar",$R738))/(ISNUMBER(SEARCH("Conocer",$R738))+ISNUMBER(SEARCH("Aplicar",$R738))+ISNUMBER(SEARCH("Razonar",$R738))),0)</f>
        <v>0</v>
      </c>
      <c r="U738" s="28" t="n">
        <f aca="false">IFERROR(ISNUMBER(SEARCH("Razonar",$R738))/(ISNUMBER(SEARCH("Conocer",$R738))+ISNUMBER(SEARCH("Aplicar",$R738))+ISNUMBER(SEARCH("Razonar",$R738))),0)</f>
        <v>0.5</v>
      </c>
      <c r="V738" s="8" t="s">
        <v>54</v>
      </c>
      <c r="W738" s="8" t="s">
        <v>69</v>
      </c>
    </row>
    <row r="739" customFormat="false" ht="15" hidden="false" customHeight="false" outlineLevel="0" collapsed="false">
      <c r="A739" s="8" t="s">
        <v>3435</v>
      </c>
      <c r="B739" s="8" t="n">
        <v>10</v>
      </c>
      <c r="C739" s="8" t="s">
        <v>91</v>
      </c>
      <c r="D739" s="8" t="s">
        <v>2909</v>
      </c>
      <c r="E739" s="8" t="s">
        <v>2910</v>
      </c>
      <c r="F739" s="8" t="n">
        <v>115</v>
      </c>
      <c r="G739" s="8" t="s">
        <v>3422</v>
      </c>
      <c r="H739" s="8" t="s">
        <v>3423</v>
      </c>
      <c r="I739" s="27" t="s">
        <v>3436</v>
      </c>
      <c r="J739" s="8" t="s">
        <v>291</v>
      </c>
      <c r="K739" s="8" t="s">
        <v>332</v>
      </c>
      <c r="L739" s="8" t="s">
        <v>328</v>
      </c>
      <c r="M739" s="8" t="str">
        <f aca="false">IF(K739="FUERA","Fuera del marco",IF(K739="N/A","Sin marco",IFERROR(INDEX(Catalogo_TIMSS!$C$5:$C$105,MATCH(K739,Catalogo_TIMSS!$A$5:$A$105,0)),"Pendiente de clasificar")))</f>
        <v>Ondas y física atómica/nuclear</v>
      </c>
      <c r="N739" s="8" t="str">
        <f aca="false">IF(K739="FUERA","Fuera del marco",IF(K739="N/A","Sin marco",IFERROR(INDEX(Catalogo_TIMSS!$F$5:$F$105,MATCH(K739,Catalogo_TIMSS!$A$5:$A$105,0)),"Pendiente de clasificar")))</f>
        <v>Fenómenos ondulatorios</v>
      </c>
      <c r="O739" s="8" t="str">
        <f aca="false">IF(L739="","",IFERROR(INDEX(Catalogo_TIMSS!$C$5:$C$105,MATCH(L739,Catalogo_TIMSS!$A$5:$A$105,0)),"?"))</f>
        <v>Ondas y física atómica/nuclear</v>
      </c>
      <c r="P739" s="8" t="s">
        <v>460</v>
      </c>
      <c r="Q739" s="27" t="s">
        <v>3437</v>
      </c>
      <c r="R739" s="27" t="s">
        <v>3438</v>
      </c>
      <c r="S739" s="28" t="n">
        <f aca="false">IFERROR(ISNUMBER(SEARCH("Conocer",$R739))/(ISNUMBER(SEARCH("Conocer",$R739))+ISNUMBER(SEARCH("Aplicar",$R739))+ISNUMBER(SEARCH("Razonar",$R739))),0)</f>
        <v>0.5</v>
      </c>
      <c r="T739" s="28" t="n">
        <f aca="false">IFERROR(ISNUMBER(SEARCH("Aplicar",$R739))/(ISNUMBER(SEARCH("Conocer",$R739))+ISNUMBER(SEARCH("Aplicar",$R739))+ISNUMBER(SEARCH("Razonar",$R739))),0)</f>
        <v>0</v>
      </c>
      <c r="U739" s="28" t="n">
        <f aca="false">IFERROR(ISNUMBER(SEARCH("Razonar",$R739))/(ISNUMBER(SEARCH("Conocer",$R739))+ISNUMBER(SEARCH("Aplicar",$R739))+ISNUMBER(SEARCH("Razonar",$R739))),0)</f>
        <v>0.5</v>
      </c>
      <c r="V739" s="8" t="s">
        <v>54</v>
      </c>
      <c r="W739" s="8" t="s">
        <v>69</v>
      </c>
    </row>
    <row r="740" customFormat="false" ht="15" hidden="false" customHeight="false" outlineLevel="0" collapsed="false">
      <c r="A740" s="8" t="s">
        <v>3439</v>
      </c>
      <c r="B740" s="8" t="n">
        <v>10</v>
      </c>
      <c r="C740" s="8" t="s">
        <v>91</v>
      </c>
      <c r="D740" s="8" t="s">
        <v>2909</v>
      </c>
      <c r="E740" s="8" t="s">
        <v>2910</v>
      </c>
      <c r="F740" s="8" t="n">
        <v>116</v>
      </c>
      <c r="G740" s="8" t="s">
        <v>3422</v>
      </c>
      <c r="H740" s="8" t="s">
        <v>3423</v>
      </c>
      <c r="I740" s="27" t="s">
        <v>3440</v>
      </c>
      <c r="J740" s="8" t="s">
        <v>291</v>
      </c>
      <c r="K740" s="8" t="s">
        <v>332</v>
      </c>
      <c r="L740" s="8" t="s">
        <v>328</v>
      </c>
      <c r="M740" s="8" t="str">
        <f aca="false">IF(K740="FUERA","Fuera del marco",IF(K740="N/A","Sin marco",IFERROR(INDEX(Catalogo_TIMSS!$C$5:$C$105,MATCH(K740,Catalogo_TIMSS!$A$5:$A$105,0)),"Pendiente de clasificar")))</f>
        <v>Ondas y física atómica/nuclear</v>
      </c>
      <c r="N740" s="8" t="str">
        <f aca="false">IF(K740="FUERA","Fuera del marco",IF(K740="N/A","Sin marco",IFERROR(INDEX(Catalogo_TIMSS!$F$5:$F$105,MATCH(K740,Catalogo_TIMSS!$A$5:$A$105,0)),"Pendiente de clasificar")))</f>
        <v>Fenómenos ondulatorios</v>
      </c>
      <c r="O740" s="8" t="str">
        <f aca="false">IF(L740="","",IFERROR(INDEX(Catalogo_TIMSS!$C$5:$C$105,MATCH(L740,Catalogo_TIMSS!$A$5:$A$105,0)),"?"))</f>
        <v>Ondas y física atómica/nuclear</v>
      </c>
      <c r="P740" s="8" t="s">
        <v>460</v>
      </c>
      <c r="Q740" s="27" t="s">
        <v>3441</v>
      </c>
      <c r="R740" s="27" t="s">
        <v>3442</v>
      </c>
      <c r="S740" s="28" t="n">
        <f aca="false">IFERROR(ISNUMBER(SEARCH("Conocer",$R740))/(ISNUMBER(SEARCH("Conocer",$R740))+ISNUMBER(SEARCH("Aplicar",$R740))+ISNUMBER(SEARCH("Razonar",$R740))),0)</f>
        <v>0</v>
      </c>
      <c r="T740" s="28" t="n">
        <f aca="false">IFERROR(ISNUMBER(SEARCH("Aplicar",$R740))/(ISNUMBER(SEARCH("Conocer",$R740))+ISNUMBER(SEARCH("Aplicar",$R740))+ISNUMBER(SEARCH("Razonar",$R740))),0)</f>
        <v>0.5</v>
      </c>
      <c r="U740" s="28" t="n">
        <f aca="false">IFERROR(ISNUMBER(SEARCH("Razonar",$R740))/(ISNUMBER(SEARCH("Conocer",$R740))+ISNUMBER(SEARCH("Aplicar",$R740))+ISNUMBER(SEARCH("Razonar",$R740))),0)</f>
        <v>0.5</v>
      </c>
      <c r="V740" s="8" t="s">
        <v>54</v>
      </c>
      <c r="W740" s="8" t="s">
        <v>69</v>
      </c>
    </row>
    <row r="741" customFormat="false" ht="15" hidden="false" customHeight="false" outlineLevel="0" collapsed="false">
      <c r="A741" s="8" t="s">
        <v>3443</v>
      </c>
      <c r="B741" s="8" t="n">
        <v>10</v>
      </c>
      <c r="C741" s="8" t="s">
        <v>91</v>
      </c>
      <c r="D741" s="8" t="s">
        <v>2909</v>
      </c>
      <c r="E741" s="8" t="s">
        <v>2910</v>
      </c>
      <c r="F741" s="8" t="n">
        <v>117</v>
      </c>
      <c r="G741" s="8" t="s">
        <v>3422</v>
      </c>
      <c r="H741" s="8" t="s">
        <v>3423</v>
      </c>
      <c r="I741" s="27" t="s">
        <v>3444</v>
      </c>
      <c r="J741" s="8" t="s">
        <v>291</v>
      </c>
      <c r="K741" s="8" t="s">
        <v>332</v>
      </c>
      <c r="L741" s="8"/>
      <c r="M741" s="8" t="str">
        <f aca="false">IF(K741="FUERA","Fuera del marco",IF(K741="N/A","Sin marco",IFERROR(INDEX(Catalogo_TIMSS!$C$5:$C$105,MATCH(K741,Catalogo_TIMSS!$A$5:$A$105,0)),"Pendiente de clasificar")))</f>
        <v>Ondas y física atómica/nuclear</v>
      </c>
      <c r="N741" s="8" t="str">
        <f aca="false">IF(K741="FUERA","Fuera del marco",IF(K741="N/A","Sin marco",IFERROR(INDEX(Catalogo_TIMSS!$F$5:$F$105,MATCH(K741,Catalogo_TIMSS!$A$5:$A$105,0)),"Pendiente de clasificar")))</f>
        <v>Fenómenos ondulatorios</v>
      </c>
      <c r="O741" s="8" t="str">
        <f aca="false">IF(L741="","",IFERROR(INDEX(Catalogo_TIMSS!$C$5:$C$105,MATCH(L741,Catalogo_TIMSS!$A$5:$A$105,0)),"?"))</f>
        <v/>
      </c>
      <c r="P741" s="8" t="s">
        <v>513</v>
      </c>
      <c r="Q741" s="27" t="s">
        <v>3445</v>
      </c>
      <c r="R741" s="27" t="s">
        <v>3446</v>
      </c>
      <c r="S741" s="28" t="n">
        <f aca="false">IFERROR(ISNUMBER(SEARCH("Conocer",$R741))/(ISNUMBER(SEARCH("Conocer",$R741))+ISNUMBER(SEARCH("Aplicar",$R741))+ISNUMBER(SEARCH("Razonar",$R741))),0)</f>
        <v>0.333333333333333</v>
      </c>
      <c r="T741" s="28" t="n">
        <f aca="false">IFERROR(ISNUMBER(SEARCH("Aplicar",$R741))/(ISNUMBER(SEARCH("Conocer",$R741))+ISNUMBER(SEARCH("Aplicar",$R741))+ISNUMBER(SEARCH("Razonar",$R741))),0)</f>
        <v>0.333333333333333</v>
      </c>
      <c r="U741" s="28" t="n">
        <f aca="false">IFERROR(ISNUMBER(SEARCH("Razonar",$R741))/(ISNUMBER(SEARCH("Conocer",$R741))+ISNUMBER(SEARCH("Aplicar",$R741))+ISNUMBER(SEARCH("Razonar",$R741))),0)</f>
        <v>0.333333333333333</v>
      </c>
      <c r="V741" s="8" t="s">
        <v>54</v>
      </c>
      <c r="W741" s="8" t="s">
        <v>69</v>
      </c>
    </row>
    <row r="742" customFormat="false" ht="15" hidden="false" customHeight="false" outlineLevel="0" collapsed="false">
      <c r="A742" s="8" t="s">
        <v>3447</v>
      </c>
      <c r="B742" s="8" t="n">
        <v>10</v>
      </c>
      <c r="C742" s="8" t="s">
        <v>91</v>
      </c>
      <c r="D742" s="8" t="s">
        <v>2909</v>
      </c>
      <c r="E742" s="8" t="s">
        <v>2910</v>
      </c>
      <c r="F742" s="8" t="n">
        <v>118</v>
      </c>
      <c r="G742" s="8" t="s">
        <v>3422</v>
      </c>
      <c r="H742" s="8" t="s">
        <v>3448</v>
      </c>
      <c r="I742" s="27" t="s">
        <v>3449</v>
      </c>
      <c r="J742" s="8" t="s">
        <v>291</v>
      </c>
      <c r="K742" s="8" t="s">
        <v>332</v>
      </c>
      <c r="L742" s="8"/>
      <c r="M742" s="8" t="str">
        <f aca="false">IF(K742="FUERA","Fuera del marco",IF(K742="N/A","Sin marco",IFERROR(INDEX(Catalogo_TIMSS!$C$5:$C$105,MATCH(K742,Catalogo_TIMSS!$A$5:$A$105,0)),"Pendiente de clasificar")))</f>
        <v>Ondas y física atómica/nuclear</v>
      </c>
      <c r="N742" s="8" t="str">
        <f aca="false">IF(K742="FUERA","Fuera del marco",IF(K742="N/A","Sin marco",IFERROR(INDEX(Catalogo_TIMSS!$F$5:$F$105,MATCH(K742,Catalogo_TIMSS!$A$5:$A$105,0)),"Pendiente de clasificar")))</f>
        <v>Fenómenos ondulatorios</v>
      </c>
      <c r="O742" s="8" t="str">
        <f aca="false">IF(L742="","",IFERROR(INDEX(Catalogo_TIMSS!$C$5:$C$105,MATCH(L742,Catalogo_TIMSS!$A$5:$A$105,0)),"?"))</f>
        <v/>
      </c>
      <c r="P742" s="8" t="s">
        <v>460</v>
      </c>
      <c r="Q742" s="27" t="s">
        <v>3450</v>
      </c>
      <c r="R742" s="27" t="s">
        <v>3451</v>
      </c>
      <c r="S742" s="28" t="n">
        <f aca="false">IFERROR(ISNUMBER(SEARCH("Conocer",$R742))/(ISNUMBER(SEARCH("Conocer",$R742))+ISNUMBER(SEARCH("Aplicar",$R742))+ISNUMBER(SEARCH("Razonar",$R742))),0)</f>
        <v>0.333333333333333</v>
      </c>
      <c r="T742" s="28" t="n">
        <f aca="false">IFERROR(ISNUMBER(SEARCH("Aplicar",$R742))/(ISNUMBER(SEARCH("Conocer",$R742))+ISNUMBER(SEARCH("Aplicar",$R742))+ISNUMBER(SEARCH("Razonar",$R742))),0)</f>
        <v>0.333333333333333</v>
      </c>
      <c r="U742" s="28" t="n">
        <f aca="false">IFERROR(ISNUMBER(SEARCH("Razonar",$R742))/(ISNUMBER(SEARCH("Conocer",$R742))+ISNUMBER(SEARCH("Aplicar",$R742))+ISNUMBER(SEARCH("Razonar",$R742))),0)</f>
        <v>0.333333333333333</v>
      </c>
      <c r="V742" s="8" t="s">
        <v>54</v>
      </c>
      <c r="W742" s="8" t="s">
        <v>69</v>
      </c>
    </row>
    <row r="743" customFormat="false" ht="15" hidden="false" customHeight="false" outlineLevel="0" collapsed="false">
      <c r="A743" s="8" t="s">
        <v>3452</v>
      </c>
      <c r="B743" s="8" t="n">
        <v>10</v>
      </c>
      <c r="C743" s="8" t="s">
        <v>91</v>
      </c>
      <c r="D743" s="8" t="s">
        <v>2909</v>
      </c>
      <c r="E743" s="8" t="s">
        <v>2910</v>
      </c>
      <c r="F743" s="8" t="n">
        <v>119</v>
      </c>
      <c r="G743" s="8" t="s">
        <v>3422</v>
      </c>
      <c r="H743" s="8" t="s">
        <v>3448</v>
      </c>
      <c r="I743" s="27" t="s">
        <v>3453</v>
      </c>
      <c r="J743" s="8" t="s">
        <v>291</v>
      </c>
      <c r="K743" s="8" t="s">
        <v>332</v>
      </c>
      <c r="L743" s="8"/>
      <c r="M743" s="8" t="str">
        <f aca="false">IF(K743="FUERA","Fuera del marco",IF(K743="N/A","Sin marco",IFERROR(INDEX(Catalogo_TIMSS!$C$5:$C$105,MATCH(K743,Catalogo_TIMSS!$A$5:$A$105,0)),"Pendiente de clasificar")))</f>
        <v>Ondas y física atómica/nuclear</v>
      </c>
      <c r="N743" s="8" t="str">
        <f aca="false">IF(K743="FUERA","Fuera del marco",IF(K743="N/A","Sin marco",IFERROR(INDEX(Catalogo_TIMSS!$F$5:$F$105,MATCH(K743,Catalogo_TIMSS!$A$5:$A$105,0)),"Pendiente de clasificar")))</f>
        <v>Fenómenos ondulatorios</v>
      </c>
      <c r="O743" s="8" t="str">
        <f aca="false">IF(L743="","",IFERROR(INDEX(Catalogo_TIMSS!$C$5:$C$105,MATCH(L743,Catalogo_TIMSS!$A$5:$A$105,0)),"?"))</f>
        <v/>
      </c>
      <c r="P743" s="8" t="s">
        <v>418</v>
      </c>
      <c r="Q743" s="27" t="s">
        <v>3454</v>
      </c>
      <c r="R743" s="27" t="s">
        <v>3455</v>
      </c>
      <c r="S743" s="28" t="n">
        <f aca="false">IFERROR(ISNUMBER(SEARCH("Conocer",$R743))/(ISNUMBER(SEARCH("Conocer",$R743))+ISNUMBER(SEARCH("Aplicar",$R743))+ISNUMBER(SEARCH("Razonar",$R743))),0)</f>
        <v>0</v>
      </c>
      <c r="T743" s="28" t="n">
        <f aca="false">IFERROR(ISNUMBER(SEARCH("Aplicar",$R743))/(ISNUMBER(SEARCH("Conocer",$R743))+ISNUMBER(SEARCH("Aplicar",$R743))+ISNUMBER(SEARCH("Razonar",$R743))),0)</f>
        <v>0.5</v>
      </c>
      <c r="U743" s="28" t="n">
        <f aca="false">IFERROR(ISNUMBER(SEARCH("Razonar",$R743))/(ISNUMBER(SEARCH("Conocer",$R743))+ISNUMBER(SEARCH("Aplicar",$R743))+ISNUMBER(SEARCH("Razonar",$R743))),0)</f>
        <v>0.5</v>
      </c>
      <c r="V743" s="8" t="s">
        <v>54</v>
      </c>
      <c r="W743" s="8" t="s">
        <v>69</v>
      </c>
    </row>
    <row r="744" customFormat="false" ht="15" hidden="false" customHeight="false" outlineLevel="0" collapsed="false">
      <c r="A744" s="8" t="s">
        <v>3456</v>
      </c>
      <c r="B744" s="8" t="n">
        <v>10</v>
      </c>
      <c r="C744" s="8" t="s">
        <v>91</v>
      </c>
      <c r="D744" s="8" t="s">
        <v>2909</v>
      </c>
      <c r="E744" s="8" t="s">
        <v>2910</v>
      </c>
      <c r="F744" s="8" t="n">
        <v>120</v>
      </c>
      <c r="G744" s="8" t="s">
        <v>3422</v>
      </c>
      <c r="H744" s="8" t="s">
        <v>3448</v>
      </c>
      <c r="I744" s="27" t="s">
        <v>3457</v>
      </c>
      <c r="J744" s="8" t="s">
        <v>291</v>
      </c>
      <c r="K744" s="8" t="s">
        <v>332</v>
      </c>
      <c r="L744" s="8"/>
      <c r="M744" s="8" t="str">
        <f aca="false">IF(K744="FUERA","Fuera del marco",IF(K744="N/A","Sin marco",IFERROR(INDEX(Catalogo_TIMSS!$C$5:$C$105,MATCH(K744,Catalogo_TIMSS!$A$5:$A$105,0)),"Pendiente de clasificar")))</f>
        <v>Ondas y física atómica/nuclear</v>
      </c>
      <c r="N744" s="8" t="str">
        <f aca="false">IF(K744="FUERA","Fuera del marco",IF(K744="N/A","Sin marco",IFERROR(INDEX(Catalogo_TIMSS!$F$5:$F$105,MATCH(K744,Catalogo_TIMSS!$A$5:$A$105,0)),"Pendiente de clasificar")))</f>
        <v>Fenómenos ondulatorios</v>
      </c>
      <c r="O744" s="8" t="str">
        <f aca="false">IF(L744="","",IFERROR(INDEX(Catalogo_TIMSS!$C$5:$C$105,MATCH(L744,Catalogo_TIMSS!$A$5:$A$105,0)),"?"))</f>
        <v/>
      </c>
      <c r="P744" s="8" t="s">
        <v>418</v>
      </c>
      <c r="Q744" s="27" t="s">
        <v>3458</v>
      </c>
      <c r="R744" s="27" t="s">
        <v>3459</v>
      </c>
      <c r="S744" s="28" t="n">
        <f aca="false">IFERROR(ISNUMBER(SEARCH("Conocer",$R744))/(ISNUMBER(SEARCH("Conocer",$R744))+ISNUMBER(SEARCH("Aplicar",$R744))+ISNUMBER(SEARCH("Razonar",$R744))),0)</f>
        <v>0</v>
      </c>
      <c r="T744" s="28" t="n">
        <f aca="false">IFERROR(ISNUMBER(SEARCH("Aplicar",$R744))/(ISNUMBER(SEARCH("Conocer",$R744))+ISNUMBER(SEARCH("Aplicar",$R744))+ISNUMBER(SEARCH("Razonar",$R744))),0)</f>
        <v>0.5</v>
      </c>
      <c r="U744" s="28" t="n">
        <f aca="false">IFERROR(ISNUMBER(SEARCH("Razonar",$R744))/(ISNUMBER(SEARCH("Conocer",$R744))+ISNUMBER(SEARCH("Aplicar",$R744))+ISNUMBER(SEARCH("Razonar",$R744))),0)</f>
        <v>0.5</v>
      </c>
      <c r="V744" s="8" t="s">
        <v>54</v>
      </c>
      <c r="W744" s="8" t="s">
        <v>69</v>
      </c>
    </row>
    <row r="745" customFormat="false" ht="15" hidden="false" customHeight="false" outlineLevel="0" collapsed="false">
      <c r="A745" s="8" t="s">
        <v>3460</v>
      </c>
      <c r="B745" s="8" t="n">
        <v>10</v>
      </c>
      <c r="C745" s="8" t="s">
        <v>91</v>
      </c>
      <c r="D745" s="8" t="s">
        <v>2909</v>
      </c>
      <c r="E745" s="8" t="s">
        <v>2910</v>
      </c>
      <c r="F745" s="8" t="n">
        <v>121</v>
      </c>
      <c r="G745" s="8" t="s">
        <v>3422</v>
      </c>
      <c r="H745" s="8" t="s">
        <v>3448</v>
      </c>
      <c r="I745" s="27" t="s">
        <v>3461</v>
      </c>
      <c r="J745" s="8" t="s">
        <v>291</v>
      </c>
      <c r="K745" s="8" t="s">
        <v>332</v>
      </c>
      <c r="L745" s="8"/>
      <c r="M745" s="8" t="str">
        <f aca="false">IF(K745="FUERA","Fuera del marco",IF(K745="N/A","Sin marco",IFERROR(INDEX(Catalogo_TIMSS!$C$5:$C$105,MATCH(K745,Catalogo_TIMSS!$A$5:$A$105,0)),"Pendiente de clasificar")))</f>
        <v>Ondas y física atómica/nuclear</v>
      </c>
      <c r="N745" s="8" t="str">
        <f aca="false">IF(K745="FUERA","Fuera del marco",IF(K745="N/A","Sin marco",IFERROR(INDEX(Catalogo_TIMSS!$F$5:$F$105,MATCH(K745,Catalogo_TIMSS!$A$5:$A$105,0)),"Pendiente de clasificar")))</f>
        <v>Fenómenos ondulatorios</v>
      </c>
      <c r="O745" s="8" t="str">
        <f aca="false">IF(L745="","",IFERROR(INDEX(Catalogo_TIMSS!$C$5:$C$105,MATCH(L745,Catalogo_TIMSS!$A$5:$A$105,0)),"?"))</f>
        <v/>
      </c>
      <c r="P745" s="8" t="s">
        <v>460</v>
      </c>
      <c r="Q745" s="27" t="s">
        <v>3462</v>
      </c>
      <c r="R745" s="27" t="s">
        <v>3463</v>
      </c>
      <c r="S745" s="28" t="n">
        <f aca="false">IFERROR(ISNUMBER(SEARCH("Conocer",$R745))/(ISNUMBER(SEARCH("Conocer",$R745))+ISNUMBER(SEARCH("Aplicar",$R745))+ISNUMBER(SEARCH("Razonar",$R745))),0)</f>
        <v>0.5</v>
      </c>
      <c r="T745" s="28" t="n">
        <f aca="false">IFERROR(ISNUMBER(SEARCH("Aplicar",$R745))/(ISNUMBER(SEARCH("Conocer",$R745))+ISNUMBER(SEARCH("Aplicar",$R745))+ISNUMBER(SEARCH("Razonar",$R745))),0)</f>
        <v>0</v>
      </c>
      <c r="U745" s="28" t="n">
        <f aca="false">IFERROR(ISNUMBER(SEARCH("Razonar",$R745))/(ISNUMBER(SEARCH("Conocer",$R745))+ISNUMBER(SEARCH("Aplicar",$R745))+ISNUMBER(SEARCH("Razonar",$R745))),0)</f>
        <v>0.5</v>
      </c>
      <c r="V745" s="8" t="s">
        <v>54</v>
      </c>
      <c r="W745" s="8" t="s">
        <v>69</v>
      </c>
    </row>
    <row r="746" customFormat="false" ht="15" hidden="false" customHeight="false" outlineLevel="0" collapsed="false">
      <c r="A746" s="8" t="s">
        <v>3464</v>
      </c>
      <c r="B746" s="8" t="n">
        <v>10</v>
      </c>
      <c r="C746" s="8" t="s">
        <v>91</v>
      </c>
      <c r="D746" s="8" t="s">
        <v>2909</v>
      </c>
      <c r="E746" s="8" t="s">
        <v>2910</v>
      </c>
      <c r="F746" s="8" t="n">
        <v>122</v>
      </c>
      <c r="G746" s="8" t="s">
        <v>3422</v>
      </c>
      <c r="H746" s="8" t="s">
        <v>3448</v>
      </c>
      <c r="I746" s="27" t="s">
        <v>3465</v>
      </c>
      <c r="J746" s="8" t="s">
        <v>291</v>
      </c>
      <c r="K746" s="8" t="s">
        <v>332</v>
      </c>
      <c r="L746" s="8"/>
      <c r="M746" s="8" t="str">
        <f aca="false">IF(K746="FUERA","Fuera del marco",IF(K746="N/A","Sin marco",IFERROR(INDEX(Catalogo_TIMSS!$C$5:$C$105,MATCH(K746,Catalogo_TIMSS!$A$5:$A$105,0)),"Pendiente de clasificar")))</f>
        <v>Ondas y física atómica/nuclear</v>
      </c>
      <c r="N746" s="8" t="str">
        <f aca="false">IF(K746="FUERA","Fuera del marco",IF(K746="N/A","Sin marco",IFERROR(INDEX(Catalogo_TIMSS!$F$5:$F$105,MATCH(K746,Catalogo_TIMSS!$A$5:$A$105,0)),"Pendiente de clasificar")))</f>
        <v>Fenómenos ondulatorios</v>
      </c>
      <c r="O746" s="8" t="str">
        <f aca="false">IF(L746="","",IFERROR(INDEX(Catalogo_TIMSS!$C$5:$C$105,MATCH(L746,Catalogo_TIMSS!$A$5:$A$105,0)),"?"))</f>
        <v/>
      </c>
      <c r="P746" s="8" t="s">
        <v>460</v>
      </c>
      <c r="Q746" s="27" t="s">
        <v>3466</v>
      </c>
      <c r="R746" s="27" t="s">
        <v>3467</v>
      </c>
      <c r="S746" s="28" t="n">
        <f aca="false">IFERROR(ISNUMBER(SEARCH("Conocer",$R746))/(ISNUMBER(SEARCH("Conocer",$R746))+ISNUMBER(SEARCH("Aplicar",$R746))+ISNUMBER(SEARCH("Razonar",$R746))),0)</f>
        <v>0</v>
      </c>
      <c r="T746" s="28" t="n">
        <f aca="false">IFERROR(ISNUMBER(SEARCH("Aplicar",$R746))/(ISNUMBER(SEARCH("Conocer",$R746))+ISNUMBER(SEARCH("Aplicar",$R746))+ISNUMBER(SEARCH("Razonar",$R746))),0)</f>
        <v>0.5</v>
      </c>
      <c r="U746" s="28" t="n">
        <f aca="false">IFERROR(ISNUMBER(SEARCH("Razonar",$R746))/(ISNUMBER(SEARCH("Conocer",$R746))+ISNUMBER(SEARCH("Aplicar",$R746))+ISNUMBER(SEARCH("Razonar",$R746))),0)</f>
        <v>0.5</v>
      </c>
      <c r="V746" s="8" t="s">
        <v>54</v>
      </c>
      <c r="W746" s="8" t="s">
        <v>69</v>
      </c>
    </row>
    <row r="747" customFormat="false" ht="15" hidden="false" customHeight="false" outlineLevel="0" collapsed="false">
      <c r="A747" s="8" t="s">
        <v>3468</v>
      </c>
      <c r="B747" s="8" t="n">
        <v>10</v>
      </c>
      <c r="C747" s="8" t="s">
        <v>91</v>
      </c>
      <c r="D747" s="8" t="s">
        <v>2909</v>
      </c>
      <c r="E747" s="8" t="s">
        <v>2910</v>
      </c>
      <c r="F747" s="8" t="n">
        <v>123</v>
      </c>
      <c r="G747" s="8" t="s">
        <v>3422</v>
      </c>
      <c r="H747" s="8" t="s">
        <v>3448</v>
      </c>
      <c r="I747" s="27" t="s">
        <v>3469</v>
      </c>
      <c r="J747" s="8" t="s">
        <v>291</v>
      </c>
      <c r="K747" s="8" t="s">
        <v>332</v>
      </c>
      <c r="L747" s="8"/>
      <c r="M747" s="8" t="str">
        <f aca="false">IF(K747="FUERA","Fuera del marco",IF(K747="N/A","Sin marco",IFERROR(INDEX(Catalogo_TIMSS!$C$5:$C$105,MATCH(K747,Catalogo_TIMSS!$A$5:$A$105,0)),"Pendiente de clasificar")))</f>
        <v>Ondas y física atómica/nuclear</v>
      </c>
      <c r="N747" s="8" t="str">
        <f aca="false">IF(K747="FUERA","Fuera del marco",IF(K747="N/A","Sin marco",IFERROR(INDEX(Catalogo_TIMSS!$F$5:$F$105,MATCH(K747,Catalogo_TIMSS!$A$5:$A$105,0)),"Pendiente de clasificar")))</f>
        <v>Fenómenos ondulatorios</v>
      </c>
      <c r="O747" s="8" t="str">
        <f aca="false">IF(L747="","",IFERROR(INDEX(Catalogo_TIMSS!$C$5:$C$105,MATCH(L747,Catalogo_TIMSS!$A$5:$A$105,0)),"?"))</f>
        <v/>
      </c>
      <c r="P747" s="8" t="s">
        <v>513</v>
      </c>
      <c r="Q747" s="27" t="s">
        <v>3470</v>
      </c>
      <c r="R747" s="27" t="s">
        <v>3471</v>
      </c>
      <c r="S747" s="28" t="n">
        <f aca="false">IFERROR(ISNUMBER(SEARCH("Conocer",$R747))/(ISNUMBER(SEARCH("Conocer",$R747))+ISNUMBER(SEARCH("Aplicar",$R747))+ISNUMBER(SEARCH("Razonar",$R747))),0)</f>
        <v>0</v>
      </c>
      <c r="T747" s="28" t="n">
        <f aca="false">IFERROR(ISNUMBER(SEARCH("Aplicar",$R747))/(ISNUMBER(SEARCH("Conocer",$R747))+ISNUMBER(SEARCH("Aplicar",$R747))+ISNUMBER(SEARCH("Razonar",$R747))),0)</f>
        <v>0.5</v>
      </c>
      <c r="U747" s="28" t="n">
        <f aca="false">IFERROR(ISNUMBER(SEARCH("Razonar",$R747))/(ISNUMBER(SEARCH("Conocer",$R747))+ISNUMBER(SEARCH("Aplicar",$R747))+ISNUMBER(SEARCH("Razonar",$R747))),0)</f>
        <v>0.5</v>
      </c>
      <c r="V747" s="8" t="s">
        <v>54</v>
      </c>
      <c r="W747" s="8" t="s">
        <v>69</v>
      </c>
    </row>
    <row r="748" customFormat="false" ht="15" hidden="false" customHeight="false" outlineLevel="0" collapsed="false">
      <c r="A748" s="8" t="s">
        <v>3472</v>
      </c>
      <c r="B748" s="8" t="n">
        <v>11</v>
      </c>
      <c r="C748" s="8" t="s">
        <v>91</v>
      </c>
      <c r="D748" s="8" t="s">
        <v>2909</v>
      </c>
      <c r="E748" s="8" t="s">
        <v>3473</v>
      </c>
      <c r="F748" s="8" t="n">
        <v>3</v>
      </c>
      <c r="G748" s="8" t="s">
        <v>3474</v>
      </c>
      <c r="H748" s="8" t="s">
        <v>3475</v>
      </c>
      <c r="I748" s="27" t="s">
        <v>3476</v>
      </c>
      <c r="J748" s="8" t="s">
        <v>291</v>
      </c>
      <c r="K748" s="8" t="s">
        <v>293</v>
      </c>
      <c r="L748" s="8"/>
      <c r="M748" s="8" t="str">
        <f aca="false">IF(K748="FUERA","Fuera del marco",IF(K748="N/A","Sin marco",IFERROR(INDEX(Catalogo_TIMSS!$C$5:$C$105,MATCH(K748,Catalogo_TIMSS!$A$5:$A$105,0)),"Pendiente de clasificar")))</f>
        <v>Mecánica y termodinámica</v>
      </c>
      <c r="N748" s="8" t="str">
        <f aca="false">IF(K748="FUERA","Fuera del marco",IF(K748="N/A","Sin marco",IFERROR(INDEX(Catalogo_TIMSS!$F$5:$F$105,MATCH(K748,Catalogo_TIMSS!$A$5:$A$105,0)),"Pendiente de clasificar")))</f>
        <v>Fuerzas y movimiento</v>
      </c>
      <c r="O748" s="8" t="str">
        <f aca="false">IF(L748="","",IFERROR(INDEX(Catalogo_TIMSS!$C$5:$C$105,MATCH(L748,Catalogo_TIMSS!$A$5:$A$105,0)),"?"))</f>
        <v/>
      </c>
      <c r="P748" s="8" t="s">
        <v>460</v>
      </c>
      <c r="Q748" s="27" t="s">
        <v>3477</v>
      </c>
      <c r="R748" s="27" t="s">
        <v>3478</v>
      </c>
      <c r="S748" s="28" t="n">
        <f aca="false">IFERROR(ISNUMBER(SEARCH("Conocer",$R748))/(ISNUMBER(SEARCH("Conocer",$R748))+ISNUMBER(SEARCH("Aplicar",$R748))+ISNUMBER(SEARCH("Razonar",$R748))),0)</f>
        <v>0</v>
      </c>
      <c r="T748" s="28" t="n">
        <f aca="false">IFERROR(ISNUMBER(SEARCH("Aplicar",$R748))/(ISNUMBER(SEARCH("Conocer",$R748))+ISNUMBER(SEARCH("Aplicar",$R748))+ISNUMBER(SEARCH("Razonar",$R748))),0)</f>
        <v>0.5</v>
      </c>
      <c r="U748" s="28" t="n">
        <f aca="false">IFERROR(ISNUMBER(SEARCH("Razonar",$R748))/(ISNUMBER(SEARCH("Conocer",$R748))+ISNUMBER(SEARCH("Aplicar",$R748))+ISNUMBER(SEARCH("Razonar",$R748))),0)</f>
        <v>0.5</v>
      </c>
      <c r="V748" s="8" t="s">
        <v>56</v>
      </c>
      <c r="W748" s="8" t="s">
        <v>69</v>
      </c>
    </row>
    <row r="749" customFormat="false" ht="15" hidden="false" customHeight="false" outlineLevel="0" collapsed="false">
      <c r="A749" s="8" t="s">
        <v>3479</v>
      </c>
      <c r="B749" s="8" t="n">
        <v>11</v>
      </c>
      <c r="C749" s="8" t="s">
        <v>91</v>
      </c>
      <c r="D749" s="8" t="s">
        <v>2909</v>
      </c>
      <c r="E749" s="8" t="s">
        <v>3473</v>
      </c>
      <c r="F749" s="8" t="n">
        <v>4</v>
      </c>
      <c r="G749" s="8" t="s">
        <v>3474</v>
      </c>
      <c r="H749" s="8" t="s">
        <v>3475</v>
      </c>
      <c r="I749" s="27" t="s">
        <v>3480</v>
      </c>
      <c r="J749" s="8" t="s">
        <v>291</v>
      </c>
      <c r="K749" s="8" t="s">
        <v>417</v>
      </c>
      <c r="L749" s="8"/>
      <c r="M749" s="8" t="str">
        <f aca="false">IF(K749="FUERA","Fuera del marco",IF(K749="N/A","Sin marco",IFERROR(INDEX(Catalogo_TIMSS!$C$5:$C$105,MATCH(K749,Catalogo_TIMSS!$A$5:$A$105,0)),"Pendiente de clasificar")))</f>
        <v>Fuera del marco</v>
      </c>
      <c r="N749" s="8" t="str">
        <f aca="false">IF(K749="FUERA","Fuera del marco",IF(K749="N/A","Sin marco",IFERROR(INDEX(Catalogo_TIMSS!$F$5:$F$105,MATCH(K749,Catalogo_TIMSS!$A$5:$A$105,0)),"Pendiente de clasificar")))</f>
        <v>Fuera del marco</v>
      </c>
      <c r="O749" s="8" t="str">
        <f aca="false">IF(L749="","",IFERROR(INDEX(Catalogo_TIMSS!$C$5:$C$105,MATCH(L749,Catalogo_TIMSS!$A$5:$A$105,0)),"?"))</f>
        <v/>
      </c>
      <c r="P749" s="8" t="s">
        <v>460</v>
      </c>
      <c r="Q749" s="27" t="s">
        <v>3481</v>
      </c>
      <c r="R749" s="27" t="s">
        <v>3482</v>
      </c>
      <c r="S749" s="28" t="n">
        <f aca="false">IFERROR(ISNUMBER(SEARCH("Conocer",$R749))/(ISNUMBER(SEARCH("Conocer",$R749))+ISNUMBER(SEARCH("Aplicar",$R749))+ISNUMBER(SEARCH("Razonar",$R749))),0)</f>
        <v>0</v>
      </c>
      <c r="T749" s="28" t="n">
        <f aca="false">IFERROR(ISNUMBER(SEARCH("Aplicar",$R749))/(ISNUMBER(SEARCH("Conocer",$R749))+ISNUMBER(SEARCH("Aplicar",$R749))+ISNUMBER(SEARCH("Razonar",$R749))),0)</f>
        <v>0.5</v>
      </c>
      <c r="U749" s="28" t="n">
        <f aca="false">IFERROR(ISNUMBER(SEARCH("Razonar",$R749))/(ISNUMBER(SEARCH("Conocer",$R749))+ISNUMBER(SEARCH("Aplicar",$R749))+ISNUMBER(SEARCH("Razonar",$R749))),0)</f>
        <v>0.5</v>
      </c>
      <c r="V749" s="8" t="s">
        <v>56</v>
      </c>
      <c r="W749" s="8" t="s">
        <v>69</v>
      </c>
    </row>
    <row r="750" customFormat="false" ht="15" hidden="false" customHeight="false" outlineLevel="0" collapsed="false">
      <c r="A750" s="8" t="s">
        <v>3483</v>
      </c>
      <c r="B750" s="8" t="n">
        <v>11</v>
      </c>
      <c r="C750" s="8" t="s">
        <v>91</v>
      </c>
      <c r="D750" s="8" t="s">
        <v>2909</v>
      </c>
      <c r="E750" s="8" t="s">
        <v>3473</v>
      </c>
      <c r="F750" s="8" t="n">
        <v>5</v>
      </c>
      <c r="G750" s="8" t="s">
        <v>3474</v>
      </c>
      <c r="H750" s="8" t="s">
        <v>3484</v>
      </c>
      <c r="I750" s="27" t="s">
        <v>3485</v>
      </c>
      <c r="J750" s="8" t="s">
        <v>291</v>
      </c>
      <c r="K750" s="8" t="s">
        <v>299</v>
      </c>
      <c r="L750" s="8"/>
      <c r="M750" s="8" t="str">
        <f aca="false">IF(K750="FUERA","Fuera del marco",IF(K750="N/A","Sin marco",IFERROR(INDEX(Catalogo_TIMSS!$C$5:$C$105,MATCH(K750,Catalogo_TIMSS!$A$5:$A$105,0)),"Pendiente de clasificar")))</f>
        <v>Mecánica y termodinámica</v>
      </c>
      <c r="N750" s="8" t="str">
        <f aca="false">IF(K750="FUERA","Fuera del marco",IF(K750="N/A","Sin marco",IFERROR(INDEX(Catalogo_TIMSS!$F$5:$F$105,MATCH(K750,Catalogo_TIMSS!$A$5:$A$105,0)),"Pendiente de clasificar")))</f>
        <v>Leyes de conservación</v>
      </c>
      <c r="O750" s="8" t="str">
        <f aca="false">IF(L750="","",IFERROR(INDEX(Catalogo_TIMSS!$C$5:$C$105,MATCH(L750,Catalogo_TIMSS!$A$5:$A$105,0)),"?"))</f>
        <v/>
      </c>
      <c r="P750" s="8" t="s">
        <v>418</v>
      </c>
      <c r="Q750" s="27" t="s">
        <v>3486</v>
      </c>
      <c r="R750" s="27" t="s">
        <v>3487</v>
      </c>
      <c r="S750" s="28" t="n">
        <f aca="false">IFERROR(ISNUMBER(SEARCH("Conocer",$R750))/(ISNUMBER(SEARCH("Conocer",$R750))+ISNUMBER(SEARCH("Aplicar",$R750))+ISNUMBER(SEARCH("Razonar",$R750))),0)</f>
        <v>0</v>
      </c>
      <c r="T750" s="28" t="n">
        <f aca="false">IFERROR(ISNUMBER(SEARCH("Aplicar",$R750))/(ISNUMBER(SEARCH("Conocer",$R750))+ISNUMBER(SEARCH("Aplicar",$R750))+ISNUMBER(SEARCH("Razonar",$R750))),0)</f>
        <v>0.5</v>
      </c>
      <c r="U750" s="28" t="n">
        <f aca="false">IFERROR(ISNUMBER(SEARCH("Razonar",$R750))/(ISNUMBER(SEARCH("Conocer",$R750))+ISNUMBER(SEARCH("Aplicar",$R750))+ISNUMBER(SEARCH("Razonar",$R750))),0)</f>
        <v>0.5</v>
      </c>
      <c r="V750" s="8" t="s">
        <v>56</v>
      </c>
      <c r="W750" s="8" t="s">
        <v>69</v>
      </c>
    </row>
    <row r="751" customFormat="false" ht="15" hidden="false" customHeight="false" outlineLevel="0" collapsed="false">
      <c r="A751" s="8" t="s">
        <v>3488</v>
      </c>
      <c r="B751" s="8" t="n">
        <v>11</v>
      </c>
      <c r="C751" s="8" t="s">
        <v>91</v>
      </c>
      <c r="D751" s="8" t="s">
        <v>2909</v>
      </c>
      <c r="E751" s="8" t="s">
        <v>3473</v>
      </c>
      <c r="F751" s="8" t="n">
        <v>6</v>
      </c>
      <c r="G751" s="8" t="s">
        <v>3474</v>
      </c>
      <c r="H751" s="8" t="s">
        <v>3489</v>
      </c>
      <c r="I751" s="27" t="s">
        <v>3490</v>
      </c>
      <c r="J751" s="8" t="s">
        <v>291</v>
      </c>
      <c r="K751" s="8" t="s">
        <v>417</v>
      </c>
      <c r="L751" s="8"/>
      <c r="M751" s="8" t="str">
        <f aca="false">IF(K751="FUERA","Fuera del marco",IF(K751="N/A","Sin marco",IFERROR(INDEX(Catalogo_TIMSS!$C$5:$C$105,MATCH(K751,Catalogo_TIMSS!$A$5:$A$105,0)),"Pendiente de clasificar")))</f>
        <v>Fuera del marco</v>
      </c>
      <c r="N751" s="8" t="str">
        <f aca="false">IF(K751="FUERA","Fuera del marco",IF(K751="N/A","Sin marco",IFERROR(INDEX(Catalogo_TIMSS!$F$5:$F$105,MATCH(K751,Catalogo_TIMSS!$A$5:$A$105,0)),"Pendiente de clasificar")))</f>
        <v>Fuera del marco</v>
      </c>
      <c r="O751" s="8" t="str">
        <f aca="false">IF(L751="","",IFERROR(INDEX(Catalogo_TIMSS!$C$5:$C$105,MATCH(L751,Catalogo_TIMSS!$A$5:$A$105,0)),"?"))</f>
        <v/>
      </c>
      <c r="P751" s="8" t="s">
        <v>513</v>
      </c>
      <c r="Q751" s="27" t="s">
        <v>3491</v>
      </c>
      <c r="R751" s="27" t="s">
        <v>3492</v>
      </c>
      <c r="S751" s="28" t="n">
        <f aca="false">IFERROR(ISNUMBER(SEARCH("Conocer",$R751))/(ISNUMBER(SEARCH("Conocer",$R751))+ISNUMBER(SEARCH("Aplicar",$R751))+ISNUMBER(SEARCH("Razonar",$R751))),0)</f>
        <v>0</v>
      </c>
      <c r="T751" s="28" t="n">
        <f aca="false">IFERROR(ISNUMBER(SEARCH("Aplicar",$R751))/(ISNUMBER(SEARCH("Conocer",$R751))+ISNUMBER(SEARCH("Aplicar",$R751))+ISNUMBER(SEARCH("Razonar",$R751))),0)</f>
        <v>0.5</v>
      </c>
      <c r="U751" s="28" t="n">
        <f aca="false">IFERROR(ISNUMBER(SEARCH("Razonar",$R751))/(ISNUMBER(SEARCH("Conocer",$R751))+ISNUMBER(SEARCH("Aplicar",$R751))+ISNUMBER(SEARCH("Razonar",$R751))),0)</f>
        <v>0.5</v>
      </c>
      <c r="V751" s="8" t="s">
        <v>56</v>
      </c>
      <c r="W751" s="8" t="s">
        <v>69</v>
      </c>
    </row>
    <row r="752" customFormat="false" ht="15" hidden="false" customHeight="false" outlineLevel="0" collapsed="false">
      <c r="A752" s="8" t="s">
        <v>3493</v>
      </c>
      <c r="B752" s="8" t="n">
        <v>11</v>
      </c>
      <c r="C752" s="8" t="s">
        <v>91</v>
      </c>
      <c r="D752" s="8" t="s">
        <v>2909</v>
      </c>
      <c r="E752" s="8" t="s">
        <v>3473</v>
      </c>
      <c r="F752" s="8" t="n">
        <v>7</v>
      </c>
      <c r="G752" s="8" t="s">
        <v>3474</v>
      </c>
      <c r="H752" s="8" t="s">
        <v>3494</v>
      </c>
      <c r="I752" s="27" t="s">
        <v>3495</v>
      </c>
      <c r="J752" s="8" t="s">
        <v>291</v>
      </c>
      <c r="K752" s="8" t="s">
        <v>417</v>
      </c>
      <c r="L752" s="8"/>
      <c r="M752" s="8" t="str">
        <f aca="false">IF(K752="FUERA","Fuera del marco",IF(K752="N/A","Sin marco",IFERROR(INDEX(Catalogo_TIMSS!$C$5:$C$105,MATCH(K752,Catalogo_TIMSS!$A$5:$A$105,0)),"Pendiente de clasificar")))</f>
        <v>Fuera del marco</v>
      </c>
      <c r="N752" s="8" t="str">
        <f aca="false">IF(K752="FUERA","Fuera del marco",IF(K752="N/A","Sin marco",IFERROR(INDEX(Catalogo_TIMSS!$F$5:$F$105,MATCH(K752,Catalogo_TIMSS!$A$5:$A$105,0)),"Pendiente de clasificar")))</f>
        <v>Fuera del marco</v>
      </c>
      <c r="O752" s="8" t="str">
        <f aca="false">IF(L752="","",IFERROR(INDEX(Catalogo_TIMSS!$C$5:$C$105,MATCH(L752,Catalogo_TIMSS!$A$5:$A$105,0)),"?"))</f>
        <v/>
      </c>
      <c r="P752" s="8" t="s">
        <v>418</v>
      </c>
      <c r="Q752" s="27" t="s">
        <v>3496</v>
      </c>
      <c r="R752" s="27" t="s">
        <v>3497</v>
      </c>
      <c r="S752" s="28" t="n">
        <f aca="false">IFERROR(ISNUMBER(SEARCH("Conocer",$R752))/(ISNUMBER(SEARCH("Conocer",$R752))+ISNUMBER(SEARCH("Aplicar",$R752))+ISNUMBER(SEARCH("Razonar",$R752))),0)</f>
        <v>0</v>
      </c>
      <c r="T752" s="28" t="n">
        <f aca="false">IFERROR(ISNUMBER(SEARCH("Aplicar",$R752))/(ISNUMBER(SEARCH("Conocer",$R752))+ISNUMBER(SEARCH("Aplicar",$R752))+ISNUMBER(SEARCH("Razonar",$R752))),0)</f>
        <v>0.5</v>
      </c>
      <c r="U752" s="28" t="n">
        <f aca="false">IFERROR(ISNUMBER(SEARCH("Razonar",$R752))/(ISNUMBER(SEARCH("Conocer",$R752))+ISNUMBER(SEARCH("Aplicar",$R752))+ISNUMBER(SEARCH("Razonar",$R752))),0)</f>
        <v>0.5</v>
      </c>
      <c r="V752" s="8" t="s">
        <v>56</v>
      </c>
      <c r="W752" s="8" t="s">
        <v>69</v>
      </c>
    </row>
    <row r="753" customFormat="false" ht="15" hidden="false" customHeight="false" outlineLevel="0" collapsed="false">
      <c r="A753" s="8" t="s">
        <v>3498</v>
      </c>
      <c r="B753" s="8" t="n">
        <v>11</v>
      </c>
      <c r="C753" s="8" t="s">
        <v>91</v>
      </c>
      <c r="D753" s="8" t="s">
        <v>2909</v>
      </c>
      <c r="E753" s="8" t="s">
        <v>3473</v>
      </c>
      <c r="F753" s="8" t="n">
        <v>8</v>
      </c>
      <c r="G753" s="8" t="s">
        <v>3474</v>
      </c>
      <c r="H753" s="8" t="s">
        <v>3494</v>
      </c>
      <c r="I753" s="27" t="s">
        <v>3499</v>
      </c>
      <c r="J753" s="8" t="s">
        <v>291</v>
      </c>
      <c r="K753" s="8" t="s">
        <v>417</v>
      </c>
      <c r="L753" s="8"/>
      <c r="M753" s="8" t="str">
        <f aca="false">IF(K753="FUERA","Fuera del marco",IF(K753="N/A","Sin marco",IFERROR(INDEX(Catalogo_TIMSS!$C$5:$C$105,MATCH(K753,Catalogo_TIMSS!$A$5:$A$105,0)),"Pendiente de clasificar")))</f>
        <v>Fuera del marco</v>
      </c>
      <c r="N753" s="8" t="str">
        <f aca="false">IF(K753="FUERA","Fuera del marco",IF(K753="N/A","Sin marco",IFERROR(INDEX(Catalogo_TIMSS!$F$5:$F$105,MATCH(K753,Catalogo_TIMSS!$A$5:$A$105,0)),"Pendiente de clasificar")))</f>
        <v>Fuera del marco</v>
      </c>
      <c r="O753" s="8" t="str">
        <f aca="false">IF(L753="","",IFERROR(INDEX(Catalogo_TIMSS!$C$5:$C$105,MATCH(L753,Catalogo_TIMSS!$A$5:$A$105,0)),"?"))</f>
        <v/>
      </c>
      <c r="P753" s="8" t="s">
        <v>460</v>
      </c>
      <c r="Q753" s="27" t="s">
        <v>3500</v>
      </c>
      <c r="R753" s="27" t="s">
        <v>3501</v>
      </c>
      <c r="S753" s="28" t="n">
        <f aca="false">IFERROR(ISNUMBER(SEARCH("Conocer",$R753))/(ISNUMBER(SEARCH("Conocer",$R753))+ISNUMBER(SEARCH("Aplicar",$R753))+ISNUMBER(SEARCH("Razonar",$R753))),0)</f>
        <v>0.5</v>
      </c>
      <c r="T753" s="28" t="n">
        <f aca="false">IFERROR(ISNUMBER(SEARCH("Aplicar",$R753))/(ISNUMBER(SEARCH("Conocer",$R753))+ISNUMBER(SEARCH("Aplicar",$R753))+ISNUMBER(SEARCH("Razonar",$R753))),0)</f>
        <v>0</v>
      </c>
      <c r="U753" s="28" t="n">
        <f aca="false">IFERROR(ISNUMBER(SEARCH("Razonar",$R753))/(ISNUMBER(SEARCH("Conocer",$R753))+ISNUMBER(SEARCH("Aplicar",$R753))+ISNUMBER(SEARCH("Razonar",$R753))),0)</f>
        <v>0.5</v>
      </c>
      <c r="V753" s="8" t="s">
        <v>56</v>
      </c>
      <c r="W753" s="8" t="s">
        <v>69</v>
      </c>
    </row>
    <row r="754" customFormat="false" ht="15" hidden="false" customHeight="false" outlineLevel="0" collapsed="false">
      <c r="A754" s="8" t="s">
        <v>3502</v>
      </c>
      <c r="B754" s="8" t="n">
        <v>11</v>
      </c>
      <c r="C754" s="8" t="s">
        <v>91</v>
      </c>
      <c r="D754" s="8" t="s">
        <v>2909</v>
      </c>
      <c r="E754" s="8" t="s">
        <v>3473</v>
      </c>
      <c r="F754" s="8" t="n">
        <v>9</v>
      </c>
      <c r="G754" s="8" t="s">
        <v>3503</v>
      </c>
      <c r="H754" s="8" t="s">
        <v>3504</v>
      </c>
      <c r="I754" s="27" t="s">
        <v>3505</v>
      </c>
      <c r="J754" s="8" t="s">
        <v>291</v>
      </c>
      <c r="K754" s="8" t="s">
        <v>417</v>
      </c>
      <c r="L754" s="8"/>
      <c r="M754" s="8" t="str">
        <f aca="false">IF(K754="FUERA","Fuera del marco",IF(K754="N/A","Sin marco",IFERROR(INDEX(Catalogo_TIMSS!$C$5:$C$105,MATCH(K754,Catalogo_TIMSS!$A$5:$A$105,0)),"Pendiente de clasificar")))</f>
        <v>Fuera del marco</v>
      </c>
      <c r="N754" s="8" t="str">
        <f aca="false">IF(K754="FUERA","Fuera del marco",IF(K754="N/A","Sin marco",IFERROR(INDEX(Catalogo_TIMSS!$F$5:$F$105,MATCH(K754,Catalogo_TIMSS!$A$5:$A$105,0)),"Pendiente de clasificar")))</f>
        <v>Fuera del marco</v>
      </c>
      <c r="O754" s="8" t="str">
        <f aca="false">IF(L754="","",IFERROR(INDEX(Catalogo_TIMSS!$C$5:$C$105,MATCH(L754,Catalogo_TIMSS!$A$5:$A$105,0)),"?"))</f>
        <v/>
      </c>
      <c r="P754" s="8" t="s">
        <v>460</v>
      </c>
      <c r="Q754" s="27" t="s">
        <v>3506</v>
      </c>
      <c r="R754" s="27" t="s">
        <v>3507</v>
      </c>
      <c r="S754" s="28" t="n">
        <f aca="false">IFERROR(ISNUMBER(SEARCH("Conocer",$R754))/(ISNUMBER(SEARCH("Conocer",$R754))+ISNUMBER(SEARCH("Aplicar",$R754))+ISNUMBER(SEARCH("Razonar",$R754))),0)</f>
        <v>0</v>
      </c>
      <c r="T754" s="28" t="n">
        <f aca="false">IFERROR(ISNUMBER(SEARCH("Aplicar",$R754))/(ISNUMBER(SEARCH("Conocer",$R754))+ISNUMBER(SEARCH("Aplicar",$R754))+ISNUMBER(SEARCH("Razonar",$R754))),0)</f>
        <v>0.5</v>
      </c>
      <c r="U754" s="28" t="n">
        <f aca="false">IFERROR(ISNUMBER(SEARCH("Razonar",$R754))/(ISNUMBER(SEARCH("Conocer",$R754))+ISNUMBER(SEARCH("Aplicar",$R754))+ISNUMBER(SEARCH("Razonar",$R754))),0)</f>
        <v>0.5</v>
      </c>
      <c r="V754" s="8" t="s">
        <v>56</v>
      </c>
      <c r="W754" s="8" t="s">
        <v>69</v>
      </c>
    </row>
    <row r="755" customFormat="false" ht="15" hidden="false" customHeight="false" outlineLevel="0" collapsed="false">
      <c r="A755" s="8" t="s">
        <v>3508</v>
      </c>
      <c r="B755" s="8" t="n">
        <v>11</v>
      </c>
      <c r="C755" s="8" t="s">
        <v>91</v>
      </c>
      <c r="D755" s="8" t="s">
        <v>2909</v>
      </c>
      <c r="E755" s="8" t="s">
        <v>3473</v>
      </c>
      <c r="F755" s="8" t="n">
        <v>10</v>
      </c>
      <c r="G755" s="8" t="s">
        <v>3503</v>
      </c>
      <c r="H755" s="8" t="s">
        <v>3504</v>
      </c>
      <c r="I755" s="27" t="s">
        <v>3509</v>
      </c>
      <c r="J755" s="8" t="s">
        <v>291</v>
      </c>
      <c r="K755" s="8" t="s">
        <v>417</v>
      </c>
      <c r="L755" s="8"/>
      <c r="M755" s="8" t="str">
        <f aca="false">IF(K755="FUERA","Fuera del marco",IF(K755="N/A","Sin marco",IFERROR(INDEX(Catalogo_TIMSS!$C$5:$C$105,MATCH(K755,Catalogo_TIMSS!$A$5:$A$105,0)),"Pendiente de clasificar")))</f>
        <v>Fuera del marco</v>
      </c>
      <c r="N755" s="8" t="str">
        <f aca="false">IF(K755="FUERA","Fuera del marco",IF(K755="N/A","Sin marco",IFERROR(INDEX(Catalogo_TIMSS!$F$5:$F$105,MATCH(K755,Catalogo_TIMSS!$A$5:$A$105,0)),"Pendiente de clasificar")))</f>
        <v>Fuera del marco</v>
      </c>
      <c r="O755" s="8" t="str">
        <f aca="false">IF(L755="","",IFERROR(INDEX(Catalogo_TIMSS!$C$5:$C$105,MATCH(L755,Catalogo_TIMSS!$A$5:$A$105,0)),"?"))</f>
        <v/>
      </c>
      <c r="P755" s="8" t="s">
        <v>460</v>
      </c>
      <c r="Q755" s="27" t="s">
        <v>3510</v>
      </c>
      <c r="R755" s="27" t="s">
        <v>3511</v>
      </c>
      <c r="S755" s="28" t="n">
        <f aca="false">IFERROR(ISNUMBER(SEARCH("Conocer",$R755))/(ISNUMBER(SEARCH("Conocer",$R755))+ISNUMBER(SEARCH("Aplicar",$R755))+ISNUMBER(SEARCH("Razonar",$R755))),0)</f>
        <v>0</v>
      </c>
      <c r="T755" s="28" t="n">
        <f aca="false">IFERROR(ISNUMBER(SEARCH("Aplicar",$R755))/(ISNUMBER(SEARCH("Conocer",$R755))+ISNUMBER(SEARCH("Aplicar",$R755))+ISNUMBER(SEARCH("Razonar",$R755))),0)</f>
        <v>0.5</v>
      </c>
      <c r="U755" s="28" t="n">
        <f aca="false">IFERROR(ISNUMBER(SEARCH("Razonar",$R755))/(ISNUMBER(SEARCH("Conocer",$R755))+ISNUMBER(SEARCH("Aplicar",$R755))+ISNUMBER(SEARCH("Razonar",$R755))),0)</f>
        <v>0.5</v>
      </c>
      <c r="V755" s="8" t="s">
        <v>56</v>
      </c>
      <c r="W755" s="8" t="s">
        <v>69</v>
      </c>
    </row>
    <row r="756" customFormat="false" ht="15" hidden="false" customHeight="false" outlineLevel="0" collapsed="false">
      <c r="A756" s="8" t="s">
        <v>3512</v>
      </c>
      <c r="B756" s="8" t="n">
        <v>11</v>
      </c>
      <c r="C756" s="8" t="s">
        <v>91</v>
      </c>
      <c r="D756" s="8" t="s">
        <v>2909</v>
      </c>
      <c r="E756" s="8" t="s">
        <v>3473</v>
      </c>
      <c r="F756" s="8" t="n">
        <v>11</v>
      </c>
      <c r="G756" s="8" t="s">
        <v>3503</v>
      </c>
      <c r="H756" s="8" t="s">
        <v>3513</v>
      </c>
      <c r="I756" s="27" t="s">
        <v>3514</v>
      </c>
      <c r="J756" s="8" t="s">
        <v>291</v>
      </c>
      <c r="K756" s="8" t="s">
        <v>417</v>
      </c>
      <c r="L756" s="8"/>
      <c r="M756" s="8" t="str">
        <f aca="false">IF(K756="FUERA","Fuera del marco",IF(K756="N/A","Sin marco",IFERROR(INDEX(Catalogo_TIMSS!$C$5:$C$105,MATCH(K756,Catalogo_TIMSS!$A$5:$A$105,0)),"Pendiente de clasificar")))</f>
        <v>Fuera del marco</v>
      </c>
      <c r="N756" s="8" t="str">
        <f aca="false">IF(K756="FUERA","Fuera del marco",IF(K756="N/A","Sin marco",IFERROR(INDEX(Catalogo_TIMSS!$F$5:$F$105,MATCH(K756,Catalogo_TIMSS!$A$5:$A$105,0)),"Pendiente de clasificar")))</f>
        <v>Fuera del marco</v>
      </c>
      <c r="O756" s="8" t="str">
        <f aca="false">IF(L756="","",IFERROR(INDEX(Catalogo_TIMSS!$C$5:$C$105,MATCH(L756,Catalogo_TIMSS!$A$5:$A$105,0)),"?"))</f>
        <v/>
      </c>
      <c r="P756" s="8" t="s">
        <v>418</v>
      </c>
      <c r="Q756" s="27" t="s">
        <v>3515</v>
      </c>
      <c r="R756" s="27" t="s">
        <v>3516</v>
      </c>
      <c r="S756" s="28" t="n">
        <f aca="false">IFERROR(ISNUMBER(SEARCH("Conocer",$R756))/(ISNUMBER(SEARCH("Conocer",$R756))+ISNUMBER(SEARCH("Aplicar",$R756))+ISNUMBER(SEARCH("Razonar",$R756))),0)</f>
        <v>0</v>
      </c>
      <c r="T756" s="28" t="n">
        <f aca="false">IFERROR(ISNUMBER(SEARCH("Aplicar",$R756))/(ISNUMBER(SEARCH("Conocer",$R756))+ISNUMBER(SEARCH("Aplicar",$R756))+ISNUMBER(SEARCH("Razonar",$R756))),0)</f>
        <v>0.5</v>
      </c>
      <c r="U756" s="28" t="n">
        <f aca="false">IFERROR(ISNUMBER(SEARCH("Razonar",$R756))/(ISNUMBER(SEARCH("Conocer",$R756))+ISNUMBER(SEARCH("Aplicar",$R756))+ISNUMBER(SEARCH("Razonar",$R756))),0)</f>
        <v>0.5</v>
      </c>
      <c r="V756" s="8" t="s">
        <v>56</v>
      </c>
      <c r="W756" s="8" t="s">
        <v>69</v>
      </c>
    </row>
    <row r="757" customFormat="false" ht="15" hidden="false" customHeight="false" outlineLevel="0" collapsed="false">
      <c r="A757" s="8" t="s">
        <v>3517</v>
      </c>
      <c r="B757" s="8" t="n">
        <v>11</v>
      </c>
      <c r="C757" s="8" t="s">
        <v>91</v>
      </c>
      <c r="D757" s="8" t="s">
        <v>2909</v>
      </c>
      <c r="E757" s="8" t="s">
        <v>3473</v>
      </c>
      <c r="F757" s="8" t="n">
        <v>12</v>
      </c>
      <c r="G757" s="8" t="s">
        <v>3518</v>
      </c>
      <c r="H757" s="8" t="s">
        <v>3519</v>
      </c>
      <c r="I757" s="27" t="s">
        <v>3520</v>
      </c>
      <c r="J757" s="8" t="s">
        <v>291</v>
      </c>
      <c r="K757" s="8" t="s">
        <v>325</v>
      </c>
      <c r="L757" s="8"/>
      <c r="M757" s="8" t="str">
        <f aca="false">IF(K757="FUERA","Fuera del marco",IF(K757="N/A","Sin marco",IFERROR(INDEX(Catalogo_TIMSS!$C$5:$C$105,MATCH(K757,Catalogo_TIMSS!$A$5:$A$105,0)),"Pendiente de clasificar")))</f>
        <v>Ondas y física atómica/nuclear</v>
      </c>
      <c r="N757" s="8" t="str">
        <f aca="false">IF(K757="FUERA","Fuera del marco",IF(K757="N/A","Sin marco",IFERROR(INDEX(Catalogo_TIMSS!$F$5:$F$105,MATCH(K757,Catalogo_TIMSS!$A$5:$A$105,0)),"Pendiente de clasificar")))</f>
        <v>Fenómenos ondulatorios</v>
      </c>
      <c r="O757" s="8" t="str">
        <f aca="false">IF(L757="","",IFERROR(INDEX(Catalogo_TIMSS!$C$5:$C$105,MATCH(L757,Catalogo_TIMSS!$A$5:$A$105,0)),"?"))</f>
        <v/>
      </c>
      <c r="P757" s="8" t="s">
        <v>418</v>
      </c>
      <c r="Q757" s="27" t="s">
        <v>3521</v>
      </c>
      <c r="R757" s="27" t="s">
        <v>3522</v>
      </c>
      <c r="S757" s="28" t="n">
        <f aca="false">IFERROR(ISNUMBER(SEARCH("Conocer",$R757))/(ISNUMBER(SEARCH("Conocer",$R757))+ISNUMBER(SEARCH("Aplicar",$R757))+ISNUMBER(SEARCH("Razonar",$R757))),0)</f>
        <v>0.5</v>
      </c>
      <c r="T757" s="28" t="n">
        <f aca="false">IFERROR(ISNUMBER(SEARCH("Aplicar",$R757))/(ISNUMBER(SEARCH("Conocer",$R757))+ISNUMBER(SEARCH("Aplicar",$R757))+ISNUMBER(SEARCH("Razonar",$R757))),0)</f>
        <v>0.5</v>
      </c>
      <c r="U757" s="28" t="n">
        <f aca="false">IFERROR(ISNUMBER(SEARCH("Razonar",$R757))/(ISNUMBER(SEARCH("Conocer",$R757))+ISNUMBER(SEARCH("Aplicar",$R757))+ISNUMBER(SEARCH("Razonar",$R757))),0)</f>
        <v>0</v>
      </c>
      <c r="V757" s="8" t="s">
        <v>56</v>
      </c>
      <c r="W757" s="8" t="s">
        <v>69</v>
      </c>
    </row>
    <row r="758" customFormat="false" ht="15" hidden="false" customHeight="false" outlineLevel="0" collapsed="false">
      <c r="A758" s="8" t="s">
        <v>3523</v>
      </c>
      <c r="B758" s="8" t="n">
        <v>11</v>
      </c>
      <c r="C758" s="8" t="s">
        <v>91</v>
      </c>
      <c r="D758" s="8" t="s">
        <v>2909</v>
      </c>
      <c r="E758" s="8" t="s">
        <v>3473</v>
      </c>
      <c r="F758" s="8" t="n">
        <v>13</v>
      </c>
      <c r="G758" s="8" t="s">
        <v>3518</v>
      </c>
      <c r="H758" s="8" t="s">
        <v>3519</v>
      </c>
      <c r="I758" s="27" t="s">
        <v>3524</v>
      </c>
      <c r="J758" s="8" t="s">
        <v>291</v>
      </c>
      <c r="K758" s="8" t="s">
        <v>325</v>
      </c>
      <c r="L758" s="8"/>
      <c r="M758" s="8" t="str">
        <f aca="false">IF(K758="FUERA","Fuera del marco",IF(K758="N/A","Sin marco",IFERROR(INDEX(Catalogo_TIMSS!$C$5:$C$105,MATCH(K758,Catalogo_TIMSS!$A$5:$A$105,0)),"Pendiente de clasificar")))</f>
        <v>Ondas y física atómica/nuclear</v>
      </c>
      <c r="N758" s="8" t="str">
        <f aca="false">IF(K758="FUERA","Fuera del marco",IF(K758="N/A","Sin marco",IFERROR(INDEX(Catalogo_TIMSS!$F$5:$F$105,MATCH(K758,Catalogo_TIMSS!$A$5:$A$105,0)),"Pendiente de clasificar")))</f>
        <v>Fenómenos ondulatorios</v>
      </c>
      <c r="O758" s="8" t="str">
        <f aca="false">IF(L758="","",IFERROR(INDEX(Catalogo_TIMSS!$C$5:$C$105,MATCH(L758,Catalogo_TIMSS!$A$5:$A$105,0)),"?"))</f>
        <v/>
      </c>
      <c r="P758" s="8" t="s">
        <v>418</v>
      </c>
      <c r="Q758" s="27" t="s">
        <v>3525</v>
      </c>
      <c r="R758" s="27" t="s">
        <v>3526</v>
      </c>
      <c r="S758" s="28" t="n">
        <f aca="false">IFERROR(ISNUMBER(SEARCH("Conocer",$R758))/(ISNUMBER(SEARCH("Conocer",$R758))+ISNUMBER(SEARCH("Aplicar",$R758))+ISNUMBER(SEARCH("Razonar",$R758))),0)</f>
        <v>0</v>
      </c>
      <c r="T758" s="28" t="n">
        <f aca="false">IFERROR(ISNUMBER(SEARCH("Aplicar",$R758))/(ISNUMBER(SEARCH("Conocer",$R758))+ISNUMBER(SEARCH("Aplicar",$R758))+ISNUMBER(SEARCH("Razonar",$R758))),0)</f>
        <v>0.5</v>
      </c>
      <c r="U758" s="28" t="n">
        <f aca="false">IFERROR(ISNUMBER(SEARCH("Razonar",$R758))/(ISNUMBER(SEARCH("Conocer",$R758))+ISNUMBER(SEARCH("Aplicar",$R758))+ISNUMBER(SEARCH("Razonar",$R758))),0)</f>
        <v>0.5</v>
      </c>
      <c r="V758" s="8" t="s">
        <v>56</v>
      </c>
      <c r="W758" s="8" t="s">
        <v>69</v>
      </c>
    </row>
    <row r="759" customFormat="false" ht="15" hidden="false" customHeight="false" outlineLevel="0" collapsed="false">
      <c r="A759" s="8" t="s">
        <v>3527</v>
      </c>
      <c r="B759" s="8" t="n">
        <v>11</v>
      </c>
      <c r="C759" s="8" t="s">
        <v>91</v>
      </c>
      <c r="D759" s="8" t="s">
        <v>2909</v>
      </c>
      <c r="E759" s="8" t="s">
        <v>3473</v>
      </c>
      <c r="F759" s="8" t="n">
        <v>14</v>
      </c>
      <c r="G759" s="8" t="s">
        <v>3518</v>
      </c>
      <c r="H759" s="8" t="s">
        <v>3528</v>
      </c>
      <c r="I759" s="27" t="s">
        <v>3529</v>
      </c>
      <c r="J759" s="8" t="s">
        <v>291</v>
      </c>
      <c r="K759" s="8" t="s">
        <v>325</v>
      </c>
      <c r="L759" s="8"/>
      <c r="M759" s="8" t="str">
        <f aca="false">IF(K759="FUERA","Fuera del marco",IF(K759="N/A","Sin marco",IFERROR(INDEX(Catalogo_TIMSS!$C$5:$C$105,MATCH(K759,Catalogo_TIMSS!$A$5:$A$105,0)),"Pendiente de clasificar")))</f>
        <v>Ondas y física atómica/nuclear</v>
      </c>
      <c r="N759" s="8" t="str">
        <f aca="false">IF(K759="FUERA","Fuera del marco",IF(K759="N/A","Sin marco",IFERROR(INDEX(Catalogo_TIMSS!$F$5:$F$105,MATCH(K759,Catalogo_TIMSS!$A$5:$A$105,0)),"Pendiente de clasificar")))</f>
        <v>Fenómenos ondulatorios</v>
      </c>
      <c r="O759" s="8" t="str">
        <f aca="false">IF(L759="","",IFERROR(INDEX(Catalogo_TIMSS!$C$5:$C$105,MATCH(L759,Catalogo_TIMSS!$A$5:$A$105,0)),"?"))</f>
        <v/>
      </c>
      <c r="P759" s="8" t="s">
        <v>418</v>
      </c>
      <c r="Q759" s="27" t="s">
        <v>3530</v>
      </c>
      <c r="R759" s="27" t="s">
        <v>3531</v>
      </c>
      <c r="S759" s="28" t="n">
        <f aca="false">IFERROR(ISNUMBER(SEARCH("Conocer",$R759))/(ISNUMBER(SEARCH("Conocer",$R759))+ISNUMBER(SEARCH("Aplicar",$R759))+ISNUMBER(SEARCH("Razonar",$R759))),0)</f>
        <v>0</v>
      </c>
      <c r="T759" s="28" t="n">
        <f aca="false">IFERROR(ISNUMBER(SEARCH("Aplicar",$R759))/(ISNUMBER(SEARCH("Conocer",$R759))+ISNUMBER(SEARCH("Aplicar",$R759))+ISNUMBER(SEARCH("Razonar",$R759))),0)</f>
        <v>0.5</v>
      </c>
      <c r="U759" s="28" t="n">
        <f aca="false">IFERROR(ISNUMBER(SEARCH("Razonar",$R759))/(ISNUMBER(SEARCH("Conocer",$R759))+ISNUMBER(SEARCH("Aplicar",$R759))+ISNUMBER(SEARCH("Razonar",$R759))),0)</f>
        <v>0.5</v>
      </c>
      <c r="V759" s="8" t="s">
        <v>56</v>
      </c>
      <c r="W759" s="8" t="s">
        <v>69</v>
      </c>
    </row>
    <row r="760" customFormat="false" ht="15" hidden="false" customHeight="false" outlineLevel="0" collapsed="false">
      <c r="A760" s="8" t="s">
        <v>3532</v>
      </c>
      <c r="B760" s="8" t="n">
        <v>11</v>
      </c>
      <c r="C760" s="8" t="s">
        <v>91</v>
      </c>
      <c r="D760" s="8" t="s">
        <v>2909</v>
      </c>
      <c r="E760" s="8" t="s">
        <v>3473</v>
      </c>
      <c r="F760" s="8" t="n">
        <v>15</v>
      </c>
      <c r="G760" s="8" t="s">
        <v>3518</v>
      </c>
      <c r="H760" s="8" t="s">
        <v>3528</v>
      </c>
      <c r="I760" s="27" t="s">
        <v>3533</v>
      </c>
      <c r="J760" s="8" t="s">
        <v>291</v>
      </c>
      <c r="K760" s="8" t="s">
        <v>325</v>
      </c>
      <c r="L760" s="8"/>
      <c r="M760" s="8" t="str">
        <f aca="false">IF(K760="FUERA","Fuera del marco",IF(K760="N/A","Sin marco",IFERROR(INDEX(Catalogo_TIMSS!$C$5:$C$105,MATCH(K760,Catalogo_TIMSS!$A$5:$A$105,0)),"Pendiente de clasificar")))</f>
        <v>Ondas y física atómica/nuclear</v>
      </c>
      <c r="N760" s="8" t="str">
        <f aca="false">IF(K760="FUERA","Fuera del marco",IF(K760="N/A","Sin marco",IFERROR(INDEX(Catalogo_TIMSS!$F$5:$F$105,MATCH(K760,Catalogo_TIMSS!$A$5:$A$105,0)),"Pendiente de clasificar")))</f>
        <v>Fenómenos ondulatorios</v>
      </c>
      <c r="O760" s="8" t="str">
        <f aca="false">IF(L760="","",IFERROR(INDEX(Catalogo_TIMSS!$C$5:$C$105,MATCH(L760,Catalogo_TIMSS!$A$5:$A$105,0)),"?"))</f>
        <v/>
      </c>
      <c r="P760" s="8" t="s">
        <v>418</v>
      </c>
      <c r="Q760" s="27" t="s">
        <v>3534</v>
      </c>
      <c r="R760" s="27" t="s">
        <v>3535</v>
      </c>
      <c r="S760" s="28" t="n">
        <f aca="false">IFERROR(ISNUMBER(SEARCH("Conocer",$R760))/(ISNUMBER(SEARCH("Conocer",$R760))+ISNUMBER(SEARCH("Aplicar",$R760))+ISNUMBER(SEARCH("Razonar",$R760))),0)</f>
        <v>0</v>
      </c>
      <c r="T760" s="28" t="n">
        <f aca="false">IFERROR(ISNUMBER(SEARCH("Aplicar",$R760))/(ISNUMBER(SEARCH("Conocer",$R760))+ISNUMBER(SEARCH("Aplicar",$R760))+ISNUMBER(SEARCH("Razonar",$R760))),0)</f>
        <v>0.5</v>
      </c>
      <c r="U760" s="28" t="n">
        <f aca="false">IFERROR(ISNUMBER(SEARCH("Razonar",$R760))/(ISNUMBER(SEARCH("Conocer",$R760))+ISNUMBER(SEARCH("Aplicar",$R760))+ISNUMBER(SEARCH("Razonar",$R760))),0)</f>
        <v>0.5</v>
      </c>
      <c r="V760" s="8" t="s">
        <v>56</v>
      </c>
      <c r="W760" s="8" t="s">
        <v>69</v>
      </c>
    </row>
    <row r="761" customFormat="false" ht="15" hidden="false" customHeight="false" outlineLevel="0" collapsed="false">
      <c r="A761" s="8" t="s">
        <v>3536</v>
      </c>
      <c r="B761" s="8" t="n">
        <v>11</v>
      </c>
      <c r="C761" s="8" t="s">
        <v>91</v>
      </c>
      <c r="D761" s="8" t="s">
        <v>2909</v>
      </c>
      <c r="E761" s="8" t="s">
        <v>3473</v>
      </c>
      <c r="F761" s="8" t="n">
        <v>16</v>
      </c>
      <c r="G761" s="8" t="s">
        <v>3537</v>
      </c>
      <c r="H761" s="8" t="s">
        <v>3538</v>
      </c>
      <c r="I761" s="27" t="s">
        <v>3539</v>
      </c>
      <c r="J761" s="8" t="s">
        <v>291</v>
      </c>
      <c r="K761" s="8" t="s">
        <v>325</v>
      </c>
      <c r="L761" s="8"/>
      <c r="M761" s="8" t="str">
        <f aca="false">IF(K761="FUERA","Fuera del marco",IF(K761="N/A","Sin marco",IFERROR(INDEX(Catalogo_TIMSS!$C$5:$C$105,MATCH(K761,Catalogo_TIMSS!$A$5:$A$105,0)),"Pendiente de clasificar")))</f>
        <v>Ondas y física atómica/nuclear</v>
      </c>
      <c r="N761" s="8" t="str">
        <f aca="false">IF(K761="FUERA","Fuera del marco",IF(K761="N/A","Sin marco",IFERROR(INDEX(Catalogo_TIMSS!$F$5:$F$105,MATCH(K761,Catalogo_TIMSS!$A$5:$A$105,0)),"Pendiente de clasificar")))</f>
        <v>Fenómenos ondulatorios</v>
      </c>
      <c r="O761" s="8" t="str">
        <f aca="false">IF(L761="","",IFERROR(INDEX(Catalogo_TIMSS!$C$5:$C$105,MATCH(L761,Catalogo_TIMSS!$A$5:$A$105,0)),"?"))</f>
        <v/>
      </c>
      <c r="P761" s="8" t="s">
        <v>418</v>
      </c>
      <c r="Q761" s="27" t="s">
        <v>3540</v>
      </c>
      <c r="R761" s="27" t="s">
        <v>3541</v>
      </c>
      <c r="S761" s="28" t="n">
        <f aca="false">IFERROR(ISNUMBER(SEARCH("Conocer",$R761))/(ISNUMBER(SEARCH("Conocer",$R761))+ISNUMBER(SEARCH("Aplicar",$R761))+ISNUMBER(SEARCH("Razonar",$R761))),0)</f>
        <v>0.5</v>
      </c>
      <c r="T761" s="28" t="n">
        <f aca="false">IFERROR(ISNUMBER(SEARCH("Aplicar",$R761))/(ISNUMBER(SEARCH("Conocer",$R761))+ISNUMBER(SEARCH("Aplicar",$R761))+ISNUMBER(SEARCH("Razonar",$R761))),0)</f>
        <v>0.5</v>
      </c>
      <c r="U761" s="28" t="n">
        <f aca="false">IFERROR(ISNUMBER(SEARCH("Razonar",$R761))/(ISNUMBER(SEARCH("Conocer",$R761))+ISNUMBER(SEARCH("Aplicar",$R761))+ISNUMBER(SEARCH("Razonar",$R761))),0)</f>
        <v>0</v>
      </c>
      <c r="V761" s="8" t="s">
        <v>56</v>
      </c>
      <c r="W761" s="8" t="s">
        <v>69</v>
      </c>
    </row>
    <row r="762" customFormat="false" ht="15" hidden="false" customHeight="false" outlineLevel="0" collapsed="false">
      <c r="A762" s="8" t="s">
        <v>3542</v>
      </c>
      <c r="B762" s="8" t="n">
        <v>11</v>
      </c>
      <c r="C762" s="8" t="s">
        <v>91</v>
      </c>
      <c r="D762" s="8" t="s">
        <v>2909</v>
      </c>
      <c r="E762" s="8" t="s">
        <v>3473</v>
      </c>
      <c r="F762" s="8" t="n">
        <v>17</v>
      </c>
      <c r="G762" s="8" t="s">
        <v>3537</v>
      </c>
      <c r="H762" s="8" t="s">
        <v>3538</v>
      </c>
      <c r="I762" s="27" t="s">
        <v>3543</v>
      </c>
      <c r="J762" s="8" t="s">
        <v>291</v>
      </c>
      <c r="K762" s="8" t="s">
        <v>325</v>
      </c>
      <c r="L762" s="8"/>
      <c r="M762" s="8" t="str">
        <f aca="false">IF(K762="FUERA","Fuera del marco",IF(K762="N/A","Sin marco",IFERROR(INDEX(Catalogo_TIMSS!$C$5:$C$105,MATCH(K762,Catalogo_TIMSS!$A$5:$A$105,0)),"Pendiente de clasificar")))</f>
        <v>Ondas y física atómica/nuclear</v>
      </c>
      <c r="N762" s="8" t="str">
        <f aca="false">IF(K762="FUERA","Fuera del marco",IF(K762="N/A","Sin marco",IFERROR(INDEX(Catalogo_TIMSS!$F$5:$F$105,MATCH(K762,Catalogo_TIMSS!$A$5:$A$105,0)),"Pendiente de clasificar")))</f>
        <v>Fenómenos ondulatorios</v>
      </c>
      <c r="O762" s="8" t="str">
        <f aca="false">IF(L762="","",IFERROR(INDEX(Catalogo_TIMSS!$C$5:$C$105,MATCH(L762,Catalogo_TIMSS!$A$5:$A$105,0)),"?"))</f>
        <v/>
      </c>
      <c r="P762" s="8" t="s">
        <v>418</v>
      </c>
      <c r="Q762" s="27" t="s">
        <v>3544</v>
      </c>
      <c r="R762" s="27" t="s">
        <v>3545</v>
      </c>
      <c r="S762" s="28" t="n">
        <f aca="false">IFERROR(ISNUMBER(SEARCH("Conocer",$R762))/(ISNUMBER(SEARCH("Conocer",$R762))+ISNUMBER(SEARCH("Aplicar",$R762))+ISNUMBER(SEARCH("Razonar",$R762))),0)</f>
        <v>0</v>
      </c>
      <c r="T762" s="28" t="n">
        <f aca="false">IFERROR(ISNUMBER(SEARCH("Aplicar",$R762))/(ISNUMBER(SEARCH("Conocer",$R762))+ISNUMBER(SEARCH("Aplicar",$R762))+ISNUMBER(SEARCH("Razonar",$R762))),0)</f>
        <v>0.5</v>
      </c>
      <c r="U762" s="28" t="n">
        <f aca="false">IFERROR(ISNUMBER(SEARCH("Razonar",$R762))/(ISNUMBER(SEARCH("Conocer",$R762))+ISNUMBER(SEARCH("Aplicar",$R762))+ISNUMBER(SEARCH("Razonar",$R762))),0)</f>
        <v>0.5</v>
      </c>
      <c r="V762" s="8" t="s">
        <v>56</v>
      </c>
      <c r="W762" s="8" t="s">
        <v>69</v>
      </c>
    </row>
    <row r="763" customFormat="false" ht="15" hidden="false" customHeight="false" outlineLevel="0" collapsed="false">
      <c r="A763" s="8" t="s">
        <v>3546</v>
      </c>
      <c r="B763" s="8" t="n">
        <v>11</v>
      </c>
      <c r="C763" s="8" t="s">
        <v>91</v>
      </c>
      <c r="D763" s="8" t="s">
        <v>2909</v>
      </c>
      <c r="E763" s="8" t="s">
        <v>3473</v>
      </c>
      <c r="F763" s="8" t="n">
        <v>18</v>
      </c>
      <c r="G763" s="8" t="s">
        <v>3537</v>
      </c>
      <c r="H763" s="8" t="s">
        <v>3547</v>
      </c>
      <c r="I763" s="27" t="s">
        <v>3548</v>
      </c>
      <c r="J763" s="8" t="s">
        <v>291</v>
      </c>
      <c r="K763" s="8" t="s">
        <v>325</v>
      </c>
      <c r="L763" s="8"/>
      <c r="M763" s="8" t="str">
        <f aca="false">IF(K763="FUERA","Fuera del marco",IF(K763="N/A","Sin marco",IFERROR(INDEX(Catalogo_TIMSS!$C$5:$C$105,MATCH(K763,Catalogo_TIMSS!$A$5:$A$105,0)),"Pendiente de clasificar")))</f>
        <v>Ondas y física atómica/nuclear</v>
      </c>
      <c r="N763" s="8" t="str">
        <f aca="false">IF(K763="FUERA","Fuera del marco",IF(K763="N/A","Sin marco",IFERROR(INDEX(Catalogo_TIMSS!$F$5:$F$105,MATCH(K763,Catalogo_TIMSS!$A$5:$A$105,0)),"Pendiente de clasificar")))</f>
        <v>Fenómenos ondulatorios</v>
      </c>
      <c r="O763" s="8" t="str">
        <f aca="false">IF(L763="","",IFERROR(INDEX(Catalogo_TIMSS!$C$5:$C$105,MATCH(L763,Catalogo_TIMSS!$A$5:$A$105,0)),"?"))</f>
        <v/>
      </c>
      <c r="P763" s="8" t="s">
        <v>460</v>
      </c>
      <c r="Q763" s="27" t="s">
        <v>3549</v>
      </c>
      <c r="R763" s="27" t="s">
        <v>3550</v>
      </c>
      <c r="S763" s="28" t="n">
        <f aca="false">IFERROR(ISNUMBER(SEARCH("Conocer",$R763))/(ISNUMBER(SEARCH("Conocer",$R763))+ISNUMBER(SEARCH("Aplicar",$R763))+ISNUMBER(SEARCH("Razonar",$R763))),0)</f>
        <v>0</v>
      </c>
      <c r="T763" s="28" t="n">
        <f aca="false">IFERROR(ISNUMBER(SEARCH("Aplicar",$R763))/(ISNUMBER(SEARCH("Conocer",$R763))+ISNUMBER(SEARCH("Aplicar",$R763))+ISNUMBER(SEARCH("Razonar",$R763))),0)</f>
        <v>0.5</v>
      </c>
      <c r="U763" s="28" t="n">
        <f aca="false">IFERROR(ISNUMBER(SEARCH("Razonar",$R763))/(ISNUMBER(SEARCH("Conocer",$R763))+ISNUMBER(SEARCH("Aplicar",$R763))+ISNUMBER(SEARCH("Razonar",$R763))),0)</f>
        <v>0.5</v>
      </c>
      <c r="V763" s="8" t="s">
        <v>56</v>
      </c>
      <c r="W763" s="8" t="s">
        <v>69</v>
      </c>
    </row>
    <row r="764" customFormat="false" ht="15" hidden="false" customHeight="false" outlineLevel="0" collapsed="false">
      <c r="A764" s="8" t="s">
        <v>3551</v>
      </c>
      <c r="B764" s="8" t="n">
        <v>11</v>
      </c>
      <c r="C764" s="8" t="s">
        <v>91</v>
      </c>
      <c r="D764" s="8" t="s">
        <v>2909</v>
      </c>
      <c r="E764" s="8" t="s">
        <v>3473</v>
      </c>
      <c r="F764" s="8" t="n">
        <v>19</v>
      </c>
      <c r="G764" s="8" t="s">
        <v>3537</v>
      </c>
      <c r="H764" s="8" t="s">
        <v>3547</v>
      </c>
      <c r="I764" s="27" t="s">
        <v>3552</v>
      </c>
      <c r="J764" s="8" t="s">
        <v>291</v>
      </c>
      <c r="K764" s="8" t="s">
        <v>325</v>
      </c>
      <c r="L764" s="8"/>
      <c r="M764" s="8" t="str">
        <f aca="false">IF(K764="FUERA","Fuera del marco",IF(K764="N/A","Sin marco",IFERROR(INDEX(Catalogo_TIMSS!$C$5:$C$105,MATCH(K764,Catalogo_TIMSS!$A$5:$A$105,0)),"Pendiente de clasificar")))</f>
        <v>Ondas y física atómica/nuclear</v>
      </c>
      <c r="N764" s="8" t="str">
        <f aca="false">IF(K764="FUERA","Fuera del marco",IF(K764="N/A","Sin marco",IFERROR(INDEX(Catalogo_TIMSS!$F$5:$F$105,MATCH(K764,Catalogo_TIMSS!$A$5:$A$105,0)),"Pendiente de clasificar")))</f>
        <v>Fenómenos ondulatorios</v>
      </c>
      <c r="O764" s="8" t="str">
        <f aca="false">IF(L764="","",IFERROR(INDEX(Catalogo_TIMSS!$C$5:$C$105,MATCH(L764,Catalogo_TIMSS!$A$5:$A$105,0)),"?"))</f>
        <v/>
      </c>
      <c r="P764" s="8" t="s">
        <v>460</v>
      </c>
      <c r="Q764" s="27" t="s">
        <v>3553</v>
      </c>
      <c r="R764" s="27" t="s">
        <v>3554</v>
      </c>
      <c r="S764" s="28" t="n">
        <f aca="false">IFERROR(ISNUMBER(SEARCH("Conocer",$R764))/(ISNUMBER(SEARCH("Conocer",$R764))+ISNUMBER(SEARCH("Aplicar",$R764))+ISNUMBER(SEARCH("Razonar",$R764))),0)</f>
        <v>0</v>
      </c>
      <c r="T764" s="28" t="n">
        <f aca="false">IFERROR(ISNUMBER(SEARCH("Aplicar",$R764))/(ISNUMBER(SEARCH("Conocer",$R764))+ISNUMBER(SEARCH("Aplicar",$R764))+ISNUMBER(SEARCH("Razonar",$R764))),0)</f>
        <v>0.5</v>
      </c>
      <c r="U764" s="28" t="n">
        <f aca="false">IFERROR(ISNUMBER(SEARCH("Razonar",$R764))/(ISNUMBER(SEARCH("Conocer",$R764))+ISNUMBER(SEARCH("Aplicar",$R764))+ISNUMBER(SEARCH("Razonar",$R764))),0)</f>
        <v>0.5</v>
      </c>
      <c r="V764" s="8" t="s">
        <v>56</v>
      </c>
      <c r="W764" s="8" t="s">
        <v>69</v>
      </c>
    </row>
    <row r="765" customFormat="false" ht="15" hidden="false" customHeight="false" outlineLevel="0" collapsed="false">
      <c r="A765" s="8" t="s">
        <v>3555</v>
      </c>
      <c r="B765" s="8" t="n">
        <v>11</v>
      </c>
      <c r="C765" s="8" t="s">
        <v>91</v>
      </c>
      <c r="D765" s="8" t="s">
        <v>2909</v>
      </c>
      <c r="E765" s="8" t="s">
        <v>3473</v>
      </c>
      <c r="F765" s="8" t="n">
        <v>20</v>
      </c>
      <c r="G765" s="8" t="s">
        <v>3537</v>
      </c>
      <c r="H765" s="8" t="s">
        <v>3556</v>
      </c>
      <c r="I765" s="27" t="s">
        <v>3557</v>
      </c>
      <c r="J765" s="8" t="s">
        <v>291</v>
      </c>
      <c r="K765" s="8" t="s">
        <v>325</v>
      </c>
      <c r="L765" s="8"/>
      <c r="M765" s="8" t="str">
        <f aca="false">IF(K765="FUERA","Fuera del marco",IF(K765="N/A","Sin marco",IFERROR(INDEX(Catalogo_TIMSS!$C$5:$C$105,MATCH(K765,Catalogo_TIMSS!$A$5:$A$105,0)),"Pendiente de clasificar")))</f>
        <v>Ondas y física atómica/nuclear</v>
      </c>
      <c r="N765" s="8" t="str">
        <f aca="false">IF(K765="FUERA","Fuera del marco",IF(K765="N/A","Sin marco",IFERROR(INDEX(Catalogo_TIMSS!$F$5:$F$105,MATCH(K765,Catalogo_TIMSS!$A$5:$A$105,0)),"Pendiente de clasificar")))</f>
        <v>Fenómenos ondulatorios</v>
      </c>
      <c r="O765" s="8" t="str">
        <f aca="false">IF(L765="","",IFERROR(INDEX(Catalogo_TIMSS!$C$5:$C$105,MATCH(L765,Catalogo_TIMSS!$A$5:$A$105,0)),"?"))</f>
        <v/>
      </c>
      <c r="P765" s="8" t="s">
        <v>460</v>
      </c>
      <c r="Q765" s="27" t="s">
        <v>3558</v>
      </c>
      <c r="R765" s="27" t="s">
        <v>3559</v>
      </c>
      <c r="S765" s="28" t="n">
        <f aca="false">IFERROR(ISNUMBER(SEARCH("Conocer",$R765))/(ISNUMBER(SEARCH("Conocer",$R765))+ISNUMBER(SEARCH("Aplicar",$R765))+ISNUMBER(SEARCH("Razonar",$R765))),0)</f>
        <v>0</v>
      </c>
      <c r="T765" s="28" t="n">
        <f aca="false">IFERROR(ISNUMBER(SEARCH("Aplicar",$R765))/(ISNUMBER(SEARCH("Conocer",$R765))+ISNUMBER(SEARCH("Aplicar",$R765))+ISNUMBER(SEARCH("Razonar",$R765))),0)</f>
        <v>0.5</v>
      </c>
      <c r="U765" s="28" t="n">
        <f aca="false">IFERROR(ISNUMBER(SEARCH("Razonar",$R765))/(ISNUMBER(SEARCH("Conocer",$R765))+ISNUMBER(SEARCH("Aplicar",$R765))+ISNUMBER(SEARCH("Razonar",$R765))),0)</f>
        <v>0.5</v>
      </c>
      <c r="V765" s="8" t="s">
        <v>56</v>
      </c>
      <c r="W765" s="8" t="s">
        <v>69</v>
      </c>
    </row>
    <row r="766" customFormat="false" ht="15" hidden="false" customHeight="false" outlineLevel="0" collapsed="false">
      <c r="A766" s="8" t="s">
        <v>3560</v>
      </c>
      <c r="B766" s="8" t="n">
        <v>11</v>
      </c>
      <c r="C766" s="8" t="s">
        <v>91</v>
      </c>
      <c r="D766" s="8" t="s">
        <v>2909</v>
      </c>
      <c r="E766" s="8" t="s">
        <v>3473</v>
      </c>
      <c r="F766" s="8" t="n">
        <v>21</v>
      </c>
      <c r="G766" s="8" t="s">
        <v>3537</v>
      </c>
      <c r="H766" s="8" t="s">
        <v>3556</v>
      </c>
      <c r="I766" s="27" t="s">
        <v>3561</v>
      </c>
      <c r="J766" s="8" t="s">
        <v>291</v>
      </c>
      <c r="K766" s="8" t="s">
        <v>325</v>
      </c>
      <c r="L766" s="8" t="s">
        <v>332</v>
      </c>
      <c r="M766" s="8" t="str">
        <f aca="false">IF(K766="FUERA","Fuera del marco",IF(K766="N/A","Sin marco",IFERROR(INDEX(Catalogo_TIMSS!$C$5:$C$105,MATCH(K766,Catalogo_TIMSS!$A$5:$A$105,0)),"Pendiente de clasificar")))</f>
        <v>Ondas y física atómica/nuclear</v>
      </c>
      <c r="N766" s="8" t="str">
        <f aca="false">IF(K766="FUERA","Fuera del marco",IF(K766="N/A","Sin marco",IFERROR(INDEX(Catalogo_TIMSS!$F$5:$F$105,MATCH(K766,Catalogo_TIMSS!$A$5:$A$105,0)),"Pendiente de clasificar")))</f>
        <v>Fenómenos ondulatorios</v>
      </c>
      <c r="O766" s="8" t="str">
        <f aca="false">IF(L766="","",IFERROR(INDEX(Catalogo_TIMSS!$C$5:$C$105,MATCH(L766,Catalogo_TIMSS!$A$5:$A$105,0)),"?"))</f>
        <v>Ondas y física atómica/nuclear</v>
      </c>
      <c r="P766" s="8" t="s">
        <v>460</v>
      </c>
      <c r="Q766" s="27" t="s">
        <v>3562</v>
      </c>
      <c r="R766" s="27" t="s">
        <v>3563</v>
      </c>
      <c r="S766" s="28" t="n">
        <f aca="false">IFERROR(ISNUMBER(SEARCH("Conocer",$R766))/(ISNUMBER(SEARCH("Conocer",$R766))+ISNUMBER(SEARCH("Aplicar",$R766))+ISNUMBER(SEARCH("Razonar",$R766))),0)</f>
        <v>0.5</v>
      </c>
      <c r="T766" s="28" t="n">
        <f aca="false">IFERROR(ISNUMBER(SEARCH("Aplicar",$R766))/(ISNUMBER(SEARCH("Conocer",$R766))+ISNUMBER(SEARCH("Aplicar",$R766))+ISNUMBER(SEARCH("Razonar",$R766))),0)</f>
        <v>0.5</v>
      </c>
      <c r="U766" s="28" t="n">
        <f aca="false">IFERROR(ISNUMBER(SEARCH("Razonar",$R766))/(ISNUMBER(SEARCH("Conocer",$R766))+ISNUMBER(SEARCH("Aplicar",$R766))+ISNUMBER(SEARCH("Razonar",$R766))),0)</f>
        <v>0</v>
      </c>
      <c r="V766" s="8" t="s">
        <v>56</v>
      </c>
      <c r="W766" s="8" t="s">
        <v>69</v>
      </c>
    </row>
    <row r="767" customFormat="false" ht="15" hidden="false" customHeight="false" outlineLevel="0" collapsed="false">
      <c r="A767" s="8" t="s">
        <v>3564</v>
      </c>
      <c r="B767" s="8" t="n">
        <v>11</v>
      </c>
      <c r="C767" s="8" t="s">
        <v>91</v>
      </c>
      <c r="D767" s="8" t="s">
        <v>2909</v>
      </c>
      <c r="E767" s="8" t="s">
        <v>3473</v>
      </c>
      <c r="F767" s="8" t="n">
        <v>22</v>
      </c>
      <c r="G767" s="8" t="s">
        <v>3537</v>
      </c>
      <c r="H767" s="8" t="s">
        <v>3565</v>
      </c>
      <c r="I767" s="27" t="s">
        <v>3566</v>
      </c>
      <c r="J767" s="8" t="s">
        <v>291</v>
      </c>
      <c r="K767" s="8" t="s">
        <v>325</v>
      </c>
      <c r="L767" s="8"/>
      <c r="M767" s="8" t="str">
        <f aca="false">IF(K767="FUERA","Fuera del marco",IF(K767="N/A","Sin marco",IFERROR(INDEX(Catalogo_TIMSS!$C$5:$C$105,MATCH(K767,Catalogo_TIMSS!$A$5:$A$105,0)),"Pendiente de clasificar")))</f>
        <v>Ondas y física atómica/nuclear</v>
      </c>
      <c r="N767" s="8" t="str">
        <f aca="false">IF(K767="FUERA","Fuera del marco",IF(K767="N/A","Sin marco",IFERROR(INDEX(Catalogo_TIMSS!$F$5:$F$105,MATCH(K767,Catalogo_TIMSS!$A$5:$A$105,0)),"Pendiente de clasificar")))</f>
        <v>Fenómenos ondulatorios</v>
      </c>
      <c r="O767" s="8" t="str">
        <f aca="false">IF(L767="","",IFERROR(INDEX(Catalogo_TIMSS!$C$5:$C$105,MATCH(L767,Catalogo_TIMSS!$A$5:$A$105,0)),"?"))</f>
        <v/>
      </c>
      <c r="P767" s="8" t="s">
        <v>513</v>
      </c>
      <c r="Q767" s="27" t="s">
        <v>3567</v>
      </c>
      <c r="R767" s="27" t="s">
        <v>3568</v>
      </c>
      <c r="S767" s="28" t="n">
        <f aca="false">IFERROR(ISNUMBER(SEARCH("Conocer",$R767))/(ISNUMBER(SEARCH("Conocer",$R767))+ISNUMBER(SEARCH("Aplicar",$R767))+ISNUMBER(SEARCH("Razonar",$R767))),0)</f>
        <v>0</v>
      </c>
      <c r="T767" s="28" t="n">
        <f aca="false">IFERROR(ISNUMBER(SEARCH("Aplicar",$R767))/(ISNUMBER(SEARCH("Conocer",$R767))+ISNUMBER(SEARCH("Aplicar",$R767))+ISNUMBER(SEARCH("Razonar",$R767))),0)</f>
        <v>0.5</v>
      </c>
      <c r="U767" s="28" t="n">
        <f aca="false">IFERROR(ISNUMBER(SEARCH("Razonar",$R767))/(ISNUMBER(SEARCH("Conocer",$R767))+ISNUMBER(SEARCH("Aplicar",$R767))+ISNUMBER(SEARCH("Razonar",$R767))),0)</f>
        <v>0.5</v>
      </c>
      <c r="V767" s="8" t="s">
        <v>56</v>
      </c>
      <c r="W767" s="8" t="s">
        <v>69</v>
      </c>
    </row>
    <row r="768" customFormat="false" ht="15" hidden="false" customHeight="false" outlineLevel="0" collapsed="false">
      <c r="A768" s="8" t="s">
        <v>3569</v>
      </c>
      <c r="B768" s="8" t="n">
        <v>11</v>
      </c>
      <c r="C768" s="8" t="s">
        <v>91</v>
      </c>
      <c r="D768" s="8" t="s">
        <v>2909</v>
      </c>
      <c r="E768" s="8" t="s">
        <v>3473</v>
      </c>
      <c r="F768" s="8" t="n">
        <v>23</v>
      </c>
      <c r="G768" s="8" t="s">
        <v>3570</v>
      </c>
      <c r="H768" s="8" t="s">
        <v>3571</v>
      </c>
      <c r="I768" s="27" t="s">
        <v>3572</v>
      </c>
      <c r="J768" s="8" t="s">
        <v>291</v>
      </c>
      <c r="K768" s="8" t="s">
        <v>332</v>
      </c>
      <c r="L768" s="8"/>
      <c r="M768" s="8" t="str">
        <f aca="false">IF(K768="FUERA","Fuera del marco",IF(K768="N/A","Sin marco",IFERROR(INDEX(Catalogo_TIMSS!$C$5:$C$105,MATCH(K768,Catalogo_TIMSS!$A$5:$A$105,0)),"Pendiente de clasificar")))</f>
        <v>Ondas y física atómica/nuclear</v>
      </c>
      <c r="N768" s="8" t="str">
        <f aca="false">IF(K768="FUERA","Fuera del marco",IF(K768="N/A","Sin marco",IFERROR(INDEX(Catalogo_TIMSS!$F$5:$F$105,MATCH(K768,Catalogo_TIMSS!$A$5:$A$105,0)),"Pendiente de clasificar")))</f>
        <v>Fenómenos ondulatorios</v>
      </c>
      <c r="O768" s="8" t="str">
        <f aca="false">IF(L768="","",IFERROR(INDEX(Catalogo_TIMSS!$C$5:$C$105,MATCH(L768,Catalogo_TIMSS!$A$5:$A$105,0)),"?"))</f>
        <v/>
      </c>
      <c r="P768" s="8" t="s">
        <v>418</v>
      </c>
      <c r="Q768" s="27" t="s">
        <v>3573</v>
      </c>
      <c r="R768" s="27" t="s">
        <v>3574</v>
      </c>
      <c r="S768" s="28" t="n">
        <f aca="false">IFERROR(ISNUMBER(SEARCH("Conocer",$R768))/(ISNUMBER(SEARCH("Conocer",$R768))+ISNUMBER(SEARCH("Aplicar",$R768))+ISNUMBER(SEARCH("Razonar",$R768))),0)</f>
        <v>0</v>
      </c>
      <c r="T768" s="28" t="n">
        <f aca="false">IFERROR(ISNUMBER(SEARCH("Aplicar",$R768))/(ISNUMBER(SEARCH("Conocer",$R768))+ISNUMBER(SEARCH("Aplicar",$R768))+ISNUMBER(SEARCH("Razonar",$R768))),0)</f>
        <v>0.5</v>
      </c>
      <c r="U768" s="28" t="n">
        <f aca="false">IFERROR(ISNUMBER(SEARCH("Razonar",$R768))/(ISNUMBER(SEARCH("Conocer",$R768))+ISNUMBER(SEARCH("Aplicar",$R768))+ISNUMBER(SEARCH("Razonar",$R768))),0)</f>
        <v>0.5</v>
      </c>
      <c r="V768" s="8" t="s">
        <v>56</v>
      </c>
      <c r="W768" s="8" t="s">
        <v>69</v>
      </c>
    </row>
    <row r="769" customFormat="false" ht="15" hidden="false" customHeight="false" outlineLevel="0" collapsed="false">
      <c r="A769" s="8" t="s">
        <v>3575</v>
      </c>
      <c r="B769" s="8" t="n">
        <v>11</v>
      </c>
      <c r="C769" s="8" t="s">
        <v>91</v>
      </c>
      <c r="D769" s="8" t="s">
        <v>2909</v>
      </c>
      <c r="E769" s="8" t="s">
        <v>3473</v>
      </c>
      <c r="F769" s="8" t="n">
        <v>24</v>
      </c>
      <c r="G769" s="8" t="s">
        <v>3570</v>
      </c>
      <c r="H769" s="8" t="s">
        <v>3571</v>
      </c>
      <c r="I769" s="27" t="s">
        <v>3576</v>
      </c>
      <c r="J769" s="8" t="s">
        <v>291</v>
      </c>
      <c r="K769" s="8" t="s">
        <v>332</v>
      </c>
      <c r="L769" s="8"/>
      <c r="M769" s="8" t="str">
        <f aca="false">IF(K769="FUERA","Fuera del marco",IF(K769="N/A","Sin marco",IFERROR(INDEX(Catalogo_TIMSS!$C$5:$C$105,MATCH(K769,Catalogo_TIMSS!$A$5:$A$105,0)),"Pendiente de clasificar")))</f>
        <v>Ondas y física atómica/nuclear</v>
      </c>
      <c r="N769" s="8" t="str">
        <f aca="false">IF(K769="FUERA","Fuera del marco",IF(K769="N/A","Sin marco",IFERROR(INDEX(Catalogo_TIMSS!$F$5:$F$105,MATCH(K769,Catalogo_TIMSS!$A$5:$A$105,0)),"Pendiente de clasificar")))</f>
        <v>Fenómenos ondulatorios</v>
      </c>
      <c r="O769" s="8" t="str">
        <f aca="false">IF(L769="","",IFERROR(INDEX(Catalogo_TIMSS!$C$5:$C$105,MATCH(L769,Catalogo_TIMSS!$A$5:$A$105,0)),"?"))</f>
        <v/>
      </c>
      <c r="P769" s="8" t="s">
        <v>418</v>
      </c>
      <c r="Q769" s="27" t="s">
        <v>3577</v>
      </c>
      <c r="R769" s="27" t="s">
        <v>3578</v>
      </c>
      <c r="S769" s="28" t="n">
        <f aca="false">IFERROR(ISNUMBER(SEARCH("Conocer",$R769))/(ISNUMBER(SEARCH("Conocer",$R769))+ISNUMBER(SEARCH("Aplicar",$R769))+ISNUMBER(SEARCH("Razonar",$R769))),0)</f>
        <v>0</v>
      </c>
      <c r="T769" s="28" t="n">
        <f aca="false">IFERROR(ISNUMBER(SEARCH("Aplicar",$R769))/(ISNUMBER(SEARCH("Conocer",$R769))+ISNUMBER(SEARCH("Aplicar",$R769))+ISNUMBER(SEARCH("Razonar",$R769))),0)</f>
        <v>0.5</v>
      </c>
      <c r="U769" s="28" t="n">
        <f aca="false">IFERROR(ISNUMBER(SEARCH("Razonar",$R769))/(ISNUMBER(SEARCH("Conocer",$R769))+ISNUMBER(SEARCH("Aplicar",$R769))+ISNUMBER(SEARCH("Razonar",$R769))),0)</f>
        <v>0.5</v>
      </c>
      <c r="V769" s="8" t="s">
        <v>56</v>
      </c>
      <c r="W769" s="8" t="s">
        <v>69</v>
      </c>
    </row>
    <row r="770" customFormat="false" ht="15" hidden="false" customHeight="false" outlineLevel="0" collapsed="false">
      <c r="A770" s="8" t="s">
        <v>3579</v>
      </c>
      <c r="B770" s="8" t="n">
        <v>11</v>
      </c>
      <c r="C770" s="8" t="s">
        <v>91</v>
      </c>
      <c r="D770" s="8" t="s">
        <v>2909</v>
      </c>
      <c r="E770" s="8" t="s">
        <v>3473</v>
      </c>
      <c r="F770" s="8" t="n">
        <v>25</v>
      </c>
      <c r="G770" s="8" t="s">
        <v>3570</v>
      </c>
      <c r="H770" s="8" t="s">
        <v>3580</v>
      </c>
      <c r="I770" s="27" t="s">
        <v>3581</v>
      </c>
      <c r="J770" s="8" t="s">
        <v>291</v>
      </c>
      <c r="K770" s="8" t="s">
        <v>332</v>
      </c>
      <c r="L770" s="8"/>
      <c r="M770" s="8" t="str">
        <f aca="false">IF(K770="FUERA","Fuera del marco",IF(K770="N/A","Sin marco",IFERROR(INDEX(Catalogo_TIMSS!$C$5:$C$105,MATCH(K770,Catalogo_TIMSS!$A$5:$A$105,0)),"Pendiente de clasificar")))</f>
        <v>Ondas y física atómica/nuclear</v>
      </c>
      <c r="N770" s="8" t="str">
        <f aca="false">IF(K770="FUERA","Fuera del marco",IF(K770="N/A","Sin marco",IFERROR(INDEX(Catalogo_TIMSS!$F$5:$F$105,MATCH(K770,Catalogo_TIMSS!$A$5:$A$105,0)),"Pendiente de clasificar")))</f>
        <v>Fenómenos ondulatorios</v>
      </c>
      <c r="O770" s="8" t="str">
        <f aca="false">IF(L770="","",IFERROR(INDEX(Catalogo_TIMSS!$C$5:$C$105,MATCH(L770,Catalogo_TIMSS!$A$5:$A$105,0)),"?"))</f>
        <v/>
      </c>
      <c r="P770" s="8" t="s">
        <v>418</v>
      </c>
      <c r="Q770" s="27" t="s">
        <v>3582</v>
      </c>
      <c r="R770" s="27" t="s">
        <v>3583</v>
      </c>
      <c r="S770" s="28" t="n">
        <f aca="false">IFERROR(ISNUMBER(SEARCH("Conocer",$R770))/(ISNUMBER(SEARCH("Conocer",$R770))+ISNUMBER(SEARCH("Aplicar",$R770))+ISNUMBER(SEARCH("Razonar",$R770))),0)</f>
        <v>0</v>
      </c>
      <c r="T770" s="28" t="n">
        <f aca="false">IFERROR(ISNUMBER(SEARCH("Aplicar",$R770))/(ISNUMBER(SEARCH("Conocer",$R770))+ISNUMBER(SEARCH("Aplicar",$R770))+ISNUMBER(SEARCH("Razonar",$R770))),0)</f>
        <v>0.5</v>
      </c>
      <c r="U770" s="28" t="n">
        <f aca="false">IFERROR(ISNUMBER(SEARCH("Razonar",$R770))/(ISNUMBER(SEARCH("Conocer",$R770))+ISNUMBER(SEARCH("Aplicar",$R770))+ISNUMBER(SEARCH("Razonar",$R770))),0)</f>
        <v>0.5</v>
      </c>
      <c r="V770" s="8" t="s">
        <v>56</v>
      </c>
      <c r="W770" s="8" t="s">
        <v>69</v>
      </c>
    </row>
    <row r="771" customFormat="false" ht="15" hidden="false" customHeight="false" outlineLevel="0" collapsed="false">
      <c r="A771" s="8" t="s">
        <v>3584</v>
      </c>
      <c r="B771" s="8" t="n">
        <v>11</v>
      </c>
      <c r="C771" s="8" t="s">
        <v>91</v>
      </c>
      <c r="D771" s="8" t="s">
        <v>2909</v>
      </c>
      <c r="E771" s="8" t="s">
        <v>3473</v>
      </c>
      <c r="F771" s="8" t="n">
        <v>26</v>
      </c>
      <c r="G771" s="8" t="s">
        <v>3570</v>
      </c>
      <c r="H771" s="8" t="s">
        <v>3580</v>
      </c>
      <c r="I771" s="27" t="s">
        <v>3585</v>
      </c>
      <c r="J771" s="8" t="s">
        <v>291</v>
      </c>
      <c r="K771" s="8" t="s">
        <v>332</v>
      </c>
      <c r="L771" s="8" t="s">
        <v>325</v>
      </c>
      <c r="M771" s="8" t="str">
        <f aca="false">IF(K771="FUERA","Fuera del marco",IF(K771="N/A","Sin marco",IFERROR(INDEX(Catalogo_TIMSS!$C$5:$C$105,MATCH(K771,Catalogo_TIMSS!$A$5:$A$105,0)),"Pendiente de clasificar")))</f>
        <v>Ondas y física atómica/nuclear</v>
      </c>
      <c r="N771" s="8" t="str">
        <f aca="false">IF(K771="FUERA","Fuera del marco",IF(K771="N/A","Sin marco",IFERROR(INDEX(Catalogo_TIMSS!$F$5:$F$105,MATCH(K771,Catalogo_TIMSS!$A$5:$A$105,0)),"Pendiente de clasificar")))</f>
        <v>Fenómenos ondulatorios</v>
      </c>
      <c r="O771" s="8" t="str">
        <f aca="false">IF(L771="","",IFERROR(INDEX(Catalogo_TIMSS!$C$5:$C$105,MATCH(L771,Catalogo_TIMSS!$A$5:$A$105,0)),"?"))</f>
        <v>Ondas y física atómica/nuclear</v>
      </c>
      <c r="P771" s="8" t="s">
        <v>460</v>
      </c>
      <c r="Q771" s="27" t="s">
        <v>3586</v>
      </c>
      <c r="R771" s="27" t="s">
        <v>3587</v>
      </c>
      <c r="S771" s="28" t="n">
        <f aca="false">IFERROR(ISNUMBER(SEARCH("Conocer",$R771))/(ISNUMBER(SEARCH("Conocer",$R771))+ISNUMBER(SEARCH("Aplicar",$R771))+ISNUMBER(SEARCH("Razonar",$R771))),0)</f>
        <v>0</v>
      </c>
      <c r="T771" s="28" t="n">
        <f aca="false">IFERROR(ISNUMBER(SEARCH("Aplicar",$R771))/(ISNUMBER(SEARCH("Conocer",$R771))+ISNUMBER(SEARCH("Aplicar",$R771))+ISNUMBER(SEARCH("Razonar",$R771))),0)</f>
        <v>0.5</v>
      </c>
      <c r="U771" s="28" t="n">
        <f aca="false">IFERROR(ISNUMBER(SEARCH("Razonar",$R771))/(ISNUMBER(SEARCH("Conocer",$R771))+ISNUMBER(SEARCH("Aplicar",$R771))+ISNUMBER(SEARCH("Razonar",$R771))),0)</f>
        <v>0.5</v>
      </c>
      <c r="V771" s="8" t="s">
        <v>56</v>
      </c>
      <c r="W771" s="8" t="s">
        <v>69</v>
      </c>
    </row>
    <row r="772" customFormat="false" ht="15" hidden="false" customHeight="false" outlineLevel="0" collapsed="false">
      <c r="A772" s="8" t="s">
        <v>3588</v>
      </c>
      <c r="B772" s="8" t="n">
        <v>11</v>
      </c>
      <c r="C772" s="8" t="s">
        <v>91</v>
      </c>
      <c r="D772" s="8" t="s">
        <v>2909</v>
      </c>
      <c r="E772" s="8" t="s">
        <v>3473</v>
      </c>
      <c r="F772" s="8" t="n">
        <v>27</v>
      </c>
      <c r="G772" s="8" t="s">
        <v>3570</v>
      </c>
      <c r="H772" s="8" t="s">
        <v>3589</v>
      </c>
      <c r="I772" s="27" t="s">
        <v>3590</v>
      </c>
      <c r="J772" s="8" t="s">
        <v>291</v>
      </c>
      <c r="K772" s="8" t="s">
        <v>325</v>
      </c>
      <c r="L772" s="8" t="s">
        <v>332</v>
      </c>
      <c r="M772" s="8" t="str">
        <f aca="false">IF(K772="FUERA","Fuera del marco",IF(K772="N/A","Sin marco",IFERROR(INDEX(Catalogo_TIMSS!$C$5:$C$105,MATCH(K772,Catalogo_TIMSS!$A$5:$A$105,0)),"Pendiente de clasificar")))</f>
        <v>Ondas y física atómica/nuclear</v>
      </c>
      <c r="N772" s="8" t="str">
        <f aca="false">IF(K772="FUERA","Fuera del marco",IF(K772="N/A","Sin marco",IFERROR(INDEX(Catalogo_TIMSS!$F$5:$F$105,MATCH(K772,Catalogo_TIMSS!$A$5:$A$105,0)),"Pendiente de clasificar")))</f>
        <v>Fenómenos ondulatorios</v>
      </c>
      <c r="O772" s="8" t="str">
        <f aca="false">IF(L772="","",IFERROR(INDEX(Catalogo_TIMSS!$C$5:$C$105,MATCH(L772,Catalogo_TIMSS!$A$5:$A$105,0)),"?"))</f>
        <v>Ondas y física atómica/nuclear</v>
      </c>
      <c r="P772" s="8" t="s">
        <v>460</v>
      </c>
      <c r="Q772" s="27" t="s">
        <v>3591</v>
      </c>
      <c r="R772" s="27" t="s">
        <v>3592</v>
      </c>
      <c r="S772" s="28" t="n">
        <f aca="false">IFERROR(ISNUMBER(SEARCH("Conocer",$R772))/(ISNUMBER(SEARCH("Conocer",$R772))+ISNUMBER(SEARCH("Aplicar",$R772))+ISNUMBER(SEARCH("Razonar",$R772))),0)</f>
        <v>0</v>
      </c>
      <c r="T772" s="28" t="n">
        <f aca="false">IFERROR(ISNUMBER(SEARCH("Aplicar",$R772))/(ISNUMBER(SEARCH("Conocer",$R772))+ISNUMBER(SEARCH("Aplicar",$R772))+ISNUMBER(SEARCH("Razonar",$R772))),0)</f>
        <v>0.5</v>
      </c>
      <c r="U772" s="28" t="n">
        <f aca="false">IFERROR(ISNUMBER(SEARCH("Razonar",$R772))/(ISNUMBER(SEARCH("Conocer",$R772))+ISNUMBER(SEARCH("Aplicar",$R772))+ISNUMBER(SEARCH("Razonar",$R772))),0)</f>
        <v>0.5</v>
      </c>
      <c r="V772" s="8" t="s">
        <v>56</v>
      </c>
      <c r="W772" s="8" t="s">
        <v>69</v>
      </c>
    </row>
    <row r="773" customFormat="false" ht="15" hidden="false" customHeight="false" outlineLevel="0" collapsed="false">
      <c r="A773" s="8" t="s">
        <v>3593</v>
      </c>
      <c r="B773" s="8" t="n">
        <v>11</v>
      </c>
      <c r="C773" s="8" t="s">
        <v>91</v>
      </c>
      <c r="D773" s="8" t="s">
        <v>2909</v>
      </c>
      <c r="E773" s="8" t="s">
        <v>3473</v>
      </c>
      <c r="F773" s="8" t="n">
        <v>28</v>
      </c>
      <c r="G773" s="8" t="s">
        <v>3570</v>
      </c>
      <c r="H773" s="8" t="s">
        <v>3589</v>
      </c>
      <c r="I773" s="27" t="s">
        <v>3594</v>
      </c>
      <c r="J773" s="8" t="s">
        <v>291</v>
      </c>
      <c r="K773" s="8" t="s">
        <v>325</v>
      </c>
      <c r="L773" s="8" t="s">
        <v>332</v>
      </c>
      <c r="M773" s="8" t="str">
        <f aca="false">IF(K773="FUERA","Fuera del marco",IF(K773="N/A","Sin marco",IFERROR(INDEX(Catalogo_TIMSS!$C$5:$C$105,MATCH(K773,Catalogo_TIMSS!$A$5:$A$105,0)),"Pendiente de clasificar")))</f>
        <v>Ondas y física atómica/nuclear</v>
      </c>
      <c r="N773" s="8" t="str">
        <f aca="false">IF(K773="FUERA","Fuera del marco",IF(K773="N/A","Sin marco",IFERROR(INDEX(Catalogo_TIMSS!$F$5:$F$105,MATCH(K773,Catalogo_TIMSS!$A$5:$A$105,0)),"Pendiente de clasificar")))</f>
        <v>Fenómenos ondulatorios</v>
      </c>
      <c r="O773" s="8" t="str">
        <f aca="false">IF(L773="","",IFERROR(INDEX(Catalogo_TIMSS!$C$5:$C$105,MATCH(L773,Catalogo_TIMSS!$A$5:$A$105,0)),"?"))</f>
        <v>Ondas y física atómica/nuclear</v>
      </c>
      <c r="P773" s="8" t="s">
        <v>460</v>
      </c>
      <c r="Q773" s="27" t="s">
        <v>3595</v>
      </c>
      <c r="R773" s="27" t="s">
        <v>3596</v>
      </c>
      <c r="S773" s="28" t="n">
        <f aca="false">IFERROR(ISNUMBER(SEARCH("Conocer",$R773))/(ISNUMBER(SEARCH("Conocer",$R773))+ISNUMBER(SEARCH("Aplicar",$R773))+ISNUMBER(SEARCH("Razonar",$R773))),0)</f>
        <v>0</v>
      </c>
      <c r="T773" s="28" t="n">
        <f aca="false">IFERROR(ISNUMBER(SEARCH("Aplicar",$R773))/(ISNUMBER(SEARCH("Conocer",$R773))+ISNUMBER(SEARCH("Aplicar",$R773))+ISNUMBER(SEARCH("Razonar",$R773))),0)</f>
        <v>0.5</v>
      </c>
      <c r="U773" s="28" t="n">
        <f aca="false">IFERROR(ISNUMBER(SEARCH("Razonar",$R773))/(ISNUMBER(SEARCH("Conocer",$R773))+ISNUMBER(SEARCH("Aplicar",$R773))+ISNUMBER(SEARCH("Razonar",$R773))),0)</f>
        <v>0.5</v>
      </c>
      <c r="V773" s="8" t="s">
        <v>56</v>
      </c>
      <c r="W773" s="8" t="s">
        <v>69</v>
      </c>
    </row>
    <row r="774" customFormat="false" ht="15" hidden="false" customHeight="false" outlineLevel="0" collapsed="false">
      <c r="A774" s="8" t="s">
        <v>3597</v>
      </c>
      <c r="B774" s="8" t="n">
        <v>11</v>
      </c>
      <c r="C774" s="8" t="s">
        <v>91</v>
      </c>
      <c r="D774" s="8" t="s">
        <v>2909</v>
      </c>
      <c r="E774" s="8" t="s">
        <v>3473</v>
      </c>
      <c r="F774" s="8" t="n">
        <v>29</v>
      </c>
      <c r="G774" s="8" t="s">
        <v>3570</v>
      </c>
      <c r="H774" s="8" t="s">
        <v>3598</v>
      </c>
      <c r="I774" s="27" t="s">
        <v>3599</v>
      </c>
      <c r="J774" s="8" t="s">
        <v>291</v>
      </c>
      <c r="K774" s="8" t="s">
        <v>325</v>
      </c>
      <c r="L774" s="8"/>
      <c r="M774" s="8" t="str">
        <f aca="false">IF(K774="FUERA","Fuera del marco",IF(K774="N/A","Sin marco",IFERROR(INDEX(Catalogo_TIMSS!$C$5:$C$105,MATCH(K774,Catalogo_TIMSS!$A$5:$A$105,0)),"Pendiente de clasificar")))</f>
        <v>Ondas y física atómica/nuclear</v>
      </c>
      <c r="N774" s="8" t="str">
        <f aca="false">IF(K774="FUERA","Fuera del marco",IF(K774="N/A","Sin marco",IFERROR(INDEX(Catalogo_TIMSS!$F$5:$F$105,MATCH(K774,Catalogo_TIMSS!$A$5:$A$105,0)),"Pendiente de clasificar")))</f>
        <v>Fenómenos ondulatorios</v>
      </c>
      <c r="O774" s="8" t="str">
        <f aca="false">IF(L774="","",IFERROR(INDEX(Catalogo_TIMSS!$C$5:$C$105,MATCH(L774,Catalogo_TIMSS!$A$5:$A$105,0)),"?"))</f>
        <v/>
      </c>
      <c r="P774" s="8" t="s">
        <v>460</v>
      </c>
      <c r="Q774" s="27" t="s">
        <v>3600</v>
      </c>
      <c r="R774" s="27" t="s">
        <v>3601</v>
      </c>
      <c r="S774" s="28" t="n">
        <f aca="false">IFERROR(ISNUMBER(SEARCH("Conocer",$R774))/(ISNUMBER(SEARCH("Conocer",$R774))+ISNUMBER(SEARCH("Aplicar",$R774))+ISNUMBER(SEARCH("Razonar",$R774))),0)</f>
        <v>0</v>
      </c>
      <c r="T774" s="28" t="n">
        <f aca="false">IFERROR(ISNUMBER(SEARCH("Aplicar",$R774))/(ISNUMBER(SEARCH("Conocer",$R774))+ISNUMBER(SEARCH("Aplicar",$R774))+ISNUMBER(SEARCH("Razonar",$R774))),0)</f>
        <v>0.5</v>
      </c>
      <c r="U774" s="28" t="n">
        <f aca="false">IFERROR(ISNUMBER(SEARCH("Razonar",$R774))/(ISNUMBER(SEARCH("Conocer",$R774))+ISNUMBER(SEARCH("Aplicar",$R774))+ISNUMBER(SEARCH("Razonar",$R774))),0)</f>
        <v>0.5</v>
      </c>
      <c r="V774" s="8" t="s">
        <v>56</v>
      </c>
      <c r="W774" s="8" t="s">
        <v>69</v>
      </c>
    </row>
    <row r="775" customFormat="false" ht="15" hidden="false" customHeight="false" outlineLevel="0" collapsed="false">
      <c r="A775" s="8" t="s">
        <v>3602</v>
      </c>
      <c r="B775" s="8" t="n">
        <v>11</v>
      </c>
      <c r="C775" s="8" t="s">
        <v>91</v>
      </c>
      <c r="D775" s="8" t="s">
        <v>2909</v>
      </c>
      <c r="E775" s="8" t="s">
        <v>3473</v>
      </c>
      <c r="F775" s="8" t="n">
        <v>30</v>
      </c>
      <c r="G775" s="8" t="s">
        <v>3603</v>
      </c>
      <c r="H775" s="8" t="s">
        <v>3604</v>
      </c>
      <c r="I775" s="27" t="s">
        <v>3605</v>
      </c>
      <c r="J775" s="8" t="s">
        <v>291</v>
      </c>
      <c r="K775" s="8" t="s">
        <v>311</v>
      </c>
      <c r="L775" s="8" t="s">
        <v>334</v>
      </c>
      <c r="M775" s="8" t="str">
        <f aca="false">IF(K775="FUERA","Fuera del marco",IF(K775="N/A","Sin marco",IFERROR(INDEX(Catalogo_TIMSS!$C$5:$C$105,MATCH(K775,Catalogo_TIMSS!$A$5:$A$105,0)),"Pendiente de clasificar")))</f>
        <v>Electricidad y magnetismo</v>
      </c>
      <c r="N775" s="8" t="str">
        <f aca="false">IF(K775="FUERA","Fuera del marco",IF(K775="N/A","Sin marco",IFERROR(INDEX(Catalogo_TIMSS!$F$5:$F$105,MATCH(K775,Catalogo_TIMSS!$A$5:$A$105,0)),"Pendiente de clasificar")))</f>
        <v>Electricidad y circuitos</v>
      </c>
      <c r="O775" s="8" t="str">
        <f aca="false">IF(L775="","",IFERROR(INDEX(Catalogo_TIMSS!$C$5:$C$105,MATCH(L775,Catalogo_TIMSS!$A$5:$A$105,0)),"?"))</f>
        <v>Ondas y física atómica/nuclear</v>
      </c>
      <c r="P775" s="8" t="s">
        <v>460</v>
      </c>
      <c r="Q775" s="27" t="s">
        <v>3606</v>
      </c>
      <c r="R775" s="27" t="s">
        <v>3607</v>
      </c>
      <c r="S775" s="28" t="n">
        <f aca="false">IFERROR(ISNUMBER(SEARCH("Conocer",$R775))/(ISNUMBER(SEARCH("Conocer",$R775))+ISNUMBER(SEARCH("Aplicar",$R775))+ISNUMBER(SEARCH("Razonar",$R775))),0)</f>
        <v>0.5</v>
      </c>
      <c r="T775" s="28" t="n">
        <f aca="false">IFERROR(ISNUMBER(SEARCH("Aplicar",$R775))/(ISNUMBER(SEARCH("Conocer",$R775))+ISNUMBER(SEARCH("Aplicar",$R775))+ISNUMBER(SEARCH("Razonar",$R775))),0)</f>
        <v>0.5</v>
      </c>
      <c r="U775" s="28" t="n">
        <f aca="false">IFERROR(ISNUMBER(SEARCH("Razonar",$R775))/(ISNUMBER(SEARCH("Conocer",$R775))+ISNUMBER(SEARCH("Aplicar",$R775))+ISNUMBER(SEARCH("Razonar",$R775))),0)</f>
        <v>0</v>
      </c>
      <c r="V775" s="8" t="s">
        <v>56</v>
      </c>
      <c r="W775" s="8" t="s">
        <v>69</v>
      </c>
    </row>
    <row r="776" customFormat="false" ht="15" hidden="false" customHeight="false" outlineLevel="0" collapsed="false">
      <c r="A776" s="8" t="s">
        <v>3608</v>
      </c>
      <c r="B776" s="8" t="n">
        <v>11</v>
      </c>
      <c r="C776" s="8" t="s">
        <v>91</v>
      </c>
      <c r="D776" s="8" t="s">
        <v>2909</v>
      </c>
      <c r="E776" s="8" t="s">
        <v>3473</v>
      </c>
      <c r="F776" s="8" t="n">
        <v>31</v>
      </c>
      <c r="G776" s="8" t="s">
        <v>3603</v>
      </c>
      <c r="H776" s="8" t="s">
        <v>3604</v>
      </c>
      <c r="I776" s="27" t="s">
        <v>3609</v>
      </c>
      <c r="J776" s="8" t="s">
        <v>291</v>
      </c>
      <c r="K776" s="8" t="s">
        <v>311</v>
      </c>
      <c r="L776" s="8"/>
      <c r="M776" s="8" t="str">
        <f aca="false">IF(K776="FUERA","Fuera del marco",IF(K776="N/A","Sin marco",IFERROR(INDEX(Catalogo_TIMSS!$C$5:$C$105,MATCH(K776,Catalogo_TIMSS!$A$5:$A$105,0)),"Pendiente de clasificar")))</f>
        <v>Electricidad y magnetismo</v>
      </c>
      <c r="N776" s="8" t="str">
        <f aca="false">IF(K776="FUERA","Fuera del marco",IF(K776="N/A","Sin marco",IFERROR(INDEX(Catalogo_TIMSS!$F$5:$F$105,MATCH(K776,Catalogo_TIMSS!$A$5:$A$105,0)),"Pendiente de clasificar")))</f>
        <v>Electricidad y circuitos</v>
      </c>
      <c r="O776" s="8" t="str">
        <f aca="false">IF(L776="","",IFERROR(INDEX(Catalogo_TIMSS!$C$5:$C$105,MATCH(L776,Catalogo_TIMSS!$A$5:$A$105,0)),"?"))</f>
        <v/>
      </c>
      <c r="P776" s="8" t="s">
        <v>460</v>
      </c>
      <c r="Q776" s="27" t="s">
        <v>3610</v>
      </c>
      <c r="R776" s="27" t="s">
        <v>3611</v>
      </c>
      <c r="S776" s="28" t="n">
        <f aca="false">IFERROR(ISNUMBER(SEARCH("Conocer",$R776))/(ISNUMBER(SEARCH("Conocer",$R776))+ISNUMBER(SEARCH("Aplicar",$R776))+ISNUMBER(SEARCH("Razonar",$R776))),0)</f>
        <v>0</v>
      </c>
      <c r="T776" s="28" t="n">
        <f aca="false">IFERROR(ISNUMBER(SEARCH("Aplicar",$R776))/(ISNUMBER(SEARCH("Conocer",$R776))+ISNUMBER(SEARCH("Aplicar",$R776))+ISNUMBER(SEARCH("Razonar",$R776))),0)</f>
        <v>0.5</v>
      </c>
      <c r="U776" s="28" t="n">
        <f aca="false">IFERROR(ISNUMBER(SEARCH("Razonar",$R776))/(ISNUMBER(SEARCH("Conocer",$R776))+ISNUMBER(SEARCH("Aplicar",$R776))+ISNUMBER(SEARCH("Razonar",$R776))),0)</f>
        <v>0.5</v>
      </c>
      <c r="V776" s="8" t="s">
        <v>56</v>
      </c>
      <c r="W776" s="8" t="s">
        <v>69</v>
      </c>
    </row>
    <row r="777" customFormat="false" ht="15" hidden="false" customHeight="false" outlineLevel="0" collapsed="false">
      <c r="A777" s="8" t="s">
        <v>3612</v>
      </c>
      <c r="B777" s="8" t="n">
        <v>11</v>
      </c>
      <c r="C777" s="8" t="s">
        <v>91</v>
      </c>
      <c r="D777" s="8" t="s">
        <v>2909</v>
      </c>
      <c r="E777" s="8" t="s">
        <v>3473</v>
      </c>
      <c r="F777" s="8" t="n">
        <v>32</v>
      </c>
      <c r="G777" s="8" t="s">
        <v>3603</v>
      </c>
      <c r="H777" s="8" t="s">
        <v>3613</v>
      </c>
      <c r="I777" s="27" t="s">
        <v>3614</v>
      </c>
      <c r="J777" s="8" t="s">
        <v>291</v>
      </c>
      <c r="K777" s="8" t="s">
        <v>311</v>
      </c>
      <c r="L777" s="8"/>
      <c r="M777" s="8" t="str">
        <f aca="false">IF(K777="FUERA","Fuera del marco",IF(K777="N/A","Sin marco",IFERROR(INDEX(Catalogo_TIMSS!$C$5:$C$105,MATCH(K777,Catalogo_TIMSS!$A$5:$A$105,0)),"Pendiente de clasificar")))</f>
        <v>Electricidad y magnetismo</v>
      </c>
      <c r="N777" s="8" t="str">
        <f aca="false">IF(K777="FUERA","Fuera del marco",IF(K777="N/A","Sin marco",IFERROR(INDEX(Catalogo_TIMSS!$F$5:$F$105,MATCH(K777,Catalogo_TIMSS!$A$5:$A$105,0)),"Pendiente de clasificar")))</f>
        <v>Electricidad y circuitos</v>
      </c>
      <c r="O777" s="8" t="str">
        <f aca="false">IF(L777="","",IFERROR(INDEX(Catalogo_TIMSS!$C$5:$C$105,MATCH(L777,Catalogo_TIMSS!$A$5:$A$105,0)),"?"))</f>
        <v/>
      </c>
      <c r="P777" s="8" t="s">
        <v>513</v>
      </c>
      <c r="Q777" s="27" t="s">
        <v>3615</v>
      </c>
      <c r="R777" s="27" t="s">
        <v>3616</v>
      </c>
      <c r="S777" s="28" t="n">
        <f aca="false">IFERROR(ISNUMBER(SEARCH("Conocer",$R777))/(ISNUMBER(SEARCH("Conocer",$R777))+ISNUMBER(SEARCH("Aplicar",$R777))+ISNUMBER(SEARCH("Razonar",$R777))),0)</f>
        <v>0</v>
      </c>
      <c r="T777" s="28" t="n">
        <f aca="false">IFERROR(ISNUMBER(SEARCH("Aplicar",$R777))/(ISNUMBER(SEARCH("Conocer",$R777))+ISNUMBER(SEARCH("Aplicar",$R777))+ISNUMBER(SEARCH("Razonar",$R777))),0)</f>
        <v>0.5</v>
      </c>
      <c r="U777" s="28" t="n">
        <f aca="false">IFERROR(ISNUMBER(SEARCH("Razonar",$R777))/(ISNUMBER(SEARCH("Conocer",$R777))+ISNUMBER(SEARCH("Aplicar",$R777))+ISNUMBER(SEARCH("Razonar",$R777))),0)</f>
        <v>0.5</v>
      </c>
      <c r="V777" s="8" t="s">
        <v>56</v>
      </c>
      <c r="W777" s="8" t="s">
        <v>69</v>
      </c>
    </row>
    <row r="778" customFormat="false" ht="15" hidden="false" customHeight="false" outlineLevel="0" collapsed="false">
      <c r="A778" s="8" t="s">
        <v>3617</v>
      </c>
      <c r="B778" s="8" t="n">
        <v>11</v>
      </c>
      <c r="C778" s="8" t="s">
        <v>91</v>
      </c>
      <c r="D778" s="8" t="s">
        <v>2909</v>
      </c>
      <c r="E778" s="8" t="s">
        <v>3473</v>
      </c>
      <c r="F778" s="8" t="n">
        <v>33</v>
      </c>
      <c r="G778" s="8" t="s">
        <v>3603</v>
      </c>
      <c r="H778" s="8" t="s">
        <v>3613</v>
      </c>
      <c r="I778" s="27" t="s">
        <v>3618</v>
      </c>
      <c r="J778" s="8" t="s">
        <v>291</v>
      </c>
      <c r="K778" s="8" t="s">
        <v>311</v>
      </c>
      <c r="L778" s="8"/>
      <c r="M778" s="8" t="str">
        <f aca="false">IF(K778="FUERA","Fuera del marco",IF(K778="N/A","Sin marco",IFERROR(INDEX(Catalogo_TIMSS!$C$5:$C$105,MATCH(K778,Catalogo_TIMSS!$A$5:$A$105,0)),"Pendiente de clasificar")))</f>
        <v>Electricidad y magnetismo</v>
      </c>
      <c r="N778" s="8" t="str">
        <f aca="false">IF(K778="FUERA","Fuera del marco",IF(K778="N/A","Sin marco",IFERROR(INDEX(Catalogo_TIMSS!$F$5:$F$105,MATCH(K778,Catalogo_TIMSS!$A$5:$A$105,0)),"Pendiente de clasificar")))</f>
        <v>Electricidad y circuitos</v>
      </c>
      <c r="O778" s="8" t="str">
        <f aca="false">IF(L778="","",IFERROR(INDEX(Catalogo_TIMSS!$C$5:$C$105,MATCH(L778,Catalogo_TIMSS!$A$5:$A$105,0)),"?"))</f>
        <v/>
      </c>
      <c r="P778" s="8" t="s">
        <v>460</v>
      </c>
      <c r="Q778" s="27" t="s">
        <v>3619</v>
      </c>
      <c r="R778" s="27" t="s">
        <v>3620</v>
      </c>
      <c r="S778" s="28" t="n">
        <f aca="false">IFERROR(ISNUMBER(SEARCH("Conocer",$R778))/(ISNUMBER(SEARCH("Conocer",$R778))+ISNUMBER(SEARCH("Aplicar",$R778))+ISNUMBER(SEARCH("Razonar",$R778))),0)</f>
        <v>0</v>
      </c>
      <c r="T778" s="28" t="n">
        <f aca="false">IFERROR(ISNUMBER(SEARCH("Aplicar",$R778))/(ISNUMBER(SEARCH("Conocer",$R778))+ISNUMBER(SEARCH("Aplicar",$R778))+ISNUMBER(SEARCH("Razonar",$R778))),0)</f>
        <v>0.5</v>
      </c>
      <c r="U778" s="28" t="n">
        <f aca="false">IFERROR(ISNUMBER(SEARCH("Razonar",$R778))/(ISNUMBER(SEARCH("Conocer",$R778))+ISNUMBER(SEARCH("Aplicar",$R778))+ISNUMBER(SEARCH("Razonar",$R778))),0)</f>
        <v>0.5</v>
      </c>
      <c r="V778" s="8" t="s">
        <v>56</v>
      </c>
      <c r="W778" s="8" t="s">
        <v>69</v>
      </c>
    </row>
    <row r="779" customFormat="false" ht="15" hidden="false" customHeight="false" outlineLevel="0" collapsed="false">
      <c r="A779" s="8" t="s">
        <v>3621</v>
      </c>
      <c r="B779" s="8" t="n">
        <v>11</v>
      </c>
      <c r="C779" s="8" t="s">
        <v>91</v>
      </c>
      <c r="D779" s="8" t="s">
        <v>2909</v>
      </c>
      <c r="E779" s="8" t="s">
        <v>3473</v>
      </c>
      <c r="F779" s="8" t="n">
        <v>34</v>
      </c>
      <c r="G779" s="8" t="s">
        <v>3603</v>
      </c>
      <c r="H779" s="8" t="s">
        <v>313</v>
      </c>
      <c r="I779" s="27" t="s">
        <v>3622</v>
      </c>
      <c r="J779" s="8" t="s">
        <v>291</v>
      </c>
      <c r="K779" s="8" t="s">
        <v>311</v>
      </c>
      <c r="L779" s="8"/>
      <c r="M779" s="8" t="str">
        <f aca="false">IF(K779="FUERA","Fuera del marco",IF(K779="N/A","Sin marco",IFERROR(INDEX(Catalogo_TIMSS!$C$5:$C$105,MATCH(K779,Catalogo_TIMSS!$A$5:$A$105,0)),"Pendiente de clasificar")))</f>
        <v>Electricidad y magnetismo</v>
      </c>
      <c r="N779" s="8" t="str">
        <f aca="false">IF(K779="FUERA","Fuera del marco",IF(K779="N/A","Sin marco",IFERROR(INDEX(Catalogo_TIMSS!$F$5:$F$105,MATCH(K779,Catalogo_TIMSS!$A$5:$A$105,0)),"Pendiente de clasificar")))</f>
        <v>Electricidad y circuitos</v>
      </c>
      <c r="O779" s="8" t="str">
        <f aca="false">IF(L779="","",IFERROR(INDEX(Catalogo_TIMSS!$C$5:$C$105,MATCH(L779,Catalogo_TIMSS!$A$5:$A$105,0)),"?"))</f>
        <v/>
      </c>
      <c r="P779" s="8" t="s">
        <v>418</v>
      </c>
      <c r="Q779" s="27" t="s">
        <v>3623</v>
      </c>
      <c r="R779" s="27" t="s">
        <v>3624</v>
      </c>
      <c r="S779" s="28" t="n">
        <f aca="false">IFERROR(ISNUMBER(SEARCH("Conocer",$R779))/(ISNUMBER(SEARCH("Conocer",$R779))+ISNUMBER(SEARCH("Aplicar",$R779))+ISNUMBER(SEARCH("Razonar",$R779))),0)</f>
        <v>0</v>
      </c>
      <c r="T779" s="28" t="n">
        <f aca="false">IFERROR(ISNUMBER(SEARCH("Aplicar",$R779))/(ISNUMBER(SEARCH("Conocer",$R779))+ISNUMBER(SEARCH("Aplicar",$R779))+ISNUMBER(SEARCH("Razonar",$R779))),0)</f>
        <v>0.5</v>
      </c>
      <c r="U779" s="28" t="n">
        <f aca="false">IFERROR(ISNUMBER(SEARCH("Razonar",$R779))/(ISNUMBER(SEARCH("Conocer",$R779))+ISNUMBER(SEARCH("Aplicar",$R779))+ISNUMBER(SEARCH("Razonar",$R779))),0)</f>
        <v>0.5</v>
      </c>
      <c r="V779" s="8" t="s">
        <v>56</v>
      </c>
      <c r="W779" s="8" t="s">
        <v>69</v>
      </c>
    </row>
    <row r="780" customFormat="false" ht="15" hidden="false" customHeight="false" outlineLevel="0" collapsed="false">
      <c r="A780" s="8" t="s">
        <v>3625</v>
      </c>
      <c r="B780" s="8" t="n">
        <v>11</v>
      </c>
      <c r="C780" s="8" t="s">
        <v>91</v>
      </c>
      <c r="D780" s="8" t="s">
        <v>2909</v>
      </c>
      <c r="E780" s="8" t="s">
        <v>3473</v>
      </c>
      <c r="F780" s="8" t="n">
        <v>35</v>
      </c>
      <c r="G780" s="8" t="s">
        <v>3626</v>
      </c>
      <c r="H780" s="8" t="s">
        <v>3627</v>
      </c>
      <c r="I780" s="27" t="s">
        <v>3628</v>
      </c>
      <c r="J780" s="8" t="s">
        <v>291</v>
      </c>
      <c r="K780" s="8" t="s">
        <v>314</v>
      </c>
      <c r="L780" s="8" t="s">
        <v>311</v>
      </c>
      <c r="M780" s="8" t="str">
        <f aca="false">IF(K780="FUERA","Fuera del marco",IF(K780="N/A","Sin marco",IFERROR(INDEX(Catalogo_TIMSS!$C$5:$C$105,MATCH(K780,Catalogo_TIMSS!$A$5:$A$105,0)),"Pendiente de clasificar")))</f>
        <v>Electricidad y magnetismo</v>
      </c>
      <c r="N780" s="8" t="str">
        <f aca="false">IF(K780="FUERA","Fuera del marco",IF(K780="N/A","Sin marco",IFERROR(INDEX(Catalogo_TIMSS!$F$5:$F$105,MATCH(K780,Catalogo_TIMSS!$A$5:$A$105,0)),"Pendiente de clasificar")))</f>
        <v>Electricidad y circuitos</v>
      </c>
      <c r="O780" s="8" t="str">
        <f aca="false">IF(L780="","",IFERROR(INDEX(Catalogo_TIMSS!$C$5:$C$105,MATCH(L780,Catalogo_TIMSS!$A$5:$A$105,0)),"?"))</f>
        <v>Electricidad y magnetismo</v>
      </c>
      <c r="P780" s="8" t="s">
        <v>418</v>
      </c>
      <c r="Q780" s="27" t="s">
        <v>3629</v>
      </c>
      <c r="R780" s="27" t="s">
        <v>3630</v>
      </c>
      <c r="S780" s="28" t="n">
        <f aca="false">IFERROR(ISNUMBER(SEARCH("Conocer",$R780))/(ISNUMBER(SEARCH("Conocer",$R780))+ISNUMBER(SEARCH("Aplicar",$R780))+ISNUMBER(SEARCH("Razonar",$R780))),0)</f>
        <v>0</v>
      </c>
      <c r="T780" s="28" t="n">
        <f aca="false">IFERROR(ISNUMBER(SEARCH("Aplicar",$R780))/(ISNUMBER(SEARCH("Conocer",$R780))+ISNUMBER(SEARCH("Aplicar",$R780))+ISNUMBER(SEARCH("Razonar",$R780))),0)</f>
        <v>0.5</v>
      </c>
      <c r="U780" s="28" t="n">
        <f aca="false">IFERROR(ISNUMBER(SEARCH("Razonar",$R780))/(ISNUMBER(SEARCH("Conocer",$R780))+ISNUMBER(SEARCH("Aplicar",$R780))+ISNUMBER(SEARCH("Razonar",$R780))),0)</f>
        <v>0.5</v>
      </c>
      <c r="V780" s="8" t="s">
        <v>56</v>
      </c>
      <c r="W780" s="8" t="s">
        <v>69</v>
      </c>
    </row>
    <row r="781" customFormat="false" ht="15" hidden="false" customHeight="false" outlineLevel="0" collapsed="false">
      <c r="A781" s="8" t="s">
        <v>3631</v>
      </c>
      <c r="B781" s="8" t="n">
        <v>11</v>
      </c>
      <c r="C781" s="8" t="s">
        <v>91</v>
      </c>
      <c r="D781" s="8" t="s">
        <v>2909</v>
      </c>
      <c r="E781" s="8" t="s">
        <v>3473</v>
      </c>
      <c r="F781" s="8" t="n">
        <v>36</v>
      </c>
      <c r="G781" s="8" t="s">
        <v>3626</v>
      </c>
      <c r="H781" s="8" t="s">
        <v>3627</v>
      </c>
      <c r="I781" s="27" t="s">
        <v>3632</v>
      </c>
      <c r="J781" s="8" t="s">
        <v>291</v>
      </c>
      <c r="K781" s="8" t="s">
        <v>314</v>
      </c>
      <c r="L781" s="8"/>
      <c r="M781" s="8" t="str">
        <f aca="false">IF(K781="FUERA","Fuera del marco",IF(K781="N/A","Sin marco",IFERROR(INDEX(Catalogo_TIMSS!$C$5:$C$105,MATCH(K781,Catalogo_TIMSS!$A$5:$A$105,0)),"Pendiente de clasificar")))</f>
        <v>Electricidad y magnetismo</v>
      </c>
      <c r="N781" s="8" t="str">
        <f aca="false">IF(K781="FUERA","Fuera del marco",IF(K781="N/A","Sin marco",IFERROR(INDEX(Catalogo_TIMSS!$F$5:$F$105,MATCH(K781,Catalogo_TIMSS!$A$5:$A$105,0)),"Pendiente de clasificar")))</f>
        <v>Electricidad y circuitos</v>
      </c>
      <c r="O781" s="8" t="str">
        <f aca="false">IF(L781="","",IFERROR(INDEX(Catalogo_TIMSS!$C$5:$C$105,MATCH(L781,Catalogo_TIMSS!$A$5:$A$105,0)),"?"))</f>
        <v/>
      </c>
      <c r="P781" s="8" t="s">
        <v>418</v>
      </c>
      <c r="Q781" s="27" t="s">
        <v>3633</v>
      </c>
      <c r="R781" s="27" t="s">
        <v>3634</v>
      </c>
      <c r="S781" s="28" t="n">
        <f aca="false">IFERROR(ISNUMBER(SEARCH("Conocer",$R781))/(ISNUMBER(SEARCH("Conocer",$R781))+ISNUMBER(SEARCH("Aplicar",$R781))+ISNUMBER(SEARCH("Razonar",$R781))),0)</f>
        <v>0</v>
      </c>
      <c r="T781" s="28" t="n">
        <f aca="false">IFERROR(ISNUMBER(SEARCH("Aplicar",$R781))/(ISNUMBER(SEARCH("Conocer",$R781))+ISNUMBER(SEARCH("Aplicar",$R781))+ISNUMBER(SEARCH("Razonar",$R781))),0)</f>
        <v>0.5</v>
      </c>
      <c r="U781" s="28" t="n">
        <f aca="false">IFERROR(ISNUMBER(SEARCH("Razonar",$R781))/(ISNUMBER(SEARCH("Conocer",$R781))+ISNUMBER(SEARCH("Aplicar",$R781))+ISNUMBER(SEARCH("Razonar",$R781))),0)</f>
        <v>0.5</v>
      </c>
      <c r="V781" s="8" t="s">
        <v>56</v>
      </c>
      <c r="W781" s="8" t="s">
        <v>69</v>
      </c>
    </row>
    <row r="782" customFormat="false" ht="15" hidden="false" customHeight="false" outlineLevel="0" collapsed="false">
      <c r="A782" s="8" t="s">
        <v>3635</v>
      </c>
      <c r="B782" s="8" t="n">
        <v>11</v>
      </c>
      <c r="C782" s="8" t="s">
        <v>91</v>
      </c>
      <c r="D782" s="8" t="s">
        <v>2909</v>
      </c>
      <c r="E782" s="8" t="s">
        <v>3473</v>
      </c>
      <c r="F782" s="8" t="n">
        <v>37</v>
      </c>
      <c r="G782" s="8" t="s">
        <v>3626</v>
      </c>
      <c r="H782" s="8" t="s">
        <v>3636</v>
      </c>
      <c r="I782" s="27" t="s">
        <v>3637</v>
      </c>
      <c r="J782" s="8" t="s">
        <v>291</v>
      </c>
      <c r="K782" s="8" t="s">
        <v>314</v>
      </c>
      <c r="L782" s="8"/>
      <c r="M782" s="8" t="str">
        <f aca="false">IF(K782="FUERA","Fuera del marco",IF(K782="N/A","Sin marco",IFERROR(INDEX(Catalogo_TIMSS!$C$5:$C$105,MATCH(K782,Catalogo_TIMSS!$A$5:$A$105,0)),"Pendiente de clasificar")))</f>
        <v>Electricidad y magnetismo</v>
      </c>
      <c r="N782" s="8" t="str">
        <f aca="false">IF(K782="FUERA","Fuera del marco",IF(K782="N/A","Sin marco",IFERROR(INDEX(Catalogo_TIMSS!$F$5:$F$105,MATCH(K782,Catalogo_TIMSS!$A$5:$A$105,0)),"Pendiente de clasificar")))</f>
        <v>Electricidad y circuitos</v>
      </c>
      <c r="O782" s="8" t="str">
        <f aca="false">IF(L782="","",IFERROR(INDEX(Catalogo_TIMSS!$C$5:$C$105,MATCH(L782,Catalogo_TIMSS!$A$5:$A$105,0)),"?"))</f>
        <v/>
      </c>
      <c r="P782" s="8" t="s">
        <v>460</v>
      </c>
      <c r="Q782" s="27" t="s">
        <v>3638</v>
      </c>
      <c r="R782" s="27" t="s">
        <v>3639</v>
      </c>
      <c r="S782" s="28" t="n">
        <f aca="false">IFERROR(ISNUMBER(SEARCH("Conocer",$R782))/(ISNUMBER(SEARCH("Conocer",$R782))+ISNUMBER(SEARCH("Aplicar",$R782))+ISNUMBER(SEARCH("Razonar",$R782))),0)</f>
        <v>0</v>
      </c>
      <c r="T782" s="28" t="n">
        <f aca="false">IFERROR(ISNUMBER(SEARCH("Aplicar",$R782))/(ISNUMBER(SEARCH("Conocer",$R782))+ISNUMBER(SEARCH("Aplicar",$R782))+ISNUMBER(SEARCH("Razonar",$R782))),0)</f>
        <v>0.5</v>
      </c>
      <c r="U782" s="28" t="n">
        <f aca="false">IFERROR(ISNUMBER(SEARCH("Razonar",$R782))/(ISNUMBER(SEARCH("Conocer",$R782))+ISNUMBER(SEARCH("Aplicar",$R782))+ISNUMBER(SEARCH("Razonar",$R782))),0)</f>
        <v>0.5</v>
      </c>
      <c r="V782" s="8" t="s">
        <v>56</v>
      </c>
      <c r="W782" s="8" t="s">
        <v>69</v>
      </c>
    </row>
    <row r="783" customFormat="false" ht="15" hidden="false" customHeight="false" outlineLevel="0" collapsed="false">
      <c r="A783" s="8" t="s">
        <v>3640</v>
      </c>
      <c r="B783" s="8" t="n">
        <v>11</v>
      </c>
      <c r="C783" s="8" t="s">
        <v>91</v>
      </c>
      <c r="D783" s="8" t="s">
        <v>2909</v>
      </c>
      <c r="E783" s="8" t="s">
        <v>3473</v>
      </c>
      <c r="F783" s="8" t="n">
        <v>38</v>
      </c>
      <c r="G783" s="8" t="s">
        <v>3626</v>
      </c>
      <c r="H783" s="8" t="s">
        <v>3636</v>
      </c>
      <c r="I783" s="27" t="s">
        <v>3641</v>
      </c>
      <c r="J783" s="8" t="s">
        <v>291</v>
      </c>
      <c r="K783" s="8" t="s">
        <v>314</v>
      </c>
      <c r="L783" s="8"/>
      <c r="M783" s="8" t="str">
        <f aca="false">IF(K783="FUERA","Fuera del marco",IF(K783="N/A","Sin marco",IFERROR(INDEX(Catalogo_TIMSS!$C$5:$C$105,MATCH(K783,Catalogo_TIMSS!$A$5:$A$105,0)),"Pendiente de clasificar")))</f>
        <v>Electricidad y magnetismo</v>
      </c>
      <c r="N783" s="8" t="str">
        <f aca="false">IF(K783="FUERA","Fuera del marco",IF(K783="N/A","Sin marco",IFERROR(INDEX(Catalogo_TIMSS!$F$5:$F$105,MATCH(K783,Catalogo_TIMSS!$A$5:$A$105,0)),"Pendiente de clasificar")))</f>
        <v>Electricidad y circuitos</v>
      </c>
      <c r="O783" s="8" t="str">
        <f aca="false">IF(L783="","",IFERROR(INDEX(Catalogo_TIMSS!$C$5:$C$105,MATCH(L783,Catalogo_TIMSS!$A$5:$A$105,0)),"?"))</f>
        <v/>
      </c>
      <c r="P783" s="8" t="s">
        <v>460</v>
      </c>
      <c r="Q783" s="27" t="s">
        <v>3642</v>
      </c>
      <c r="R783" s="27" t="s">
        <v>3643</v>
      </c>
      <c r="S783" s="28" t="n">
        <f aca="false">IFERROR(ISNUMBER(SEARCH("Conocer",$R783))/(ISNUMBER(SEARCH("Conocer",$R783))+ISNUMBER(SEARCH("Aplicar",$R783))+ISNUMBER(SEARCH("Razonar",$R783))),0)</f>
        <v>0</v>
      </c>
      <c r="T783" s="28" t="n">
        <f aca="false">IFERROR(ISNUMBER(SEARCH("Aplicar",$R783))/(ISNUMBER(SEARCH("Conocer",$R783))+ISNUMBER(SEARCH("Aplicar",$R783))+ISNUMBER(SEARCH("Razonar",$R783))),0)</f>
        <v>0.5</v>
      </c>
      <c r="U783" s="28" t="n">
        <f aca="false">IFERROR(ISNUMBER(SEARCH("Razonar",$R783))/(ISNUMBER(SEARCH("Conocer",$R783))+ISNUMBER(SEARCH("Aplicar",$R783))+ISNUMBER(SEARCH("Razonar",$R783))),0)</f>
        <v>0.5</v>
      </c>
      <c r="V783" s="8" t="s">
        <v>56</v>
      </c>
      <c r="W783" s="8" t="s">
        <v>69</v>
      </c>
    </row>
    <row r="784" customFormat="false" ht="15" hidden="false" customHeight="false" outlineLevel="0" collapsed="false">
      <c r="A784" s="8" t="s">
        <v>3644</v>
      </c>
      <c r="B784" s="8" t="n">
        <v>11</v>
      </c>
      <c r="C784" s="8" t="s">
        <v>91</v>
      </c>
      <c r="D784" s="8" t="s">
        <v>2909</v>
      </c>
      <c r="E784" s="8" t="s">
        <v>3473</v>
      </c>
      <c r="F784" s="8" t="n">
        <v>39</v>
      </c>
      <c r="G784" s="8" t="s">
        <v>3626</v>
      </c>
      <c r="H784" s="8" t="s">
        <v>3645</v>
      </c>
      <c r="I784" s="27" t="s">
        <v>3646</v>
      </c>
      <c r="J784" s="8" t="s">
        <v>291</v>
      </c>
      <c r="K784" s="8" t="s">
        <v>314</v>
      </c>
      <c r="L784" s="8"/>
      <c r="M784" s="8" t="str">
        <f aca="false">IF(K784="FUERA","Fuera del marco",IF(K784="N/A","Sin marco",IFERROR(INDEX(Catalogo_TIMSS!$C$5:$C$105,MATCH(K784,Catalogo_TIMSS!$A$5:$A$105,0)),"Pendiente de clasificar")))</f>
        <v>Electricidad y magnetismo</v>
      </c>
      <c r="N784" s="8" t="str">
        <f aca="false">IF(K784="FUERA","Fuera del marco",IF(K784="N/A","Sin marco",IFERROR(INDEX(Catalogo_TIMSS!$F$5:$F$105,MATCH(K784,Catalogo_TIMSS!$A$5:$A$105,0)),"Pendiente de clasificar")))</f>
        <v>Electricidad y circuitos</v>
      </c>
      <c r="O784" s="8" t="str">
        <f aca="false">IF(L784="","",IFERROR(INDEX(Catalogo_TIMSS!$C$5:$C$105,MATCH(L784,Catalogo_TIMSS!$A$5:$A$105,0)),"?"))</f>
        <v/>
      </c>
      <c r="P784" s="8" t="s">
        <v>513</v>
      </c>
      <c r="Q784" s="27" t="s">
        <v>3647</v>
      </c>
      <c r="R784" s="27" t="s">
        <v>3648</v>
      </c>
      <c r="S784" s="28" t="n">
        <f aca="false">IFERROR(ISNUMBER(SEARCH("Conocer",$R784))/(ISNUMBER(SEARCH("Conocer",$R784))+ISNUMBER(SEARCH("Aplicar",$R784))+ISNUMBER(SEARCH("Razonar",$R784))),0)</f>
        <v>0.5</v>
      </c>
      <c r="T784" s="28" t="n">
        <f aca="false">IFERROR(ISNUMBER(SEARCH("Aplicar",$R784))/(ISNUMBER(SEARCH("Conocer",$R784))+ISNUMBER(SEARCH("Aplicar",$R784))+ISNUMBER(SEARCH("Razonar",$R784))),0)</f>
        <v>0</v>
      </c>
      <c r="U784" s="28" t="n">
        <f aca="false">IFERROR(ISNUMBER(SEARCH("Razonar",$R784))/(ISNUMBER(SEARCH("Conocer",$R784))+ISNUMBER(SEARCH("Aplicar",$R784))+ISNUMBER(SEARCH("Razonar",$R784))),0)</f>
        <v>0.5</v>
      </c>
      <c r="V784" s="8" t="s">
        <v>56</v>
      </c>
      <c r="W784" s="8" t="s">
        <v>69</v>
      </c>
    </row>
    <row r="785" customFormat="false" ht="15" hidden="false" customHeight="false" outlineLevel="0" collapsed="false">
      <c r="A785" s="8" t="s">
        <v>3649</v>
      </c>
      <c r="B785" s="8" t="n">
        <v>11</v>
      </c>
      <c r="C785" s="8" t="s">
        <v>91</v>
      </c>
      <c r="D785" s="8" t="s">
        <v>2909</v>
      </c>
      <c r="E785" s="8" t="s">
        <v>3473</v>
      </c>
      <c r="F785" s="8" t="n">
        <v>40</v>
      </c>
      <c r="G785" s="8" t="s">
        <v>3650</v>
      </c>
      <c r="H785" s="8" t="s">
        <v>3651</v>
      </c>
      <c r="I785" s="27" t="s">
        <v>3652</v>
      </c>
      <c r="J785" s="8" t="s">
        <v>291</v>
      </c>
      <c r="K785" s="8" t="s">
        <v>314</v>
      </c>
      <c r="L785" s="8" t="s">
        <v>299</v>
      </c>
      <c r="M785" s="8" t="str">
        <f aca="false">IF(K785="FUERA","Fuera del marco",IF(K785="N/A","Sin marco",IFERROR(INDEX(Catalogo_TIMSS!$C$5:$C$105,MATCH(K785,Catalogo_TIMSS!$A$5:$A$105,0)),"Pendiente de clasificar")))</f>
        <v>Electricidad y magnetismo</v>
      </c>
      <c r="N785" s="8" t="str">
        <f aca="false">IF(K785="FUERA","Fuera del marco",IF(K785="N/A","Sin marco",IFERROR(INDEX(Catalogo_TIMSS!$F$5:$F$105,MATCH(K785,Catalogo_TIMSS!$A$5:$A$105,0)),"Pendiente de clasificar")))</f>
        <v>Electricidad y circuitos</v>
      </c>
      <c r="O785" s="8" t="str">
        <f aca="false">IF(L785="","",IFERROR(INDEX(Catalogo_TIMSS!$C$5:$C$105,MATCH(L785,Catalogo_TIMSS!$A$5:$A$105,0)),"?"))</f>
        <v>Mecánica y termodinámica</v>
      </c>
      <c r="P785" s="8" t="s">
        <v>460</v>
      </c>
      <c r="Q785" s="27" t="s">
        <v>3653</v>
      </c>
      <c r="R785" s="27" t="s">
        <v>3654</v>
      </c>
      <c r="S785" s="28" t="n">
        <f aca="false">IFERROR(ISNUMBER(SEARCH("Conocer",$R785))/(ISNUMBER(SEARCH("Conocer",$R785))+ISNUMBER(SEARCH("Aplicar",$R785))+ISNUMBER(SEARCH("Razonar",$R785))),0)</f>
        <v>0.333333333333333</v>
      </c>
      <c r="T785" s="28" t="n">
        <f aca="false">IFERROR(ISNUMBER(SEARCH("Aplicar",$R785))/(ISNUMBER(SEARCH("Conocer",$R785))+ISNUMBER(SEARCH("Aplicar",$R785))+ISNUMBER(SEARCH("Razonar",$R785))),0)</f>
        <v>0.333333333333333</v>
      </c>
      <c r="U785" s="28" t="n">
        <f aca="false">IFERROR(ISNUMBER(SEARCH("Razonar",$R785))/(ISNUMBER(SEARCH("Conocer",$R785))+ISNUMBER(SEARCH("Aplicar",$R785))+ISNUMBER(SEARCH("Razonar",$R785))),0)</f>
        <v>0.333333333333333</v>
      </c>
      <c r="V785" s="8" t="s">
        <v>56</v>
      </c>
      <c r="W785" s="8" t="s">
        <v>69</v>
      </c>
    </row>
    <row r="786" customFormat="false" ht="15" hidden="false" customHeight="false" outlineLevel="0" collapsed="false">
      <c r="A786" s="8" t="s">
        <v>3655</v>
      </c>
      <c r="B786" s="8" t="n">
        <v>11</v>
      </c>
      <c r="C786" s="8" t="s">
        <v>91</v>
      </c>
      <c r="D786" s="8" t="s">
        <v>2909</v>
      </c>
      <c r="E786" s="8" t="s">
        <v>3473</v>
      </c>
      <c r="F786" s="8" t="n">
        <v>41</v>
      </c>
      <c r="G786" s="8" t="s">
        <v>3650</v>
      </c>
      <c r="H786" s="8" t="s">
        <v>3651</v>
      </c>
      <c r="I786" s="27" t="s">
        <v>3656</v>
      </c>
      <c r="J786" s="8" t="s">
        <v>291</v>
      </c>
      <c r="K786" s="8" t="s">
        <v>314</v>
      </c>
      <c r="L786" s="8"/>
      <c r="M786" s="8" t="str">
        <f aca="false">IF(K786="FUERA","Fuera del marco",IF(K786="N/A","Sin marco",IFERROR(INDEX(Catalogo_TIMSS!$C$5:$C$105,MATCH(K786,Catalogo_TIMSS!$A$5:$A$105,0)),"Pendiente de clasificar")))</f>
        <v>Electricidad y magnetismo</v>
      </c>
      <c r="N786" s="8" t="str">
        <f aca="false">IF(K786="FUERA","Fuera del marco",IF(K786="N/A","Sin marco",IFERROR(INDEX(Catalogo_TIMSS!$F$5:$F$105,MATCH(K786,Catalogo_TIMSS!$A$5:$A$105,0)),"Pendiente de clasificar")))</f>
        <v>Electricidad y circuitos</v>
      </c>
      <c r="O786" s="8" t="str">
        <f aca="false">IF(L786="","",IFERROR(INDEX(Catalogo_TIMSS!$C$5:$C$105,MATCH(L786,Catalogo_TIMSS!$A$5:$A$105,0)),"?"))</f>
        <v/>
      </c>
      <c r="P786" s="8" t="s">
        <v>418</v>
      </c>
      <c r="Q786" s="27" t="s">
        <v>3657</v>
      </c>
      <c r="R786" s="27" t="s">
        <v>3658</v>
      </c>
      <c r="S786" s="28" t="n">
        <f aca="false">IFERROR(ISNUMBER(SEARCH("Conocer",$R786))/(ISNUMBER(SEARCH("Conocer",$R786))+ISNUMBER(SEARCH("Aplicar",$R786))+ISNUMBER(SEARCH("Razonar",$R786))),0)</f>
        <v>0</v>
      </c>
      <c r="T786" s="28" t="n">
        <f aca="false">IFERROR(ISNUMBER(SEARCH("Aplicar",$R786))/(ISNUMBER(SEARCH("Conocer",$R786))+ISNUMBER(SEARCH("Aplicar",$R786))+ISNUMBER(SEARCH("Razonar",$R786))),0)</f>
        <v>0.5</v>
      </c>
      <c r="U786" s="28" t="n">
        <f aca="false">IFERROR(ISNUMBER(SEARCH("Razonar",$R786))/(ISNUMBER(SEARCH("Conocer",$R786))+ISNUMBER(SEARCH("Aplicar",$R786))+ISNUMBER(SEARCH("Razonar",$R786))),0)</f>
        <v>0.5</v>
      </c>
      <c r="V786" s="8" t="s">
        <v>56</v>
      </c>
      <c r="W786" s="8" t="s">
        <v>69</v>
      </c>
    </row>
    <row r="787" customFormat="false" ht="15" hidden="false" customHeight="false" outlineLevel="0" collapsed="false">
      <c r="A787" s="8" t="s">
        <v>3659</v>
      </c>
      <c r="B787" s="8" t="n">
        <v>11</v>
      </c>
      <c r="C787" s="8" t="s">
        <v>91</v>
      </c>
      <c r="D787" s="8" t="s">
        <v>2909</v>
      </c>
      <c r="E787" s="8" t="s">
        <v>3473</v>
      </c>
      <c r="F787" s="8" t="n">
        <v>42</v>
      </c>
      <c r="G787" s="8" t="s">
        <v>3650</v>
      </c>
      <c r="H787" s="8" t="s">
        <v>3660</v>
      </c>
      <c r="I787" s="27" t="s">
        <v>3661</v>
      </c>
      <c r="J787" s="8" t="s">
        <v>291</v>
      </c>
      <c r="K787" s="8" t="s">
        <v>314</v>
      </c>
      <c r="L787" s="8" t="s">
        <v>311</v>
      </c>
      <c r="M787" s="8" t="str">
        <f aca="false">IF(K787="FUERA","Fuera del marco",IF(K787="N/A","Sin marco",IFERROR(INDEX(Catalogo_TIMSS!$C$5:$C$105,MATCH(K787,Catalogo_TIMSS!$A$5:$A$105,0)),"Pendiente de clasificar")))</f>
        <v>Electricidad y magnetismo</v>
      </c>
      <c r="N787" s="8" t="str">
        <f aca="false">IF(K787="FUERA","Fuera del marco",IF(K787="N/A","Sin marco",IFERROR(INDEX(Catalogo_TIMSS!$F$5:$F$105,MATCH(K787,Catalogo_TIMSS!$A$5:$A$105,0)),"Pendiente de clasificar")))</f>
        <v>Electricidad y circuitos</v>
      </c>
      <c r="O787" s="8" t="str">
        <f aca="false">IF(L787="","",IFERROR(INDEX(Catalogo_TIMSS!$C$5:$C$105,MATCH(L787,Catalogo_TIMSS!$A$5:$A$105,0)),"?"))</f>
        <v>Electricidad y magnetismo</v>
      </c>
      <c r="P787" s="8" t="s">
        <v>460</v>
      </c>
      <c r="Q787" s="27" t="s">
        <v>3662</v>
      </c>
      <c r="R787" s="27" t="s">
        <v>3663</v>
      </c>
      <c r="S787" s="28" t="n">
        <f aca="false">IFERROR(ISNUMBER(SEARCH("Conocer",$R787))/(ISNUMBER(SEARCH("Conocer",$R787))+ISNUMBER(SEARCH("Aplicar",$R787))+ISNUMBER(SEARCH("Razonar",$R787))),0)</f>
        <v>0</v>
      </c>
      <c r="T787" s="28" t="n">
        <f aca="false">IFERROR(ISNUMBER(SEARCH("Aplicar",$R787))/(ISNUMBER(SEARCH("Conocer",$R787))+ISNUMBER(SEARCH("Aplicar",$R787))+ISNUMBER(SEARCH("Razonar",$R787))),0)</f>
        <v>0.5</v>
      </c>
      <c r="U787" s="28" t="n">
        <f aca="false">IFERROR(ISNUMBER(SEARCH("Razonar",$R787))/(ISNUMBER(SEARCH("Conocer",$R787))+ISNUMBER(SEARCH("Aplicar",$R787))+ISNUMBER(SEARCH("Razonar",$R787))),0)</f>
        <v>0.5</v>
      </c>
      <c r="V787" s="8" t="s">
        <v>56</v>
      </c>
      <c r="W787" s="8" t="s">
        <v>69</v>
      </c>
    </row>
    <row r="788" customFormat="false" ht="15" hidden="false" customHeight="false" outlineLevel="0" collapsed="false">
      <c r="A788" s="8" t="s">
        <v>3664</v>
      </c>
      <c r="B788" s="8" t="n">
        <v>11</v>
      </c>
      <c r="C788" s="8" t="s">
        <v>91</v>
      </c>
      <c r="D788" s="8" t="s">
        <v>2909</v>
      </c>
      <c r="E788" s="8" t="s">
        <v>3473</v>
      </c>
      <c r="F788" s="8" t="n">
        <v>43</v>
      </c>
      <c r="G788" s="8" t="s">
        <v>3650</v>
      </c>
      <c r="H788" s="8" t="s">
        <v>3660</v>
      </c>
      <c r="I788" s="27" t="s">
        <v>3665</v>
      </c>
      <c r="J788" s="8" t="s">
        <v>291</v>
      </c>
      <c r="K788" s="8" t="s">
        <v>314</v>
      </c>
      <c r="L788" s="8"/>
      <c r="M788" s="8" t="str">
        <f aca="false">IF(K788="FUERA","Fuera del marco",IF(K788="N/A","Sin marco",IFERROR(INDEX(Catalogo_TIMSS!$C$5:$C$105,MATCH(K788,Catalogo_TIMSS!$A$5:$A$105,0)),"Pendiente de clasificar")))</f>
        <v>Electricidad y magnetismo</v>
      </c>
      <c r="N788" s="8" t="str">
        <f aca="false">IF(K788="FUERA","Fuera del marco",IF(K788="N/A","Sin marco",IFERROR(INDEX(Catalogo_TIMSS!$F$5:$F$105,MATCH(K788,Catalogo_TIMSS!$A$5:$A$105,0)),"Pendiente de clasificar")))</f>
        <v>Electricidad y circuitos</v>
      </c>
      <c r="O788" s="8" t="str">
        <f aca="false">IF(L788="","",IFERROR(INDEX(Catalogo_TIMSS!$C$5:$C$105,MATCH(L788,Catalogo_TIMSS!$A$5:$A$105,0)),"?"))</f>
        <v/>
      </c>
      <c r="P788" s="8" t="s">
        <v>460</v>
      </c>
      <c r="Q788" s="27" t="s">
        <v>3666</v>
      </c>
      <c r="R788" s="27" t="s">
        <v>3667</v>
      </c>
      <c r="S788" s="28" t="n">
        <f aca="false">IFERROR(ISNUMBER(SEARCH("Conocer",$R788))/(ISNUMBER(SEARCH("Conocer",$R788))+ISNUMBER(SEARCH("Aplicar",$R788))+ISNUMBER(SEARCH("Razonar",$R788))),0)</f>
        <v>0</v>
      </c>
      <c r="T788" s="28" t="n">
        <f aca="false">IFERROR(ISNUMBER(SEARCH("Aplicar",$R788))/(ISNUMBER(SEARCH("Conocer",$R788))+ISNUMBER(SEARCH("Aplicar",$R788))+ISNUMBER(SEARCH("Razonar",$R788))),0)</f>
        <v>0.5</v>
      </c>
      <c r="U788" s="28" t="n">
        <f aca="false">IFERROR(ISNUMBER(SEARCH("Razonar",$R788))/(ISNUMBER(SEARCH("Conocer",$R788))+ISNUMBER(SEARCH("Aplicar",$R788))+ISNUMBER(SEARCH("Razonar",$R788))),0)</f>
        <v>0.5</v>
      </c>
      <c r="V788" s="8" t="s">
        <v>56</v>
      </c>
      <c r="W788" s="8" t="s">
        <v>69</v>
      </c>
    </row>
    <row r="789" customFormat="false" ht="15" hidden="false" customHeight="false" outlineLevel="0" collapsed="false">
      <c r="A789" s="8" t="s">
        <v>3668</v>
      </c>
      <c r="B789" s="8" t="n">
        <v>11</v>
      </c>
      <c r="C789" s="8" t="s">
        <v>91</v>
      </c>
      <c r="D789" s="8" t="s">
        <v>2909</v>
      </c>
      <c r="E789" s="8" t="s">
        <v>3473</v>
      </c>
      <c r="F789" s="8" t="n">
        <v>44</v>
      </c>
      <c r="G789" s="8" t="s">
        <v>3650</v>
      </c>
      <c r="H789" s="8" t="s">
        <v>3669</v>
      </c>
      <c r="I789" s="27" t="s">
        <v>3670</v>
      </c>
      <c r="J789" s="8" t="s">
        <v>291</v>
      </c>
      <c r="K789" s="8" t="s">
        <v>314</v>
      </c>
      <c r="L789" s="8"/>
      <c r="M789" s="8" t="str">
        <f aca="false">IF(K789="FUERA","Fuera del marco",IF(K789="N/A","Sin marco",IFERROR(INDEX(Catalogo_TIMSS!$C$5:$C$105,MATCH(K789,Catalogo_TIMSS!$A$5:$A$105,0)),"Pendiente de clasificar")))</f>
        <v>Electricidad y magnetismo</v>
      </c>
      <c r="N789" s="8" t="str">
        <f aca="false">IF(K789="FUERA","Fuera del marco",IF(K789="N/A","Sin marco",IFERROR(INDEX(Catalogo_TIMSS!$F$5:$F$105,MATCH(K789,Catalogo_TIMSS!$A$5:$A$105,0)),"Pendiente de clasificar")))</f>
        <v>Electricidad y circuitos</v>
      </c>
      <c r="O789" s="8" t="str">
        <f aca="false">IF(L789="","",IFERROR(INDEX(Catalogo_TIMSS!$C$5:$C$105,MATCH(L789,Catalogo_TIMSS!$A$5:$A$105,0)),"?"))</f>
        <v/>
      </c>
      <c r="P789" s="8" t="s">
        <v>513</v>
      </c>
      <c r="Q789" s="27" t="s">
        <v>3671</v>
      </c>
      <c r="R789" s="27" t="s">
        <v>3672</v>
      </c>
      <c r="S789" s="28" t="n">
        <f aca="false">IFERROR(ISNUMBER(SEARCH("Conocer",$R789))/(ISNUMBER(SEARCH("Conocer",$R789))+ISNUMBER(SEARCH("Aplicar",$R789))+ISNUMBER(SEARCH("Razonar",$R789))),0)</f>
        <v>0</v>
      </c>
      <c r="T789" s="28" t="n">
        <f aca="false">IFERROR(ISNUMBER(SEARCH("Aplicar",$R789))/(ISNUMBER(SEARCH("Conocer",$R789))+ISNUMBER(SEARCH("Aplicar",$R789))+ISNUMBER(SEARCH("Razonar",$R789))),0)</f>
        <v>0.5</v>
      </c>
      <c r="U789" s="28" t="n">
        <f aca="false">IFERROR(ISNUMBER(SEARCH("Razonar",$R789))/(ISNUMBER(SEARCH("Conocer",$R789))+ISNUMBER(SEARCH("Aplicar",$R789))+ISNUMBER(SEARCH("Razonar",$R789))),0)</f>
        <v>0.5</v>
      </c>
      <c r="V789" s="8" t="s">
        <v>56</v>
      </c>
      <c r="W789" s="8" t="s">
        <v>69</v>
      </c>
    </row>
    <row r="790" customFormat="false" ht="15" hidden="false" customHeight="false" outlineLevel="0" collapsed="false">
      <c r="A790" s="8" t="s">
        <v>3673</v>
      </c>
      <c r="B790" s="8" t="n">
        <v>11</v>
      </c>
      <c r="C790" s="8" t="s">
        <v>91</v>
      </c>
      <c r="D790" s="8" t="s">
        <v>2909</v>
      </c>
      <c r="E790" s="8" t="s">
        <v>3473</v>
      </c>
      <c r="F790" s="8" t="n">
        <v>45</v>
      </c>
      <c r="G790" s="8" t="s">
        <v>3650</v>
      </c>
      <c r="H790" s="8" t="s">
        <v>3674</v>
      </c>
      <c r="I790" s="27" t="s">
        <v>3675</v>
      </c>
      <c r="J790" s="8" t="s">
        <v>291</v>
      </c>
      <c r="K790" s="8" t="s">
        <v>417</v>
      </c>
      <c r="L790" s="8"/>
      <c r="M790" s="8" t="str">
        <f aca="false">IF(K790="FUERA","Fuera del marco",IF(K790="N/A","Sin marco",IFERROR(INDEX(Catalogo_TIMSS!$C$5:$C$105,MATCH(K790,Catalogo_TIMSS!$A$5:$A$105,0)),"Pendiente de clasificar")))</f>
        <v>Fuera del marco</v>
      </c>
      <c r="N790" s="8" t="str">
        <f aca="false">IF(K790="FUERA","Fuera del marco",IF(K790="N/A","Sin marco",IFERROR(INDEX(Catalogo_TIMSS!$F$5:$F$105,MATCH(K790,Catalogo_TIMSS!$A$5:$A$105,0)),"Pendiente de clasificar")))</f>
        <v>Fuera del marco</v>
      </c>
      <c r="O790" s="8" t="str">
        <f aca="false">IF(L790="","",IFERROR(INDEX(Catalogo_TIMSS!$C$5:$C$105,MATCH(L790,Catalogo_TIMSS!$A$5:$A$105,0)),"?"))</f>
        <v/>
      </c>
      <c r="P790" s="8" t="s">
        <v>460</v>
      </c>
      <c r="Q790" s="27" t="s">
        <v>3676</v>
      </c>
      <c r="R790" s="27" t="s">
        <v>3677</v>
      </c>
      <c r="S790" s="28" t="n">
        <f aca="false">IFERROR(ISNUMBER(SEARCH("Conocer",$R790))/(ISNUMBER(SEARCH("Conocer",$R790))+ISNUMBER(SEARCH("Aplicar",$R790))+ISNUMBER(SEARCH("Razonar",$R790))),0)</f>
        <v>0.333333333333333</v>
      </c>
      <c r="T790" s="28" t="n">
        <f aca="false">IFERROR(ISNUMBER(SEARCH("Aplicar",$R790))/(ISNUMBER(SEARCH("Conocer",$R790))+ISNUMBER(SEARCH("Aplicar",$R790))+ISNUMBER(SEARCH("Razonar",$R790))),0)</f>
        <v>0.333333333333333</v>
      </c>
      <c r="U790" s="28" t="n">
        <f aca="false">IFERROR(ISNUMBER(SEARCH("Razonar",$R790))/(ISNUMBER(SEARCH("Conocer",$R790))+ISNUMBER(SEARCH("Aplicar",$R790))+ISNUMBER(SEARCH("Razonar",$R790))),0)</f>
        <v>0.333333333333333</v>
      </c>
      <c r="V790" s="8" t="s">
        <v>56</v>
      </c>
      <c r="W790" s="8" t="s">
        <v>69</v>
      </c>
    </row>
    <row r="791" customFormat="false" ht="15" hidden="false" customHeight="false" outlineLevel="0" collapsed="false">
      <c r="A791" s="8" t="s">
        <v>3678</v>
      </c>
      <c r="B791" s="8" t="n">
        <v>11</v>
      </c>
      <c r="C791" s="8" t="s">
        <v>91</v>
      </c>
      <c r="D791" s="8" t="s">
        <v>2909</v>
      </c>
      <c r="E791" s="8" t="s">
        <v>3473</v>
      </c>
      <c r="F791" s="8" t="n">
        <v>46</v>
      </c>
      <c r="G791" s="8" t="s">
        <v>3679</v>
      </c>
      <c r="H791" s="8" t="s">
        <v>3680</v>
      </c>
      <c r="I791" s="27" t="s">
        <v>3681</v>
      </c>
      <c r="J791" s="8" t="s">
        <v>291</v>
      </c>
      <c r="K791" s="8" t="s">
        <v>316</v>
      </c>
      <c r="L791" s="8"/>
      <c r="M791" s="8" t="str">
        <f aca="false">IF(K791="FUERA","Fuera del marco",IF(K791="N/A","Sin marco",IFERROR(INDEX(Catalogo_TIMSS!$C$5:$C$105,MATCH(K791,Catalogo_TIMSS!$A$5:$A$105,0)),"Pendiente de clasificar")))</f>
        <v>Electricidad y magnetismo</v>
      </c>
      <c r="N791" s="8" t="str">
        <f aca="false">IF(K791="FUERA","Fuera del marco",IF(K791="N/A","Sin marco",IFERROR(INDEX(Catalogo_TIMSS!$F$5:$F$105,MATCH(K791,Catalogo_TIMSS!$A$5:$A$105,0)),"Pendiente de clasificar")))</f>
        <v>Electricidad y circuitos</v>
      </c>
      <c r="O791" s="8" t="str">
        <f aca="false">IF(L791="","",IFERROR(INDEX(Catalogo_TIMSS!$C$5:$C$105,MATCH(L791,Catalogo_TIMSS!$A$5:$A$105,0)),"?"))</f>
        <v/>
      </c>
      <c r="P791" s="8" t="s">
        <v>418</v>
      </c>
      <c r="Q791" s="27" t="s">
        <v>3682</v>
      </c>
      <c r="R791" s="27" t="s">
        <v>3683</v>
      </c>
      <c r="S791" s="28" t="n">
        <f aca="false">IFERROR(ISNUMBER(SEARCH("Conocer",$R791))/(ISNUMBER(SEARCH("Conocer",$R791))+ISNUMBER(SEARCH("Aplicar",$R791))+ISNUMBER(SEARCH("Razonar",$R791))),0)</f>
        <v>0.5</v>
      </c>
      <c r="T791" s="28" t="n">
        <f aca="false">IFERROR(ISNUMBER(SEARCH("Aplicar",$R791))/(ISNUMBER(SEARCH("Conocer",$R791))+ISNUMBER(SEARCH("Aplicar",$R791))+ISNUMBER(SEARCH("Razonar",$R791))),0)</f>
        <v>0.5</v>
      </c>
      <c r="U791" s="28" t="n">
        <f aca="false">IFERROR(ISNUMBER(SEARCH("Razonar",$R791))/(ISNUMBER(SEARCH("Conocer",$R791))+ISNUMBER(SEARCH("Aplicar",$R791))+ISNUMBER(SEARCH("Razonar",$R791))),0)</f>
        <v>0</v>
      </c>
      <c r="V791" s="8" t="s">
        <v>56</v>
      </c>
      <c r="W791" s="8" t="s">
        <v>69</v>
      </c>
    </row>
    <row r="792" customFormat="false" ht="15" hidden="false" customHeight="false" outlineLevel="0" collapsed="false">
      <c r="A792" s="8" t="s">
        <v>3684</v>
      </c>
      <c r="B792" s="8" t="n">
        <v>11</v>
      </c>
      <c r="C792" s="8" t="s">
        <v>91</v>
      </c>
      <c r="D792" s="8" t="s">
        <v>2909</v>
      </c>
      <c r="E792" s="8" t="s">
        <v>3473</v>
      </c>
      <c r="F792" s="8" t="n">
        <v>47</v>
      </c>
      <c r="G792" s="8" t="s">
        <v>3679</v>
      </c>
      <c r="H792" s="8" t="s">
        <v>3680</v>
      </c>
      <c r="I792" s="27" t="s">
        <v>3685</v>
      </c>
      <c r="J792" s="8" t="s">
        <v>291</v>
      </c>
      <c r="K792" s="8" t="s">
        <v>316</v>
      </c>
      <c r="L792" s="8"/>
      <c r="M792" s="8" t="str">
        <f aca="false">IF(K792="FUERA","Fuera del marco",IF(K792="N/A","Sin marco",IFERROR(INDEX(Catalogo_TIMSS!$C$5:$C$105,MATCH(K792,Catalogo_TIMSS!$A$5:$A$105,0)),"Pendiente de clasificar")))</f>
        <v>Electricidad y magnetismo</v>
      </c>
      <c r="N792" s="8" t="str">
        <f aca="false">IF(K792="FUERA","Fuera del marco",IF(K792="N/A","Sin marco",IFERROR(INDEX(Catalogo_TIMSS!$F$5:$F$105,MATCH(K792,Catalogo_TIMSS!$A$5:$A$105,0)),"Pendiente de clasificar")))</f>
        <v>Electricidad y circuitos</v>
      </c>
      <c r="O792" s="8" t="str">
        <f aca="false">IF(L792="","",IFERROR(INDEX(Catalogo_TIMSS!$C$5:$C$105,MATCH(L792,Catalogo_TIMSS!$A$5:$A$105,0)),"?"))</f>
        <v/>
      </c>
      <c r="P792" s="8" t="s">
        <v>418</v>
      </c>
      <c r="Q792" s="27" t="s">
        <v>3686</v>
      </c>
      <c r="R792" s="27" t="s">
        <v>3687</v>
      </c>
      <c r="S792" s="28" t="n">
        <f aca="false">IFERROR(ISNUMBER(SEARCH("Conocer",$R792))/(ISNUMBER(SEARCH("Conocer",$R792))+ISNUMBER(SEARCH("Aplicar",$R792))+ISNUMBER(SEARCH("Razonar",$R792))),0)</f>
        <v>0</v>
      </c>
      <c r="T792" s="28" t="n">
        <f aca="false">IFERROR(ISNUMBER(SEARCH("Aplicar",$R792))/(ISNUMBER(SEARCH("Conocer",$R792))+ISNUMBER(SEARCH("Aplicar",$R792))+ISNUMBER(SEARCH("Razonar",$R792))),0)</f>
        <v>0.5</v>
      </c>
      <c r="U792" s="28" t="n">
        <f aca="false">IFERROR(ISNUMBER(SEARCH("Razonar",$R792))/(ISNUMBER(SEARCH("Conocer",$R792))+ISNUMBER(SEARCH("Aplicar",$R792))+ISNUMBER(SEARCH("Razonar",$R792))),0)</f>
        <v>0.5</v>
      </c>
      <c r="V792" s="8" t="s">
        <v>56</v>
      </c>
      <c r="W792" s="8" t="s">
        <v>69</v>
      </c>
    </row>
    <row r="793" customFormat="false" ht="15" hidden="false" customHeight="false" outlineLevel="0" collapsed="false">
      <c r="A793" s="8" t="s">
        <v>3688</v>
      </c>
      <c r="B793" s="8" t="n">
        <v>11</v>
      </c>
      <c r="C793" s="8" t="s">
        <v>91</v>
      </c>
      <c r="D793" s="8" t="s">
        <v>2909</v>
      </c>
      <c r="E793" s="8" t="s">
        <v>3473</v>
      </c>
      <c r="F793" s="8" t="n">
        <v>48</v>
      </c>
      <c r="G793" s="8" t="s">
        <v>3679</v>
      </c>
      <c r="H793" s="8" t="s">
        <v>3689</v>
      </c>
      <c r="I793" s="27" t="s">
        <v>3690</v>
      </c>
      <c r="J793" s="8" t="s">
        <v>291</v>
      </c>
      <c r="K793" s="8" t="s">
        <v>316</v>
      </c>
      <c r="L793" s="8"/>
      <c r="M793" s="8" t="str">
        <f aca="false">IF(K793="FUERA","Fuera del marco",IF(K793="N/A","Sin marco",IFERROR(INDEX(Catalogo_TIMSS!$C$5:$C$105,MATCH(K793,Catalogo_TIMSS!$A$5:$A$105,0)),"Pendiente de clasificar")))</f>
        <v>Electricidad y magnetismo</v>
      </c>
      <c r="N793" s="8" t="str">
        <f aca="false">IF(K793="FUERA","Fuera del marco",IF(K793="N/A","Sin marco",IFERROR(INDEX(Catalogo_TIMSS!$F$5:$F$105,MATCH(K793,Catalogo_TIMSS!$A$5:$A$105,0)),"Pendiente de clasificar")))</f>
        <v>Electricidad y circuitos</v>
      </c>
      <c r="O793" s="8" t="str">
        <f aca="false">IF(L793="","",IFERROR(INDEX(Catalogo_TIMSS!$C$5:$C$105,MATCH(L793,Catalogo_TIMSS!$A$5:$A$105,0)),"?"))</f>
        <v/>
      </c>
      <c r="P793" s="8" t="s">
        <v>418</v>
      </c>
      <c r="Q793" s="27" t="s">
        <v>3691</v>
      </c>
      <c r="R793" s="27" t="s">
        <v>3692</v>
      </c>
      <c r="S793" s="28" t="n">
        <f aca="false">IFERROR(ISNUMBER(SEARCH("Conocer",$R793))/(ISNUMBER(SEARCH("Conocer",$R793))+ISNUMBER(SEARCH("Aplicar",$R793))+ISNUMBER(SEARCH("Razonar",$R793))),0)</f>
        <v>0</v>
      </c>
      <c r="T793" s="28" t="n">
        <f aca="false">IFERROR(ISNUMBER(SEARCH("Aplicar",$R793))/(ISNUMBER(SEARCH("Conocer",$R793))+ISNUMBER(SEARCH("Aplicar",$R793))+ISNUMBER(SEARCH("Razonar",$R793))),0)</f>
        <v>0.5</v>
      </c>
      <c r="U793" s="28" t="n">
        <f aca="false">IFERROR(ISNUMBER(SEARCH("Razonar",$R793))/(ISNUMBER(SEARCH("Conocer",$R793))+ISNUMBER(SEARCH("Aplicar",$R793))+ISNUMBER(SEARCH("Razonar",$R793))),0)</f>
        <v>0.5</v>
      </c>
      <c r="V793" s="8" t="s">
        <v>56</v>
      </c>
      <c r="W793" s="8" t="s">
        <v>69</v>
      </c>
    </row>
    <row r="794" customFormat="false" ht="15" hidden="false" customHeight="false" outlineLevel="0" collapsed="false">
      <c r="A794" s="8" t="s">
        <v>3693</v>
      </c>
      <c r="B794" s="8" t="n">
        <v>11</v>
      </c>
      <c r="C794" s="8" t="s">
        <v>91</v>
      </c>
      <c r="D794" s="8" t="s">
        <v>2909</v>
      </c>
      <c r="E794" s="8" t="s">
        <v>3473</v>
      </c>
      <c r="F794" s="8" t="n">
        <v>49</v>
      </c>
      <c r="G794" s="8" t="s">
        <v>3679</v>
      </c>
      <c r="H794" s="8" t="s">
        <v>3689</v>
      </c>
      <c r="I794" s="27" t="s">
        <v>3694</v>
      </c>
      <c r="J794" s="8" t="s">
        <v>291</v>
      </c>
      <c r="K794" s="8" t="s">
        <v>316</v>
      </c>
      <c r="L794" s="8"/>
      <c r="M794" s="8" t="str">
        <f aca="false">IF(K794="FUERA","Fuera del marco",IF(K794="N/A","Sin marco",IFERROR(INDEX(Catalogo_TIMSS!$C$5:$C$105,MATCH(K794,Catalogo_TIMSS!$A$5:$A$105,0)),"Pendiente de clasificar")))</f>
        <v>Electricidad y magnetismo</v>
      </c>
      <c r="N794" s="8" t="str">
        <f aca="false">IF(K794="FUERA","Fuera del marco",IF(K794="N/A","Sin marco",IFERROR(INDEX(Catalogo_TIMSS!$F$5:$F$105,MATCH(K794,Catalogo_TIMSS!$A$5:$A$105,0)),"Pendiente de clasificar")))</f>
        <v>Electricidad y circuitos</v>
      </c>
      <c r="O794" s="8" t="str">
        <f aca="false">IF(L794="","",IFERROR(INDEX(Catalogo_TIMSS!$C$5:$C$105,MATCH(L794,Catalogo_TIMSS!$A$5:$A$105,0)),"?"))</f>
        <v/>
      </c>
      <c r="P794" s="8" t="s">
        <v>418</v>
      </c>
      <c r="Q794" s="27" t="s">
        <v>3695</v>
      </c>
      <c r="R794" s="27" t="s">
        <v>3696</v>
      </c>
      <c r="S794" s="28" t="n">
        <f aca="false">IFERROR(ISNUMBER(SEARCH("Conocer",$R794))/(ISNUMBER(SEARCH("Conocer",$R794))+ISNUMBER(SEARCH("Aplicar",$R794))+ISNUMBER(SEARCH("Razonar",$R794))),0)</f>
        <v>0</v>
      </c>
      <c r="T794" s="28" t="n">
        <f aca="false">IFERROR(ISNUMBER(SEARCH("Aplicar",$R794))/(ISNUMBER(SEARCH("Conocer",$R794))+ISNUMBER(SEARCH("Aplicar",$R794))+ISNUMBER(SEARCH("Razonar",$R794))),0)</f>
        <v>0.5</v>
      </c>
      <c r="U794" s="28" t="n">
        <f aca="false">IFERROR(ISNUMBER(SEARCH("Razonar",$R794))/(ISNUMBER(SEARCH("Conocer",$R794))+ISNUMBER(SEARCH("Aplicar",$R794))+ISNUMBER(SEARCH("Razonar",$R794))),0)</f>
        <v>0.5</v>
      </c>
      <c r="V794" s="8" t="s">
        <v>56</v>
      </c>
      <c r="W794" s="8" t="s">
        <v>69</v>
      </c>
    </row>
    <row r="795" customFormat="false" ht="15" hidden="false" customHeight="false" outlineLevel="0" collapsed="false">
      <c r="A795" s="8" t="s">
        <v>3697</v>
      </c>
      <c r="B795" s="8" t="n">
        <v>11</v>
      </c>
      <c r="C795" s="8" t="s">
        <v>91</v>
      </c>
      <c r="D795" s="8" t="s">
        <v>2909</v>
      </c>
      <c r="E795" s="8" t="s">
        <v>3473</v>
      </c>
      <c r="F795" s="8" t="n">
        <v>50</v>
      </c>
      <c r="G795" s="8" t="s">
        <v>3679</v>
      </c>
      <c r="H795" s="8" t="s">
        <v>3698</v>
      </c>
      <c r="I795" s="27" t="s">
        <v>3699</v>
      </c>
      <c r="J795" s="8" t="s">
        <v>291</v>
      </c>
      <c r="K795" s="8" t="s">
        <v>316</v>
      </c>
      <c r="L795" s="8"/>
      <c r="M795" s="8" t="str">
        <f aca="false">IF(K795="FUERA","Fuera del marco",IF(K795="N/A","Sin marco",IFERROR(INDEX(Catalogo_TIMSS!$C$5:$C$105,MATCH(K795,Catalogo_TIMSS!$A$5:$A$105,0)),"Pendiente de clasificar")))</f>
        <v>Electricidad y magnetismo</v>
      </c>
      <c r="N795" s="8" t="str">
        <f aca="false">IF(K795="FUERA","Fuera del marco",IF(K795="N/A","Sin marco",IFERROR(INDEX(Catalogo_TIMSS!$F$5:$F$105,MATCH(K795,Catalogo_TIMSS!$A$5:$A$105,0)),"Pendiente de clasificar")))</f>
        <v>Electricidad y circuitos</v>
      </c>
      <c r="O795" s="8" t="str">
        <f aca="false">IF(L795="","",IFERROR(INDEX(Catalogo_TIMSS!$C$5:$C$105,MATCH(L795,Catalogo_TIMSS!$A$5:$A$105,0)),"?"))</f>
        <v/>
      </c>
      <c r="P795" s="8" t="s">
        <v>418</v>
      </c>
      <c r="Q795" s="27" t="s">
        <v>3700</v>
      </c>
      <c r="R795" s="27" t="s">
        <v>3701</v>
      </c>
      <c r="S795" s="28" t="n">
        <f aca="false">IFERROR(ISNUMBER(SEARCH("Conocer",$R795))/(ISNUMBER(SEARCH("Conocer",$R795))+ISNUMBER(SEARCH("Aplicar",$R795))+ISNUMBER(SEARCH("Razonar",$R795))),0)</f>
        <v>0</v>
      </c>
      <c r="T795" s="28" t="n">
        <f aca="false">IFERROR(ISNUMBER(SEARCH("Aplicar",$R795))/(ISNUMBER(SEARCH("Conocer",$R795))+ISNUMBER(SEARCH("Aplicar",$R795))+ISNUMBER(SEARCH("Razonar",$R795))),0)</f>
        <v>0.5</v>
      </c>
      <c r="U795" s="28" t="n">
        <f aca="false">IFERROR(ISNUMBER(SEARCH("Razonar",$R795))/(ISNUMBER(SEARCH("Conocer",$R795))+ISNUMBER(SEARCH("Aplicar",$R795))+ISNUMBER(SEARCH("Razonar",$R795))),0)</f>
        <v>0.5</v>
      </c>
      <c r="V795" s="8" t="s">
        <v>56</v>
      </c>
      <c r="W795" s="8" t="s">
        <v>69</v>
      </c>
    </row>
    <row r="796" customFormat="false" ht="15" hidden="false" customHeight="false" outlineLevel="0" collapsed="false">
      <c r="A796" s="8" t="s">
        <v>3702</v>
      </c>
      <c r="B796" s="8" t="n">
        <v>11</v>
      </c>
      <c r="C796" s="8" t="s">
        <v>91</v>
      </c>
      <c r="D796" s="8" t="s">
        <v>2909</v>
      </c>
      <c r="E796" s="8" t="s">
        <v>3473</v>
      </c>
      <c r="F796" s="8" t="n">
        <v>51</v>
      </c>
      <c r="G796" s="8" t="s">
        <v>3679</v>
      </c>
      <c r="H796" s="8" t="s">
        <v>3698</v>
      </c>
      <c r="I796" s="27" t="s">
        <v>3703</v>
      </c>
      <c r="J796" s="8" t="s">
        <v>291</v>
      </c>
      <c r="K796" s="8" t="s">
        <v>316</v>
      </c>
      <c r="L796" s="8"/>
      <c r="M796" s="8" t="str">
        <f aca="false">IF(K796="FUERA","Fuera del marco",IF(K796="N/A","Sin marco",IFERROR(INDEX(Catalogo_TIMSS!$C$5:$C$105,MATCH(K796,Catalogo_TIMSS!$A$5:$A$105,0)),"Pendiente de clasificar")))</f>
        <v>Electricidad y magnetismo</v>
      </c>
      <c r="N796" s="8" t="str">
        <f aca="false">IF(K796="FUERA","Fuera del marco",IF(K796="N/A","Sin marco",IFERROR(INDEX(Catalogo_TIMSS!$F$5:$F$105,MATCH(K796,Catalogo_TIMSS!$A$5:$A$105,0)),"Pendiente de clasificar")))</f>
        <v>Electricidad y circuitos</v>
      </c>
      <c r="O796" s="8" t="str">
        <f aca="false">IF(L796="","",IFERROR(INDEX(Catalogo_TIMSS!$C$5:$C$105,MATCH(L796,Catalogo_TIMSS!$A$5:$A$105,0)),"?"))</f>
        <v/>
      </c>
      <c r="P796" s="8" t="s">
        <v>418</v>
      </c>
      <c r="Q796" s="27" t="s">
        <v>3704</v>
      </c>
      <c r="R796" s="27" t="s">
        <v>3705</v>
      </c>
      <c r="S796" s="28" t="n">
        <f aca="false">IFERROR(ISNUMBER(SEARCH("Conocer",$R796))/(ISNUMBER(SEARCH("Conocer",$R796))+ISNUMBER(SEARCH("Aplicar",$R796))+ISNUMBER(SEARCH("Razonar",$R796))),0)</f>
        <v>0</v>
      </c>
      <c r="T796" s="28" t="n">
        <f aca="false">IFERROR(ISNUMBER(SEARCH("Aplicar",$R796))/(ISNUMBER(SEARCH("Conocer",$R796))+ISNUMBER(SEARCH("Aplicar",$R796))+ISNUMBER(SEARCH("Razonar",$R796))),0)</f>
        <v>0.5</v>
      </c>
      <c r="U796" s="28" t="n">
        <f aca="false">IFERROR(ISNUMBER(SEARCH("Razonar",$R796))/(ISNUMBER(SEARCH("Conocer",$R796))+ISNUMBER(SEARCH("Aplicar",$R796))+ISNUMBER(SEARCH("Razonar",$R796))),0)</f>
        <v>0.5</v>
      </c>
      <c r="V796" s="8" t="s">
        <v>56</v>
      </c>
      <c r="W796" s="8" t="s">
        <v>69</v>
      </c>
    </row>
    <row r="797" customFormat="false" ht="15" hidden="false" customHeight="false" outlineLevel="0" collapsed="false">
      <c r="A797" s="8" t="s">
        <v>3706</v>
      </c>
      <c r="B797" s="8" t="n">
        <v>11</v>
      </c>
      <c r="C797" s="8" t="s">
        <v>91</v>
      </c>
      <c r="D797" s="8" t="s">
        <v>2909</v>
      </c>
      <c r="E797" s="8" t="s">
        <v>3473</v>
      </c>
      <c r="F797" s="8" t="n">
        <v>52</v>
      </c>
      <c r="G797" s="8" t="s">
        <v>3679</v>
      </c>
      <c r="H797" s="8" t="s">
        <v>3698</v>
      </c>
      <c r="I797" s="27" t="s">
        <v>3707</v>
      </c>
      <c r="J797" s="8" t="s">
        <v>291</v>
      </c>
      <c r="K797" s="8" t="s">
        <v>316</v>
      </c>
      <c r="L797" s="8"/>
      <c r="M797" s="8" t="str">
        <f aca="false">IF(K797="FUERA","Fuera del marco",IF(K797="N/A","Sin marco",IFERROR(INDEX(Catalogo_TIMSS!$C$5:$C$105,MATCH(K797,Catalogo_TIMSS!$A$5:$A$105,0)),"Pendiente de clasificar")))</f>
        <v>Electricidad y magnetismo</v>
      </c>
      <c r="N797" s="8" t="str">
        <f aca="false">IF(K797="FUERA","Fuera del marco",IF(K797="N/A","Sin marco",IFERROR(INDEX(Catalogo_TIMSS!$F$5:$F$105,MATCH(K797,Catalogo_TIMSS!$A$5:$A$105,0)),"Pendiente de clasificar")))</f>
        <v>Electricidad y circuitos</v>
      </c>
      <c r="O797" s="8" t="str">
        <f aca="false">IF(L797="","",IFERROR(INDEX(Catalogo_TIMSS!$C$5:$C$105,MATCH(L797,Catalogo_TIMSS!$A$5:$A$105,0)),"?"))</f>
        <v/>
      </c>
      <c r="P797" s="8" t="s">
        <v>418</v>
      </c>
      <c r="Q797" s="27" t="s">
        <v>3708</v>
      </c>
      <c r="R797" s="27" t="s">
        <v>3709</v>
      </c>
      <c r="S797" s="28" t="n">
        <f aca="false">IFERROR(ISNUMBER(SEARCH("Conocer",$R797))/(ISNUMBER(SEARCH("Conocer",$R797))+ISNUMBER(SEARCH("Aplicar",$R797))+ISNUMBER(SEARCH("Razonar",$R797))),0)</f>
        <v>0</v>
      </c>
      <c r="T797" s="28" t="n">
        <f aca="false">IFERROR(ISNUMBER(SEARCH("Aplicar",$R797))/(ISNUMBER(SEARCH("Conocer",$R797))+ISNUMBER(SEARCH("Aplicar",$R797))+ISNUMBER(SEARCH("Razonar",$R797))),0)</f>
        <v>0.5</v>
      </c>
      <c r="U797" s="28" t="n">
        <f aca="false">IFERROR(ISNUMBER(SEARCH("Razonar",$R797))/(ISNUMBER(SEARCH("Conocer",$R797))+ISNUMBER(SEARCH("Aplicar",$R797))+ISNUMBER(SEARCH("Razonar",$R797))),0)</f>
        <v>0.5</v>
      </c>
      <c r="V797" s="8" t="s">
        <v>56</v>
      </c>
      <c r="W797" s="8" t="s">
        <v>69</v>
      </c>
    </row>
    <row r="798" customFormat="false" ht="15" hidden="false" customHeight="false" outlineLevel="0" collapsed="false">
      <c r="A798" s="8" t="s">
        <v>3710</v>
      </c>
      <c r="B798" s="8" t="n">
        <v>11</v>
      </c>
      <c r="C798" s="8" t="s">
        <v>91</v>
      </c>
      <c r="D798" s="8" t="s">
        <v>2909</v>
      </c>
      <c r="E798" s="8" t="s">
        <v>3473</v>
      </c>
      <c r="F798" s="8" t="n">
        <v>53</v>
      </c>
      <c r="G798" s="8" t="s">
        <v>3679</v>
      </c>
      <c r="H798" s="8" t="s">
        <v>3711</v>
      </c>
      <c r="I798" s="27" t="s">
        <v>3712</v>
      </c>
      <c r="J798" s="8" t="s">
        <v>291</v>
      </c>
      <c r="K798" s="8" t="s">
        <v>316</v>
      </c>
      <c r="L798" s="8"/>
      <c r="M798" s="8" t="str">
        <f aca="false">IF(K798="FUERA","Fuera del marco",IF(K798="N/A","Sin marco",IFERROR(INDEX(Catalogo_TIMSS!$C$5:$C$105,MATCH(K798,Catalogo_TIMSS!$A$5:$A$105,0)),"Pendiente de clasificar")))</f>
        <v>Electricidad y magnetismo</v>
      </c>
      <c r="N798" s="8" t="str">
        <f aca="false">IF(K798="FUERA","Fuera del marco",IF(K798="N/A","Sin marco",IFERROR(INDEX(Catalogo_TIMSS!$F$5:$F$105,MATCH(K798,Catalogo_TIMSS!$A$5:$A$105,0)),"Pendiente de clasificar")))</f>
        <v>Electricidad y circuitos</v>
      </c>
      <c r="O798" s="8" t="str">
        <f aca="false">IF(L798="","",IFERROR(INDEX(Catalogo_TIMSS!$C$5:$C$105,MATCH(L798,Catalogo_TIMSS!$A$5:$A$105,0)),"?"))</f>
        <v/>
      </c>
      <c r="P798" s="8" t="s">
        <v>418</v>
      </c>
      <c r="Q798" s="27" t="s">
        <v>3713</v>
      </c>
      <c r="R798" s="27" t="s">
        <v>3714</v>
      </c>
      <c r="S798" s="28" t="n">
        <f aca="false">IFERROR(ISNUMBER(SEARCH("Conocer",$R798))/(ISNUMBER(SEARCH("Conocer",$R798))+ISNUMBER(SEARCH("Aplicar",$R798))+ISNUMBER(SEARCH("Razonar",$R798))),0)</f>
        <v>0</v>
      </c>
      <c r="T798" s="28" t="n">
        <f aca="false">IFERROR(ISNUMBER(SEARCH("Aplicar",$R798))/(ISNUMBER(SEARCH("Conocer",$R798))+ISNUMBER(SEARCH("Aplicar",$R798))+ISNUMBER(SEARCH("Razonar",$R798))),0)</f>
        <v>0.5</v>
      </c>
      <c r="U798" s="28" t="n">
        <f aca="false">IFERROR(ISNUMBER(SEARCH("Razonar",$R798))/(ISNUMBER(SEARCH("Conocer",$R798))+ISNUMBER(SEARCH("Aplicar",$R798))+ISNUMBER(SEARCH("Razonar",$R798))),0)</f>
        <v>0.5</v>
      </c>
      <c r="V798" s="8" t="s">
        <v>56</v>
      </c>
      <c r="W798" s="8" t="s">
        <v>69</v>
      </c>
    </row>
    <row r="799" customFormat="false" ht="15" hidden="false" customHeight="false" outlineLevel="0" collapsed="false">
      <c r="A799" s="8" t="s">
        <v>3715</v>
      </c>
      <c r="B799" s="8" t="n">
        <v>11</v>
      </c>
      <c r="C799" s="8" t="s">
        <v>91</v>
      </c>
      <c r="D799" s="8" t="s">
        <v>2909</v>
      </c>
      <c r="E799" s="8" t="s">
        <v>3473</v>
      </c>
      <c r="F799" s="8" t="n">
        <v>54</v>
      </c>
      <c r="G799" s="8" t="s">
        <v>3679</v>
      </c>
      <c r="H799" s="8" t="s">
        <v>3711</v>
      </c>
      <c r="I799" s="27" t="s">
        <v>3716</v>
      </c>
      <c r="J799" s="8" t="s">
        <v>291</v>
      </c>
      <c r="K799" s="8" t="s">
        <v>316</v>
      </c>
      <c r="L799" s="8"/>
      <c r="M799" s="8" t="str">
        <f aca="false">IF(K799="FUERA","Fuera del marco",IF(K799="N/A","Sin marco",IFERROR(INDEX(Catalogo_TIMSS!$C$5:$C$105,MATCH(K799,Catalogo_TIMSS!$A$5:$A$105,0)),"Pendiente de clasificar")))</f>
        <v>Electricidad y magnetismo</v>
      </c>
      <c r="N799" s="8" t="str">
        <f aca="false">IF(K799="FUERA","Fuera del marco",IF(K799="N/A","Sin marco",IFERROR(INDEX(Catalogo_TIMSS!$F$5:$F$105,MATCH(K799,Catalogo_TIMSS!$A$5:$A$105,0)),"Pendiente de clasificar")))</f>
        <v>Electricidad y circuitos</v>
      </c>
      <c r="O799" s="8" t="str">
        <f aca="false">IF(L799="","",IFERROR(INDEX(Catalogo_TIMSS!$C$5:$C$105,MATCH(L799,Catalogo_TIMSS!$A$5:$A$105,0)),"?"))</f>
        <v/>
      </c>
      <c r="P799" s="8" t="s">
        <v>418</v>
      </c>
      <c r="Q799" s="27" t="s">
        <v>3717</v>
      </c>
      <c r="R799" s="27" t="s">
        <v>3718</v>
      </c>
      <c r="S799" s="28" t="n">
        <f aca="false">IFERROR(ISNUMBER(SEARCH("Conocer",$R799))/(ISNUMBER(SEARCH("Conocer",$R799))+ISNUMBER(SEARCH("Aplicar",$R799))+ISNUMBER(SEARCH("Razonar",$R799))),0)</f>
        <v>0</v>
      </c>
      <c r="T799" s="28" t="n">
        <f aca="false">IFERROR(ISNUMBER(SEARCH("Aplicar",$R799))/(ISNUMBER(SEARCH("Conocer",$R799))+ISNUMBER(SEARCH("Aplicar",$R799))+ISNUMBER(SEARCH("Razonar",$R799))),0)</f>
        <v>0.5</v>
      </c>
      <c r="U799" s="28" t="n">
        <f aca="false">IFERROR(ISNUMBER(SEARCH("Razonar",$R799))/(ISNUMBER(SEARCH("Conocer",$R799))+ISNUMBER(SEARCH("Aplicar",$R799))+ISNUMBER(SEARCH("Razonar",$R799))),0)</f>
        <v>0.5</v>
      </c>
      <c r="V799" s="8" t="s">
        <v>56</v>
      </c>
      <c r="W799" s="8" t="s">
        <v>69</v>
      </c>
    </row>
    <row r="800" customFormat="false" ht="15" hidden="false" customHeight="false" outlineLevel="0" collapsed="false">
      <c r="A800" s="8" t="s">
        <v>3719</v>
      </c>
      <c r="B800" s="8" t="n">
        <v>11</v>
      </c>
      <c r="C800" s="8" t="s">
        <v>91</v>
      </c>
      <c r="D800" s="8" t="s">
        <v>2909</v>
      </c>
      <c r="E800" s="8" t="s">
        <v>3473</v>
      </c>
      <c r="F800" s="8" t="n">
        <v>55</v>
      </c>
      <c r="G800" s="8" t="s">
        <v>3679</v>
      </c>
      <c r="H800" s="8" t="s">
        <v>3711</v>
      </c>
      <c r="I800" s="27" t="s">
        <v>3720</v>
      </c>
      <c r="J800" s="8" t="s">
        <v>291</v>
      </c>
      <c r="K800" s="8" t="s">
        <v>316</v>
      </c>
      <c r="L800" s="8"/>
      <c r="M800" s="8" t="str">
        <f aca="false">IF(K800="FUERA","Fuera del marco",IF(K800="N/A","Sin marco",IFERROR(INDEX(Catalogo_TIMSS!$C$5:$C$105,MATCH(K800,Catalogo_TIMSS!$A$5:$A$105,0)),"Pendiente de clasificar")))</f>
        <v>Electricidad y magnetismo</v>
      </c>
      <c r="N800" s="8" t="str">
        <f aca="false">IF(K800="FUERA","Fuera del marco",IF(K800="N/A","Sin marco",IFERROR(INDEX(Catalogo_TIMSS!$F$5:$F$105,MATCH(K800,Catalogo_TIMSS!$A$5:$A$105,0)),"Pendiente de clasificar")))</f>
        <v>Electricidad y circuitos</v>
      </c>
      <c r="O800" s="8" t="str">
        <f aca="false">IF(L800="","",IFERROR(INDEX(Catalogo_TIMSS!$C$5:$C$105,MATCH(L800,Catalogo_TIMSS!$A$5:$A$105,0)),"?"))</f>
        <v/>
      </c>
      <c r="P800" s="8" t="s">
        <v>418</v>
      </c>
      <c r="Q800" s="27" t="s">
        <v>3721</v>
      </c>
      <c r="R800" s="27" t="s">
        <v>3722</v>
      </c>
      <c r="S800" s="28" t="n">
        <f aca="false">IFERROR(ISNUMBER(SEARCH("Conocer",$R800))/(ISNUMBER(SEARCH("Conocer",$R800))+ISNUMBER(SEARCH("Aplicar",$R800))+ISNUMBER(SEARCH("Razonar",$R800))),0)</f>
        <v>0.333333333333333</v>
      </c>
      <c r="T800" s="28" t="n">
        <f aca="false">IFERROR(ISNUMBER(SEARCH("Aplicar",$R800))/(ISNUMBER(SEARCH("Conocer",$R800))+ISNUMBER(SEARCH("Aplicar",$R800))+ISNUMBER(SEARCH("Razonar",$R800))),0)</f>
        <v>0.333333333333333</v>
      </c>
      <c r="U800" s="28" t="n">
        <f aca="false">IFERROR(ISNUMBER(SEARCH("Razonar",$R800))/(ISNUMBER(SEARCH("Conocer",$R800))+ISNUMBER(SEARCH("Aplicar",$R800))+ISNUMBER(SEARCH("Razonar",$R800))),0)</f>
        <v>0.333333333333333</v>
      </c>
      <c r="V800" s="8" t="s">
        <v>56</v>
      </c>
      <c r="W800" s="8" t="s">
        <v>69</v>
      </c>
    </row>
    <row r="801" customFormat="false" ht="15" hidden="false" customHeight="false" outlineLevel="0" collapsed="false">
      <c r="A801" s="8" t="s">
        <v>3723</v>
      </c>
      <c r="B801" s="8" t="n">
        <v>11</v>
      </c>
      <c r="C801" s="8" t="s">
        <v>91</v>
      </c>
      <c r="D801" s="8" t="s">
        <v>2909</v>
      </c>
      <c r="E801" s="8" t="s">
        <v>3473</v>
      </c>
      <c r="F801" s="8" t="n">
        <v>56</v>
      </c>
      <c r="G801" s="8" t="s">
        <v>3679</v>
      </c>
      <c r="H801" s="8" t="s">
        <v>3724</v>
      </c>
      <c r="I801" s="27" t="s">
        <v>3725</v>
      </c>
      <c r="J801" s="8" t="s">
        <v>291</v>
      </c>
      <c r="K801" s="8" t="s">
        <v>316</v>
      </c>
      <c r="L801" s="8"/>
      <c r="M801" s="8" t="str">
        <f aca="false">IF(K801="FUERA","Fuera del marco",IF(K801="N/A","Sin marco",IFERROR(INDEX(Catalogo_TIMSS!$C$5:$C$105,MATCH(K801,Catalogo_TIMSS!$A$5:$A$105,0)),"Pendiente de clasificar")))</f>
        <v>Electricidad y magnetismo</v>
      </c>
      <c r="N801" s="8" t="str">
        <f aca="false">IF(K801="FUERA","Fuera del marco",IF(K801="N/A","Sin marco",IFERROR(INDEX(Catalogo_TIMSS!$F$5:$F$105,MATCH(K801,Catalogo_TIMSS!$A$5:$A$105,0)),"Pendiente de clasificar")))</f>
        <v>Electricidad y circuitos</v>
      </c>
      <c r="O801" s="8" t="str">
        <f aca="false">IF(L801="","",IFERROR(INDEX(Catalogo_TIMSS!$C$5:$C$105,MATCH(L801,Catalogo_TIMSS!$A$5:$A$105,0)),"?"))</f>
        <v/>
      </c>
      <c r="P801" s="8" t="s">
        <v>460</v>
      </c>
      <c r="Q801" s="27" t="s">
        <v>3726</v>
      </c>
      <c r="R801" s="27" t="s">
        <v>3727</v>
      </c>
      <c r="S801" s="28" t="n">
        <f aca="false">IFERROR(ISNUMBER(SEARCH("Conocer",$R801))/(ISNUMBER(SEARCH("Conocer",$R801))+ISNUMBER(SEARCH("Aplicar",$R801))+ISNUMBER(SEARCH("Razonar",$R801))),0)</f>
        <v>0</v>
      </c>
      <c r="T801" s="28" t="n">
        <f aca="false">IFERROR(ISNUMBER(SEARCH("Aplicar",$R801))/(ISNUMBER(SEARCH("Conocer",$R801))+ISNUMBER(SEARCH("Aplicar",$R801))+ISNUMBER(SEARCH("Razonar",$R801))),0)</f>
        <v>0.5</v>
      </c>
      <c r="U801" s="28" t="n">
        <f aca="false">IFERROR(ISNUMBER(SEARCH("Razonar",$R801))/(ISNUMBER(SEARCH("Conocer",$R801))+ISNUMBER(SEARCH("Aplicar",$R801))+ISNUMBER(SEARCH("Razonar",$R801))),0)</f>
        <v>0.5</v>
      </c>
      <c r="V801" s="8" t="s">
        <v>56</v>
      </c>
      <c r="W801" s="8" t="s">
        <v>69</v>
      </c>
    </row>
    <row r="802" customFormat="false" ht="15" hidden="false" customHeight="false" outlineLevel="0" collapsed="false">
      <c r="A802" s="8" t="s">
        <v>3728</v>
      </c>
      <c r="B802" s="8" t="n">
        <v>11</v>
      </c>
      <c r="C802" s="8" t="s">
        <v>91</v>
      </c>
      <c r="D802" s="8" t="s">
        <v>2909</v>
      </c>
      <c r="E802" s="8" t="s">
        <v>3473</v>
      </c>
      <c r="F802" s="8" t="n">
        <v>57</v>
      </c>
      <c r="G802" s="8" t="s">
        <v>3679</v>
      </c>
      <c r="H802" s="8" t="s">
        <v>3724</v>
      </c>
      <c r="I802" s="27" t="s">
        <v>3729</v>
      </c>
      <c r="J802" s="8" t="s">
        <v>291</v>
      </c>
      <c r="K802" s="8" t="s">
        <v>316</v>
      </c>
      <c r="L802" s="8"/>
      <c r="M802" s="8" t="str">
        <f aca="false">IF(K802="FUERA","Fuera del marco",IF(K802="N/A","Sin marco",IFERROR(INDEX(Catalogo_TIMSS!$C$5:$C$105,MATCH(K802,Catalogo_TIMSS!$A$5:$A$105,0)),"Pendiente de clasificar")))</f>
        <v>Electricidad y magnetismo</v>
      </c>
      <c r="N802" s="8" t="str">
        <f aca="false">IF(K802="FUERA","Fuera del marco",IF(K802="N/A","Sin marco",IFERROR(INDEX(Catalogo_TIMSS!$F$5:$F$105,MATCH(K802,Catalogo_TIMSS!$A$5:$A$105,0)),"Pendiente de clasificar")))</f>
        <v>Electricidad y circuitos</v>
      </c>
      <c r="O802" s="8" t="str">
        <f aca="false">IF(L802="","",IFERROR(INDEX(Catalogo_TIMSS!$C$5:$C$105,MATCH(L802,Catalogo_TIMSS!$A$5:$A$105,0)),"?"))</f>
        <v/>
      </c>
      <c r="P802" s="8" t="s">
        <v>460</v>
      </c>
      <c r="Q802" s="27" t="s">
        <v>3730</v>
      </c>
      <c r="R802" s="27" t="s">
        <v>3731</v>
      </c>
      <c r="S802" s="28" t="n">
        <f aca="false">IFERROR(ISNUMBER(SEARCH("Conocer",$R802))/(ISNUMBER(SEARCH("Conocer",$R802))+ISNUMBER(SEARCH("Aplicar",$R802))+ISNUMBER(SEARCH("Razonar",$R802))),0)</f>
        <v>0</v>
      </c>
      <c r="T802" s="28" t="n">
        <f aca="false">IFERROR(ISNUMBER(SEARCH("Aplicar",$R802))/(ISNUMBER(SEARCH("Conocer",$R802))+ISNUMBER(SEARCH("Aplicar",$R802))+ISNUMBER(SEARCH("Razonar",$R802))),0)</f>
        <v>0.5</v>
      </c>
      <c r="U802" s="28" t="n">
        <f aca="false">IFERROR(ISNUMBER(SEARCH("Razonar",$R802))/(ISNUMBER(SEARCH("Conocer",$R802))+ISNUMBER(SEARCH("Aplicar",$R802))+ISNUMBER(SEARCH("Razonar",$R802))),0)</f>
        <v>0.5</v>
      </c>
      <c r="V802" s="8" t="s">
        <v>56</v>
      </c>
      <c r="W802" s="8" t="s">
        <v>69</v>
      </c>
    </row>
    <row r="803" customFormat="false" ht="15" hidden="false" customHeight="false" outlineLevel="0" collapsed="false">
      <c r="A803" s="8" t="s">
        <v>3732</v>
      </c>
      <c r="B803" s="8" t="n">
        <v>11</v>
      </c>
      <c r="C803" s="8" t="s">
        <v>91</v>
      </c>
      <c r="D803" s="8" t="s">
        <v>2909</v>
      </c>
      <c r="E803" s="8" t="s">
        <v>3473</v>
      </c>
      <c r="F803" s="8" t="n">
        <v>58</v>
      </c>
      <c r="G803" s="8" t="s">
        <v>3679</v>
      </c>
      <c r="H803" s="8" t="s">
        <v>3733</v>
      </c>
      <c r="I803" s="27" t="s">
        <v>3734</v>
      </c>
      <c r="J803" s="8" t="s">
        <v>291</v>
      </c>
      <c r="K803" s="8" t="s">
        <v>316</v>
      </c>
      <c r="L803" s="8"/>
      <c r="M803" s="8" t="str">
        <f aca="false">IF(K803="FUERA","Fuera del marco",IF(K803="N/A","Sin marco",IFERROR(INDEX(Catalogo_TIMSS!$C$5:$C$105,MATCH(K803,Catalogo_TIMSS!$A$5:$A$105,0)),"Pendiente de clasificar")))</f>
        <v>Electricidad y magnetismo</v>
      </c>
      <c r="N803" s="8" t="str">
        <f aca="false">IF(K803="FUERA","Fuera del marco",IF(K803="N/A","Sin marco",IFERROR(INDEX(Catalogo_TIMSS!$F$5:$F$105,MATCH(K803,Catalogo_TIMSS!$A$5:$A$105,0)),"Pendiente de clasificar")))</f>
        <v>Electricidad y circuitos</v>
      </c>
      <c r="O803" s="8" t="str">
        <f aca="false">IF(L803="","",IFERROR(INDEX(Catalogo_TIMSS!$C$5:$C$105,MATCH(L803,Catalogo_TIMSS!$A$5:$A$105,0)),"?"))</f>
        <v/>
      </c>
      <c r="P803" s="8" t="s">
        <v>460</v>
      </c>
      <c r="Q803" s="27" t="s">
        <v>3735</v>
      </c>
      <c r="R803" s="27" t="s">
        <v>3736</v>
      </c>
      <c r="S803" s="28" t="n">
        <f aca="false">IFERROR(ISNUMBER(SEARCH("Conocer",$R803))/(ISNUMBER(SEARCH("Conocer",$R803))+ISNUMBER(SEARCH("Aplicar",$R803))+ISNUMBER(SEARCH("Razonar",$R803))),0)</f>
        <v>0.333333333333333</v>
      </c>
      <c r="T803" s="28" t="n">
        <f aca="false">IFERROR(ISNUMBER(SEARCH("Aplicar",$R803))/(ISNUMBER(SEARCH("Conocer",$R803))+ISNUMBER(SEARCH("Aplicar",$R803))+ISNUMBER(SEARCH("Razonar",$R803))),0)</f>
        <v>0.333333333333333</v>
      </c>
      <c r="U803" s="28" t="n">
        <f aca="false">IFERROR(ISNUMBER(SEARCH("Razonar",$R803))/(ISNUMBER(SEARCH("Conocer",$R803))+ISNUMBER(SEARCH("Aplicar",$R803))+ISNUMBER(SEARCH("Razonar",$R803))),0)</f>
        <v>0.333333333333333</v>
      </c>
      <c r="V803" s="8" t="s">
        <v>56</v>
      </c>
      <c r="W803" s="8" t="s">
        <v>69</v>
      </c>
    </row>
    <row r="804" customFormat="false" ht="15" hidden="false" customHeight="false" outlineLevel="0" collapsed="false">
      <c r="A804" s="8" t="s">
        <v>3737</v>
      </c>
      <c r="B804" s="8" t="n">
        <v>11</v>
      </c>
      <c r="C804" s="8" t="s">
        <v>91</v>
      </c>
      <c r="D804" s="8" t="s">
        <v>2909</v>
      </c>
      <c r="E804" s="8" t="s">
        <v>3473</v>
      </c>
      <c r="F804" s="8" t="n">
        <v>59</v>
      </c>
      <c r="G804" s="8" t="s">
        <v>3738</v>
      </c>
      <c r="H804" s="8" t="s">
        <v>3739</v>
      </c>
      <c r="I804" s="27" t="s">
        <v>3740</v>
      </c>
      <c r="J804" s="8" t="s">
        <v>291</v>
      </c>
      <c r="K804" s="8" t="s">
        <v>318</v>
      </c>
      <c r="L804" s="8"/>
      <c r="M804" s="8" t="str">
        <f aca="false">IF(K804="FUERA","Fuera del marco",IF(K804="N/A","Sin marco",IFERROR(INDEX(Catalogo_TIMSS!$C$5:$C$105,MATCH(K804,Catalogo_TIMSS!$A$5:$A$105,0)),"Pendiente de clasificar")))</f>
        <v>Electricidad y magnetismo</v>
      </c>
      <c r="N804" s="8" t="str">
        <f aca="false">IF(K804="FUERA","Fuera del marco",IF(K804="N/A","Sin marco",IFERROR(INDEX(Catalogo_TIMSS!$F$5:$F$105,MATCH(K804,Catalogo_TIMSS!$A$5:$A$105,0)),"Pendiente de clasificar")))</f>
        <v>Magnetismo e inducción electromagnética</v>
      </c>
      <c r="O804" s="8" t="str">
        <f aca="false">IF(L804="","",IFERROR(INDEX(Catalogo_TIMSS!$C$5:$C$105,MATCH(L804,Catalogo_TIMSS!$A$5:$A$105,0)),"?"))</f>
        <v/>
      </c>
      <c r="P804" s="8" t="s">
        <v>418</v>
      </c>
      <c r="Q804" s="27" t="s">
        <v>3741</v>
      </c>
      <c r="R804" s="27" t="s">
        <v>3742</v>
      </c>
      <c r="S804" s="28" t="n">
        <f aca="false">IFERROR(ISNUMBER(SEARCH("Conocer",$R804))/(ISNUMBER(SEARCH("Conocer",$R804))+ISNUMBER(SEARCH("Aplicar",$R804))+ISNUMBER(SEARCH("Razonar",$R804))),0)</f>
        <v>0</v>
      </c>
      <c r="T804" s="28" t="n">
        <f aca="false">IFERROR(ISNUMBER(SEARCH("Aplicar",$R804))/(ISNUMBER(SEARCH("Conocer",$R804))+ISNUMBER(SEARCH("Aplicar",$R804))+ISNUMBER(SEARCH("Razonar",$R804))),0)</f>
        <v>0.5</v>
      </c>
      <c r="U804" s="28" t="n">
        <f aca="false">IFERROR(ISNUMBER(SEARCH("Razonar",$R804))/(ISNUMBER(SEARCH("Conocer",$R804))+ISNUMBER(SEARCH("Aplicar",$R804))+ISNUMBER(SEARCH("Razonar",$R804))),0)</f>
        <v>0.5</v>
      </c>
      <c r="V804" s="8" t="s">
        <v>56</v>
      </c>
      <c r="W804" s="8" t="s">
        <v>69</v>
      </c>
    </row>
    <row r="805" customFormat="false" ht="15" hidden="false" customHeight="false" outlineLevel="0" collapsed="false">
      <c r="A805" s="8" t="s">
        <v>3743</v>
      </c>
      <c r="B805" s="8" t="n">
        <v>11</v>
      </c>
      <c r="C805" s="8" t="s">
        <v>91</v>
      </c>
      <c r="D805" s="8" t="s">
        <v>2909</v>
      </c>
      <c r="E805" s="8" t="s">
        <v>3473</v>
      </c>
      <c r="F805" s="8" t="n">
        <v>60</v>
      </c>
      <c r="G805" s="8" t="s">
        <v>3738</v>
      </c>
      <c r="H805" s="8" t="s">
        <v>3739</v>
      </c>
      <c r="I805" s="27" t="s">
        <v>3744</v>
      </c>
      <c r="J805" s="8" t="s">
        <v>291</v>
      </c>
      <c r="K805" s="8" t="s">
        <v>318</v>
      </c>
      <c r="L805" s="8" t="s">
        <v>295</v>
      </c>
      <c r="M805" s="8" t="str">
        <f aca="false">IF(K805="FUERA","Fuera del marco",IF(K805="N/A","Sin marco",IFERROR(INDEX(Catalogo_TIMSS!$C$5:$C$105,MATCH(K805,Catalogo_TIMSS!$A$5:$A$105,0)),"Pendiente de clasificar")))</f>
        <v>Electricidad y magnetismo</v>
      </c>
      <c r="N805" s="8" t="str">
        <f aca="false">IF(K805="FUERA","Fuera del marco",IF(K805="N/A","Sin marco",IFERROR(INDEX(Catalogo_TIMSS!$F$5:$F$105,MATCH(K805,Catalogo_TIMSS!$A$5:$A$105,0)),"Pendiente de clasificar")))</f>
        <v>Magnetismo e inducción electromagnética</v>
      </c>
      <c r="O805" s="8" t="str">
        <f aca="false">IF(L805="","",IFERROR(INDEX(Catalogo_TIMSS!$C$5:$C$105,MATCH(L805,Catalogo_TIMSS!$A$5:$A$105,0)),"?"))</f>
        <v>Mecánica y termodinámica</v>
      </c>
      <c r="P805" s="8" t="s">
        <v>418</v>
      </c>
      <c r="Q805" s="27" t="s">
        <v>3745</v>
      </c>
      <c r="R805" s="27" t="s">
        <v>3746</v>
      </c>
      <c r="S805" s="28" t="n">
        <f aca="false">IFERROR(ISNUMBER(SEARCH("Conocer",$R805))/(ISNUMBER(SEARCH("Conocer",$R805))+ISNUMBER(SEARCH("Aplicar",$R805))+ISNUMBER(SEARCH("Razonar",$R805))),0)</f>
        <v>0</v>
      </c>
      <c r="T805" s="28" t="n">
        <f aca="false">IFERROR(ISNUMBER(SEARCH("Aplicar",$R805))/(ISNUMBER(SEARCH("Conocer",$R805))+ISNUMBER(SEARCH("Aplicar",$R805))+ISNUMBER(SEARCH("Razonar",$R805))),0)</f>
        <v>0.5</v>
      </c>
      <c r="U805" s="28" t="n">
        <f aca="false">IFERROR(ISNUMBER(SEARCH("Razonar",$R805))/(ISNUMBER(SEARCH("Conocer",$R805))+ISNUMBER(SEARCH("Aplicar",$R805))+ISNUMBER(SEARCH("Razonar",$R805))),0)</f>
        <v>0.5</v>
      </c>
      <c r="V805" s="8" t="s">
        <v>56</v>
      </c>
      <c r="W805" s="8" t="s">
        <v>69</v>
      </c>
    </row>
    <row r="806" customFormat="false" ht="15" hidden="false" customHeight="false" outlineLevel="0" collapsed="false">
      <c r="A806" s="8" t="s">
        <v>3747</v>
      </c>
      <c r="B806" s="8" t="n">
        <v>11</v>
      </c>
      <c r="C806" s="8" t="s">
        <v>91</v>
      </c>
      <c r="D806" s="8" t="s">
        <v>2909</v>
      </c>
      <c r="E806" s="8" t="s">
        <v>3473</v>
      </c>
      <c r="F806" s="8" t="n">
        <v>61</v>
      </c>
      <c r="G806" s="8" t="s">
        <v>3738</v>
      </c>
      <c r="H806" s="8" t="s">
        <v>3739</v>
      </c>
      <c r="I806" s="27" t="s">
        <v>3748</v>
      </c>
      <c r="J806" s="8" t="s">
        <v>291</v>
      </c>
      <c r="K806" s="8" t="s">
        <v>318</v>
      </c>
      <c r="L806" s="8"/>
      <c r="M806" s="8" t="str">
        <f aca="false">IF(K806="FUERA","Fuera del marco",IF(K806="N/A","Sin marco",IFERROR(INDEX(Catalogo_TIMSS!$C$5:$C$105,MATCH(K806,Catalogo_TIMSS!$A$5:$A$105,0)),"Pendiente de clasificar")))</f>
        <v>Electricidad y magnetismo</v>
      </c>
      <c r="N806" s="8" t="str">
        <f aca="false">IF(K806="FUERA","Fuera del marco",IF(K806="N/A","Sin marco",IFERROR(INDEX(Catalogo_TIMSS!$F$5:$F$105,MATCH(K806,Catalogo_TIMSS!$A$5:$A$105,0)),"Pendiente de clasificar")))</f>
        <v>Magnetismo e inducción electromagnética</v>
      </c>
      <c r="O806" s="8" t="str">
        <f aca="false">IF(L806="","",IFERROR(INDEX(Catalogo_TIMSS!$C$5:$C$105,MATCH(L806,Catalogo_TIMSS!$A$5:$A$105,0)),"?"))</f>
        <v/>
      </c>
      <c r="P806" s="8" t="s">
        <v>418</v>
      </c>
      <c r="Q806" s="27" t="s">
        <v>3749</v>
      </c>
      <c r="R806" s="27" t="s">
        <v>3750</v>
      </c>
      <c r="S806" s="28" t="n">
        <f aca="false">IFERROR(ISNUMBER(SEARCH("Conocer",$R806))/(ISNUMBER(SEARCH("Conocer",$R806))+ISNUMBER(SEARCH("Aplicar",$R806))+ISNUMBER(SEARCH("Razonar",$R806))),0)</f>
        <v>0</v>
      </c>
      <c r="T806" s="28" t="n">
        <f aca="false">IFERROR(ISNUMBER(SEARCH("Aplicar",$R806))/(ISNUMBER(SEARCH("Conocer",$R806))+ISNUMBER(SEARCH("Aplicar",$R806))+ISNUMBER(SEARCH("Razonar",$R806))),0)</f>
        <v>0.5</v>
      </c>
      <c r="U806" s="28" t="n">
        <f aca="false">IFERROR(ISNUMBER(SEARCH("Razonar",$R806))/(ISNUMBER(SEARCH("Conocer",$R806))+ISNUMBER(SEARCH("Aplicar",$R806))+ISNUMBER(SEARCH("Razonar",$R806))),0)</f>
        <v>0.5</v>
      </c>
      <c r="V806" s="8" t="s">
        <v>56</v>
      </c>
      <c r="W806" s="8" t="s">
        <v>69</v>
      </c>
    </row>
    <row r="807" customFormat="false" ht="15" hidden="false" customHeight="false" outlineLevel="0" collapsed="false">
      <c r="A807" s="8" t="s">
        <v>3751</v>
      </c>
      <c r="B807" s="8" t="n">
        <v>11</v>
      </c>
      <c r="C807" s="8" t="s">
        <v>91</v>
      </c>
      <c r="D807" s="8" t="s">
        <v>2909</v>
      </c>
      <c r="E807" s="8" t="s">
        <v>3473</v>
      </c>
      <c r="F807" s="8" t="n">
        <v>62</v>
      </c>
      <c r="G807" s="8" t="s">
        <v>3738</v>
      </c>
      <c r="H807" s="8" t="s">
        <v>3752</v>
      </c>
      <c r="I807" s="27" t="s">
        <v>3753</v>
      </c>
      <c r="J807" s="8" t="s">
        <v>291</v>
      </c>
      <c r="K807" s="8" t="s">
        <v>318</v>
      </c>
      <c r="L807" s="8" t="s">
        <v>321</v>
      </c>
      <c r="M807" s="8" t="str">
        <f aca="false">IF(K807="FUERA","Fuera del marco",IF(K807="N/A","Sin marco",IFERROR(INDEX(Catalogo_TIMSS!$C$5:$C$105,MATCH(K807,Catalogo_TIMSS!$A$5:$A$105,0)),"Pendiente de clasificar")))</f>
        <v>Electricidad y magnetismo</v>
      </c>
      <c r="N807" s="8" t="str">
        <f aca="false">IF(K807="FUERA","Fuera del marco",IF(K807="N/A","Sin marco",IFERROR(INDEX(Catalogo_TIMSS!$F$5:$F$105,MATCH(K807,Catalogo_TIMSS!$A$5:$A$105,0)),"Pendiente de clasificar")))</f>
        <v>Magnetismo e inducción electromagnética</v>
      </c>
      <c r="O807" s="8" t="str">
        <f aca="false">IF(L807="","",IFERROR(INDEX(Catalogo_TIMSS!$C$5:$C$105,MATCH(L807,Catalogo_TIMSS!$A$5:$A$105,0)),"?"))</f>
        <v>Electricidad y magnetismo</v>
      </c>
      <c r="P807" s="8" t="s">
        <v>460</v>
      </c>
      <c r="Q807" s="27" t="s">
        <v>3754</v>
      </c>
      <c r="R807" s="27" t="s">
        <v>3755</v>
      </c>
      <c r="S807" s="28" t="n">
        <f aca="false">IFERROR(ISNUMBER(SEARCH("Conocer",$R807))/(ISNUMBER(SEARCH("Conocer",$R807))+ISNUMBER(SEARCH("Aplicar",$R807))+ISNUMBER(SEARCH("Razonar",$R807))),0)</f>
        <v>0</v>
      </c>
      <c r="T807" s="28" t="n">
        <f aca="false">IFERROR(ISNUMBER(SEARCH("Aplicar",$R807))/(ISNUMBER(SEARCH("Conocer",$R807))+ISNUMBER(SEARCH("Aplicar",$R807))+ISNUMBER(SEARCH("Razonar",$R807))),0)</f>
        <v>0.5</v>
      </c>
      <c r="U807" s="28" t="n">
        <f aca="false">IFERROR(ISNUMBER(SEARCH("Razonar",$R807))/(ISNUMBER(SEARCH("Conocer",$R807))+ISNUMBER(SEARCH("Aplicar",$R807))+ISNUMBER(SEARCH("Razonar",$R807))),0)</f>
        <v>0.5</v>
      </c>
      <c r="V807" s="8" t="s">
        <v>56</v>
      </c>
      <c r="W807" s="8" t="s">
        <v>69</v>
      </c>
    </row>
    <row r="808" customFormat="false" ht="15" hidden="false" customHeight="false" outlineLevel="0" collapsed="false">
      <c r="A808" s="8" t="s">
        <v>3756</v>
      </c>
      <c r="B808" s="8" t="n">
        <v>11</v>
      </c>
      <c r="C808" s="8" t="s">
        <v>91</v>
      </c>
      <c r="D808" s="8" t="s">
        <v>2909</v>
      </c>
      <c r="E808" s="8" t="s">
        <v>3473</v>
      </c>
      <c r="F808" s="8" t="n">
        <v>63</v>
      </c>
      <c r="G808" s="8" t="s">
        <v>3738</v>
      </c>
      <c r="H808" s="8" t="s">
        <v>3752</v>
      </c>
      <c r="I808" s="27" t="s">
        <v>3757</v>
      </c>
      <c r="J808" s="8" t="s">
        <v>291</v>
      </c>
      <c r="K808" s="8" t="s">
        <v>321</v>
      </c>
      <c r="L808" s="8" t="s">
        <v>318</v>
      </c>
      <c r="M808" s="8" t="str">
        <f aca="false">IF(K808="FUERA","Fuera del marco",IF(K808="N/A","Sin marco",IFERROR(INDEX(Catalogo_TIMSS!$C$5:$C$105,MATCH(K808,Catalogo_TIMSS!$A$5:$A$105,0)),"Pendiente de clasificar")))</f>
        <v>Electricidad y magnetismo</v>
      </c>
      <c r="N808" s="8" t="str">
        <f aca="false">IF(K808="FUERA","Fuera del marco",IF(K808="N/A","Sin marco",IFERROR(INDEX(Catalogo_TIMSS!$F$5:$F$105,MATCH(K808,Catalogo_TIMSS!$A$5:$A$105,0)),"Pendiente de clasificar")))</f>
        <v>Magnetismo e inducción electromagnética</v>
      </c>
      <c r="O808" s="8" t="str">
        <f aca="false">IF(L808="","",IFERROR(INDEX(Catalogo_TIMSS!$C$5:$C$105,MATCH(L808,Catalogo_TIMSS!$A$5:$A$105,0)),"?"))</f>
        <v>Electricidad y magnetismo</v>
      </c>
      <c r="P808" s="8" t="s">
        <v>460</v>
      </c>
      <c r="Q808" s="27" t="s">
        <v>3758</v>
      </c>
      <c r="R808" s="27" t="s">
        <v>3759</v>
      </c>
      <c r="S808" s="28" t="n">
        <f aca="false">IFERROR(ISNUMBER(SEARCH("Conocer",$R808))/(ISNUMBER(SEARCH("Conocer",$R808))+ISNUMBER(SEARCH("Aplicar",$R808))+ISNUMBER(SEARCH("Razonar",$R808))),0)</f>
        <v>0</v>
      </c>
      <c r="T808" s="28" t="n">
        <f aca="false">IFERROR(ISNUMBER(SEARCH("Aplicar",$R808))/(ISNUMBER(SEARCH("Conocer",$R808))+ISNUMBER(SEARCH("Aplicar",$R808))+ISNUMBER(SEARCH("Razonar",$R808))),0)</f>
        <v>0.5</v>
      </c>
      <c r="U808" s="28" t="n">
        <f aca="false">IFERROR(ISNUMBER(SEARCH("Razonar",$R808))/(ISNUMBER(SEARCH("Conocer",$R808))+ISNUMBER(SEARCH("Aplicar",$R808))+ISNUMBER(SEARCH("Razonar",$R808))),0)</f>
        <v>0.5</v>
      </c>
      <c r="V808" s="8" t="s">
        <v>56</v>
      </c>
      <c r="W808" s="8" t="s">
        <v>69</v>
      </c>
    </row>
    <row r="809" customFormat="false" ht="15" hidden="false" customHeight="false" outlineLevel="0" collapsed="false">
      <c r="A809" s="8" t="s">
        <v>3760</v>
      </c>
      <c r="B809" s="8" t="n">
        <v>11</v>
      </c>
      <c r="C809" s="8" t="s">
        <v>91</v>
      </c>
      <c r="D809" s="8" t="s">
        <v>2909</v>
      </c>
      <c r="E809" s="8" t="s">
        <v>3473</v>
      </c>
      <c r="F809" s="8" t="n">
        <v>64</v>
      </c>
      <c r="G809" s="8" t="s">
        <v>3761</v>
      </c>
      <c r="H809" s="8" t="s">
        <v>3762</v>
      </c>
      <c r="I809" s="27" t="s">
        <v>3763</v>
      </c>
      <c r="J809" s="8" t="s">
        <v>291</v>
      </c>
      <c r="K809" s="8" t="s">
        <v>321</v>
      </c>
      <c r="L809" s="8"/>
      <c r="M809" s="8" t="str">
        <f aca="false">IF(K809="FUERA","Fuera del marco",IF(K809="N/A","Sin marco",IFERROR(INDEX(Catalogo_TIMSS!$C$5:$C$105,MATCH(K809,Catalogo_TIMSS!$A$5:$A$105,0)),"Pendiente de clasificar")))</f>
        <v>Electricidad y magnetismo</v>
      </c>
      <c r="N809" s="8" t="str">
        <f aca="false">IF(K809="FUERA","Fuera del marco",IF(K809="N/A","Sin marco",IFERROR(INDEX(Catalogo_TIMSS!$F$5:$F$105,MATCH(K809,Catalogo_TIMSS!$A$5:$A$105,0)),"Pendiente de clasificar")))</f>
        <v>Magnetismo e inducción electromagnética</v>
      </c>
      <c r="O809" s="8" t="str">
        <f aca="false">IF(L809="","",IFERROR(INDEX(Catalogo_TIMSS!$C$5:$C$105,MATCH(L809,Catalogo_TIMSS!$A$5:$A$105,0)),"?"))</f>
        <v/>
      </c>
      <c r="P809" s="8" t="s">
        <v>460</v>
      </c>
      <c r="Q809" s="27" t="s">
        <v>3764</v>
      </c>
      <c r="R809" s="27" t="s">
        <v>3765</v>
      </c>
      <c r="S809" s="28" t="n">
        <f aca="false">IFERROR(ISNUMBER(SEARCH("Conocer",$R809))/(ISNUMBER(SEARCH("Conocer",$R809))+ISNUMBER(SEARCH("Aplicar",$R809))+ISNUMBER(SEARCH("Razonar",$R809))),0)</f>
        <v>0.333333333333333</v>
      </c>
      <c r="T809" s="28" t="n">
        <f aca="false">IFERROR(ISNUMBER(SEARCH("Aplicar",$R809))/(ISNUMBER(SEARCH("Conocer",$R809))+ISNUMBER(SEARCH("Aplicar",$R809))+ISNUMBER(SEARCH("Razonar",$R809))),0)</f>
        <v>0.333333333333333</v>
      </c>
      <c r="U809" s="28" t="n">
        <f aca="false">IFERROR(ISNUMBER(SEARCH("Razonar",$R809))/(ISNUMBER(SEARCH("Conocer",$R809))+ISNUMBER(SEARCH("Aplicar",$R809))+ISNUMBER(SEARCH("Razonar",$R809))),0)</f>
        <v>0.333333333333333</v>
      </c>
      <c r="V809" s="8" t="s">
        <v>56</v>
      </c>
      <c r="W809" s="8" t="s">
        <v>69</v>
      </c>
    </row>
    <row r="810" customFormat="false" ht="15" hidden="false" customHeight="false" outlineLevel="0" collapsed="false">
      <c r="A810" s="8" t="s">
        <v>3766</v>
      </c>
      <c r="B810" s="8" t="n">
        <v>11</v>
      </c>
      <c r="C810" s="8" t="s">
        <v>91</v>
      </c>
      <c r="D810" s="8" t="s">
        <v>2909</v>
      </c>
      <c r="E810" s="8" t="s">
        <v>3473</v>
      </c>
      <c r="F810" s="8" t="n">
        <v>65</v>
      </c>
      <c r="G810" s="8" t="s">
        <v>3761</v>
      </c>
      <c r="H810" s="8" t="s">
        <v>3762</v>
      </c>
      <c r="I810" s="27" t="s">
        <v>3767</v>
      </c>
      <c r="J810" s="8" t="s">
        <v>291</v>
      </c>
      <c r="K810" s="8" t="s">
        <v>321</v>
      </c>
      <c r="L810" s="8"/>
      <c r="M810" s="8" t="str">
        <f aca="false">IF(K810="FUERA","Fuera del marco",IF(K810="N/A","Sin marco",IFERROR(INDEX(Catalogo_TIMSS!$C$5:$C$105,MATCH(K810,Catalogo_TIMSS!$A$5:$A$105,0)),"Pendiente de clasificar")))</f>
        <v>Electricidad y magnetismo</v>
      </c>
      <c r="N810" s="8" t="str">
        <f aca="false">IF(K810="FUERA","Fuera del marco",IF(K810="N/A","Sin marco",IFERROR(INDEX(Catalogo_TIMSS!$F$5:$F$105,MATCH(K810,Catalogo_TIMSS!$A$5:$A$105,0)),"Pendiente de clasificar")))</f>
        <v>Magnetismo e inducción electromagnética</v>
      </c>
      <c r="O810" s="8" t="str">
        <f aca="false">IF(L810="","",IFERROR(INDEX(Catalogo_TIMSS!$C$5:$C$105,MATCH(L810,Catalogo_TIMSS!$A$5:$A$105,0)),"?"))</f>
        <v/>
      </c>
      <c r="P810" s="8" t="s">
        <v>418</v>
      </c>
      <c r="Q810" s="27" t="s">
        <v>3768</v>
      </c>
      <c r="R810" s="27" t="s">
        <v>3769</v>
      </c>
      <c r="S810" s="28" t="n">
        <f aca="false">IFERROR(ISNUMBER(SEARCH("Conocer",$R810))/(ISNUMBER(SEARCH("Conocer",$R810))+ISNUMBER(SEARCH("Aplicar",$R810))+ISNUMBER(SEARCH("Razonar",$R810))),0)</f>
        <v>0</v>
      </c>
      <c r="T810" s="28" t="n">
        <f aca="false">IFERROR(ISNUMBER(SEARCH("Aplicar",$R810))/(ISNUMBER(SEARCH("Conocer",$R810))+ISNUMBER(SEARCH("Aplicar",$R810))+ISNUMBER(SEARCH("Razonar",$R810))),0)</f>
        <v>0.5</v>
      </c>
      <c r="U810" s="28" t="n">
        <f aca="false">IFERROR(ISNUMBER(SEARCH("Razonar",$R810))/(ISNUMBER(SEARCH("Conocer",$R810))+ISNUMBER(SEARCH("Aplicar",$R810))+ISNUMBER(SEARCH("Razonar",$R810))),0)</f>
        <v>0.5</v>
      </c>
      <c r="V810" s="8" t="s">
        <v>56</v>
      </c>
      <c r="W810" s="8" t="s">
        <v>69</v>
      </c>
    </row>
    <row r="811" customFormat="false" ht="15" hidden="false" customHeight="false" outlineLevel="0" collapsed="false">
      <c r="A811" s="8" t="s">
        <v>3770</v>
      </c>
      <c r="B811" s="8" t="n">
        <v>11</v>
      </c>
      <c r="C811" s="8" t="s">
        <v>91</v>
      </c>
      <c r="D811" s="8" t="s">
        <v>2909</v>
      </c>
      <c r="E811" s="8" t="s">
        <v>3473</v>
      </c>
      <c r="F811" s="8" t="n">
        <v>66</v>
      </c>
      <c r="G811" s="8" t="s">
        <v>3761</v>
      </c>
      <c r="H811" s="8" t="s">
        <v>3771</v>
      </c>
      <c r="I811" s="27" t="s">
        <v>3772</v>
      </c>
      <c r="J811" s="8" t="s">
        <v>291</v>
      </c>
      <c r="K811" s="8" t="s">
        <v>321</v>
      </c>
      <c r="L811" s="8"/>
      <c r="M811" s="8" t="str">
        <f aca="false">IF(K811="FUERA","Fuera del marco",IF(K811="N/A","Sin marco",IFERROR(INDEX(Catalogo_TIMSS!$C$5:$C$105,MATCH(K811,Catalogo_TIMSS!$A$5:$A$105,0)),"Pendiente de clasificar")))</f>
        <v>Electricidad y magnetismo</v>
      </c>
      <c r="N811" s="8" t="str">
        <f aca="false">IF(K811="FUERA","Fuera del marco",IF(K811="N/A","Sin marco",IFERROR(INDEX(Catalogo_TIMSS!$F$5:$F$105,MATCH(K811,Catalogo_TIMSS!$A$5:$A$105,0)),"Pendiente de clasificar")))</f>
        <v>Magnetismo e inducción electromagnética</v>
      </c>
      <c r="O811" s="8" t="str">
        <f aca="false">IF(L811="","",IFERROR(INDEX(Catalogo_TIMSS!$C$5:$C$105,MATCH(L811,Catalogo_TIMSS!$A$5:$A$105,0)),"?"))</f>
        <v/>
      </c>
      <c r="P811" s="8" t="s">
        <v>418</v>
      </c>
      <c r="Q811" s="27" t="s">
        <v>3773</v>
      </c>
      <c r="R811" s="27" t="s">
        <v>3774</v>
      </c>
      <c r="S811" s="28" t="n">
        <f aca="false">IFERROR(ISNUMBER(SEARCH("Conocer",$R811))/(ISNUMBER(SEARCH("Conocer",$R811))+ISNUMBER(SEARCH("Aplicar",$R811))+ISNUMBER(SEARCH("Razonar",$R811))),0)</f>
        <v>0</v>
      </c>
      <c r="T811" s="28" t="n">
        <f aca="false">IFERROR(ISNUMBER(SEARCH("Aplicar",$R811))/(ISNUMBER(SEARCH("Conocer",$R811))+ISNUMBER(SEARCH("Aplicar",$R811))+ISNUMBER(SEARCH("Razonar",$R811))),0)</f>
        <v>0.5</v>
      </c>
      <c r="U811" s="28" t="n">
        <f aca="false">IFERROR(ISNUMBER(SEARCH("Razonar",$R811))/(ISNUMBER(SEARCH("Conocer",$R811))+ISNUMBER(SEARCH("Aplicar",$R811))+ISNUMBER(SEARCH("Razonar",$R811))),0)</f>
        <v>0.5</v>
      </c>
      <c r="V811" s="8" t="s">
        <v>56</v>
      </c>
      <c r="W811" s="8" t="s">
        <v>69</v>
      </c>
    </row>
    <row r="812" customFormat="false" ht="15" hidden="false" customHeight="false" outlineLevel="0" collapsed="false">
      <c r="A812" s="8" t="s">
        <v>3775</v>
      </c>
      <c r="B812" s="8" t="n">
        <v>11</v>
      </c>
      <c r="C812" s="8" t="s">
        <v>91</v>
      </c>
      <c r="D812" s="8" t="s">
        <v>2909</v>
      </c>
      <c r="E812" s="8" t="s">
        <v>3473</v>
      </c>
      <c r="F812" s="8" t="n">
        <v>67</v>
      </c>
      <c r="G812" s="8" t="s">
        <v>3761</v>
      </c>
      <c r="H812" s="8" t="s">
        <v>3776</v>
      </c>
      <c r="I812" s="27" t="s">
        <v>3777</v>
      </c>
      <c r="J812" s="8" t="s">
        <v>291</v>
      </c>
      <c r="K812" s="8" t="s">
        <v>321</v>
      </c>
      <c r="L812" s="8"/>
      <c r="M812" s="8" t="str">
        <f aca="false">IF(K812="FUERA","Fuera del marco",IF(K812="N/A","Sin marco",IFERROR(INDEX(Catalogo_TIMSS!$C$5:$C$105,MATCH(K812,Catalogo_TIMSS!$A$5:$A$105,0)),"Pendiente de clasificar")))</f>
        <v>Electricidad y magnetismo</v>
      </c>
      <c r="N812" s="8" t="str">
        <f aca="false">IF(K812="FUERA","Fuera del marco",IF(K812="N/A","Sin marco",IFERROR(INDEX(Catalogo_TIMSS!$F$5:$F$105,MATCH(K812,Catalogo_TIMSS!$A$5:$A$105,0)),"Pendiente de clasificar")))</f>
        <v>Magnetismo e inducción electromagnética</v>
      </c>
      <c r="O812" s="8" t="str">
        <f aca="false">IF(L812="","",IFERROR(INDEX(Catalogo_TIMSS!$C$5:$C$105,MATCH(L812,Catalogo_TIMSS!$A$5:$A$105,0)),"?"))</f>
        <v/>
      </c>
      <c r="P812" s="8" t="s">
        <v>513</v>
      </c>
      <c r="Q812" s="27" t="s">
        <v>3778</v>
      </c>
      <c r="R812" s="27" t="s">
        <v>3779</v>
      </c>
      <c r="S812" s="28" t="n">
        <f aca="false">IFERROR(ISNUMBER(SEARCH("Conocer",$R812))/(ISNUMBER(SEARCH("Conocer",$R812))+ISNUMBER(SEARCH("Aplicar",$R812))+ISNUMBER(SEARCH("Razonar",$R812))),0)</f>
        <v>0.333333333333333</v>
      </c>
      <c r="T812" s="28" t="n">
        <f aca="false">IFERROR(ISNUMBER(SEARCH("Aplicar",$R812))/(ISNUMBER(SEARCH("Conocer",$R812))+ISNUMBER(SEARCH("Aplicar",$R812))+ISNUMBER(SEARCH("Razonar",$R812))),0)</f>
        <v>0.333333333333333</v>
      </c>
      <c r="U812" s="28" t="n">
        <f aca="false">IFERROR(ISNUMBER(SEARCH("Razonar",$R812))/(ISNUMBER(SEARCH("Conocer",$R812))+ISNUMBER(SEARCH("Aplicar",$R812))+ISNUMBER(SEARCH("Razonar",$R812))),0)</f>
        <v>0.333333333333333</v>
      </c>
      <c r="V812" s="8" t="s">
        <v>56</v>
      </c>
      <c r="W812" s="8" t="s">
        <v>69</v>
      </c>
    </row>
    <row r="813" customFormat="false" ht="15" hidden="false" customHeight="false" outlineLevel="0" collapsed="false">
      <c r="A813" s="8" t="s">
        <v>3780</v>
      </c>
      <c r="B813" s="8" t="n">
        <v>11</v>
      </c>
      <c r="C813" s="8" t="s">
        <v>91</v>
      </c>
      <c r="D813" s="8" t="s">
        <v>2909</v>
      </c>
      <c r="E813" s="8" t="s">
        <v>3473</v>
      </c>
      <c r="F813" s="8" t="n">
        <v>68</v>
      </c>
      <c r="G813" s="8" t="s">
        <v>3781</v>
      </c>
      <c r="H813" s="8" t="s">
        <v>3782</v>
      </c>
      <c r="I813" s="27" t="s">
        <v>3783</v>
      </c>
      <c r="J813" s="8" t="s">
        <v>291</v>
      </c>
      <c r="K813" s="8" t="s">
        <v>323</v>
      </c>
      <c r="L813" s="8"/>
      <c r="M813" s="8" t="str">
        <f aca="false">IF(K813="FUERA","Fuera del marco",IF(K813="N/A","Sin marco",IFERROR(INDEX(Catalogo_TIMSS!$C$5:$C$105,MATCH(K813,Catalogo_TIMSS!$A$5:$A$105,0)),"Pendiente de clasificar")))</f>
        <v>Electricidad y magnetismo</v>
      </c>
      <c r="N813" s="8" t="str">
        <f aca="false">IF(K813="FUERA","Fuera del marco",IF(K813="N/A","Sin marco",IFERROR(INDEX(Catalogo_TIMSS!$F$5:$F$105,MATCH(K813,Catalogo_TIMSS!$A$5:$A$105,0)),"Pendiente de clasificar")))</f>
        <v>Magnetismo e inducción electromagnética</v>
      </c>
      <c r="O813" s="8" t="str">
        <f aca="false">IF(L813="","",IFERROR(INDEX(Catalogo_TIMSS!$C$5:$C$105,MATCH(L813,Catalogo_TIMSS!$A$5:$A$105,0)),"?"))</f>
        <v/>
      </c>
      <c r="P813" s="8" t="s">
        <v>418</v>
      </c>
      <c r="Q813" s="27" t="s">
        <v>3784</v>
      </c>
      <c r="R813" s="27" t="s">
        <v>3785</v>
      </c>
      <c r="S813" s="28" t="n">
        <f aca="false">IFERROR(ISNUMBER(SEARCH("Conocer",$R813))/(ISNUMBER(SEARCH("Conocer",$R813))+ISNUMBER(SEARCH("Aplicar",$R813))+ISNUMBER(SEARCH("Razonar",$R813))),0)</f>
        <v>0</v>
      </c>
      <c r="T813" s="28" t="n">
        <f aca="false">IFERROR(ISNUMBER(SEARCH("Aplicar",$R813))/(ISNUMBER(SEARCH("Conocer",$R813))+ISNUMBER(SEARCH("Aplicar",$R813))+ISNUMBER(SEARCH("Razonar",$R813))),0)</f>
        <v>0.5</v>
      </c>
      <c r="U813" s="28" t="n">
        <f aca="false">IFERROR(ISNUMBER(SEARCH("Razonar",$R813))/(ISNUMBER(SEARCH("Conocer",$R813))+ISNUMBER(SEARCH("Aplicar",$R813))+ISNUMBER(SEARCH("Razonar",$R813))),0)</f>
        <v>0.5</v>
      </c>
      <c r="V813" s="8" t="s">
        <v>56</v>
      </c>
      <c r="W813" s="8" t="s">
        <v>69</v>
      </c>
    </row>
    <row r="814" customFormat="false" ht="15" hidden="false" customHeight="false" outlineLevel="0" collapsed="false">
      <c r="A814" s="8" t="s">
        <v>3786</v>
      </c>
      <c r="B814" s="8" t="n">
        <v>11</v>
      </c>
      <c r="C814" s="8" t="s">
        <v>91</v>
      </c>
      <c r="D814" s="8" t="s">
        <v>2909</v>
      </c>
      <c r="E814" s="8" t="s">
        <v>3473</v>
      </c>
      <c r="F814" s="8" t="n">
        <v>69</v>
      </c>
      <c r="G814" s="8" t="s">
        <v>3781</v>
      </c>
      <c r="H814" s="8" t="s">
        <v>3782</v>
      </c>
      <c r="I814" s="27" t="s">
        <v>3787</v>
      </c>
      <c r="J814" s="8" t="s">
        <v>291</v>
      </c>
      <c r="K814" s="8" t="s">
        <v>323</v>
      </c>
      <c r="L814" s="8" t="s">
        <v>321</v>
      </c>
      <c r="M814" s="8" t="str">
        <f aca="false">IF(K814="FUERA","Fuera del marco",IF(K814="N/A","Sin marco",IFERROR(INDEX(Catalogo_TIMSS!$C$5:$C$105,MATCH(K814,Catalogo_TIMSS!$A$5:$A$105,0)),"Pendiente de clasificar")))</f>
        <v>Electricidad y magnetismo</v>
      </c>
      <c r="N814" s="8" t="str">
        <f aca="false">IF(K814="FUERA","Fuera del marco",IF(K814="N/A","Sin marco",IFERROR(INDEX(Catalogo_TIMSS!$F$5:$F$105,MATCH(K814,Catalogo_TIMSS!$A$5:$A$105,0)),"Pendiente de clasificar")))</f>
        <v>Magnetismo e inducción electromagnética</v>
      </c>
      <c r="O814" s="8" t="str">
        <f aca="false">IF(L814="","",IFERROR(INDEX(Catalogo_TIMSS!$C$5:$C$105,MATCH(L814,Catalogo_TIMSS!$A$5:$A$105,0)),"?"))</f>
        <v>Electricidad y magnetismo</v>
      </c>
      <c r="P814" s="8" t="s">
        <v>460</v>
      </c>
      <c r="Q814" s="27" t="s">
        <v>3788</v>
      </c>
      <c r="R814" s="27" t="s">
        <v>3789</v>
      </c>
      <c r="S814" s="28" t="n">
        <f aca="false">IFERROR(ISNUMBER(SEARCH("Conocer",$R814))/(ISNUMBER(SEARCH("Conocer",$R814))+ISNUMBER(SEARCH("Aplicar",$R814))+ISNUMBER(SEARCH("Razonar",$R814))),0)</f>
        <v>0.5</v>
      </c>
      <c r="T814" s="28" t="n">
        <f aca="false">IFERROR(ISNUMBER(SEARCH("Aplicar",$R814))/(ISNUMBER(SEARCH("Conocer",$R814))+ISNUMBER(SEARCH("Aplicar",$R814))+ISNUMBER(SEARCH("Razonar",$R814))),0)</f>
        <v>0</v>
      </c>
      <c r="U814" s="28" t="n">
        <f aca="false">IFERROR(ISNUMBER(SEARCH("Razonar",$R814))/(ISNUMBER(SEARCH("Conocer",$R814))+ISNUMBER(SEARCH("Aplicar",$R814))+ISNUMBER(SEARCH("Razonar",$R814))),0)</f>
        <v>0.5</v>
      </c>
      <c r="V814" s="8" t="s">
        <v>56</v>
      </c>
      <c r="W814" s="8" t="s">
        <v>69</v>
      </c>
    </row>
    <row r="815" customFormat="false" ht="15" hidden="false" customHeight="false" outlineLevel="0" collapsed="false">
      <c r="A815" s="8" t="s">
        <v>3790</v>
      </c>
      <c r="B815" s="8" t="n">
        <v>11</v>
      </c>
      <c r="C815" s="8" t="s">
        <v>91</v>
      </c>
      <c r="D815" s="8" t="s">
        <v>2909</v>
      </c>
      <c r="E815" s="8" t="s">
        <v>3473</v>
      </c>
      <c r="F815" s="8" t="n">
        <v>70</v>
      </c>
      <c r="G815" s="8" t="s">
        <v>3781</v>
      </c>
      <c r="H815" s="8" t="s">
        <v>3782</v>
      </c>
      <c r="I815" s="27" t="s">
        <v>3791</v>
      </c>
      <c r="J815" s="8" t="s">
        <v>291</v>
      </c>
      <c r="K815" s="8" t="s">
        <v>318</v>
      </c>
      <c r="L815" s="8" t="s">
        <v>314</v>
      </c>
      <c r="M815" s="8" t="str">
        <f aca="false">IF(K815="FUERA","Fuera del marco",IF(K815="N/A","Sin marco",IFERROR(INDEX(Catalogo_TIMSS!$C$5:$C$105,MATCH(K815,Catalogo_TIMSS!$A$5:$A$105,0)),"Pendiente de clasificar")))</f>
        <v>Electricidad y magnetismo</v>
      </c>
      <c r="N815" s="8" t="str">
        <f aca="false">IF(K815="FUERA","Fuera del marco",IF(K815="N/A","Sin marco",IFERROR(INDEX(Catalogo_TIMSS!$F$5:$F$105,MATCH(K815,Catalogo_TIMSS!$A$5:$A$105,0)),"Pendiente de clasificar")))</f>
        <v>Magnetismo e inducción electromagnética</v>
      </c>
      <c r="O815" s="8" t="str">
        <f aca="false">IF(L815="","",IFERROR(INDEX(Catalogo_TIMSS!$C$5:$C$105,MATCH(L815,Catalogo_TIMSS!$A$5:$A$105,0)),"?"))</f>
        <v>Electricidad y magnetismo</v>
      </c>
      <c r="P815" s="8" t="s">
        <v>460</v>
      </c>
      <c r="Q815" s="27" t="s">
        <v>3792</v>
      </c>
      <c r="R815" s="27" t="s">
        <v>3793</v>
      </c>
      <c r="S815" s="28" t="n">
        <f aca="false">IFERROR(ISNUMBER(SEARCH("Conocer",$R815))/(ISNUMBER(SEARCH("Conocer",$R815))+ISNUMBER(SEARCH("Aplicar",$R815))+ISNUMBER(SEARCH("Razonar",$R815))),0)</f>
        <v>0</v>
      </c>
      <c r="T815" s="28" t="n">
        <f aca="false">IFERROR(ISNUMBER(SEARCH("Aplicar",$R815))/(ISNUMBER(SEARCH("Conocer",$R815))+ISNUMBER(SEARCH("Aplicar",$R815))+ISNUMBER(SEARCH("Razonar",$R815))),0)</f>
        <v>0.5</v>
      </c>
      <c r="U815" s="28" t="n">
        <f aca="false">IFERROR(ISNUMBER(SEARCH("Razonar",$R815))/(ISNUMBER(SEARCH("Conocer",$R815))+ISNUMBER(SEARCH("Aplicar",$R815))+ISNUMBER(SEARCH("Razonar",$R815))),0)</f>
        <v>0.5</v>
      </c>
      <c r="V815" s="8" t="s">
        <v>56</v>
      </c>
      <c r="W815" s="8" t="s">
        <v>69</v>
      </c>
    </row>
    <row r="816" customFormat="false" ht="15" hidden="false" customHeight="false" outlineLevel="0" collapsed="false">
      <c r="A816" s="8" t="s">
        <v>3794</v>
      </c>
      <c r="B816" s="8" t="n">
        <v>11</v>
      </c>
      <c r="C816" s="8" t="s">
        <v>91</v>
      </c>
      <c r="D816" s="8" t="s">
        <v>2909</v>
      </c>
      <c r="E816" s="8" t="s">
        <v>3473</v>
      </c>
      <c r="F816" s="8" t="n">
        <v>71</v>
      </c>
      <c r="G816" s="8" t="s">
        <v>3781</v>
      </c>
      <c r="H816" s="8" t="s">
        <v>3795</v>
      </c>
      <c r="I816" s="27" t="s">
        <v>3796</v>
      </c>
      <c r="J816" s="8" t="s">
        <v>291</v>
      </c>
      <c r="K816" s="8" t="s">
        <v>328</v>
      </c>
      <c r="L816" s="8"/>
      <c r="M816" s="8" t="str">
        <f aca="false">IF(K816="FUERA","Fuera del marco",IF(K816="N/A","Sin marco",IFERROR(INDEX(Catalogo_TIMSS!$C$5:$C$105,MATCH(K816,Catalogo_TIMSS!$A$5:$A$105,0)),"Pendiente de clasificar")))</f>
        <v>Ondas y física atómica/nuclear</v>
      </c>
      <c r="N816" s="8" t="str">
        <f aca="false">IF(K816="FUERA","Fuera del marco",IF(K816="N/A","Sin marco",IFERROR(INDEX(Catalogo_TIMSS!$F$5:$F$105,MATCH(K816,Catalogo_TIMSS!$A$5:$A$105,0)),"Pendiente de clasificar")))</f>
        <v>Fenómenos ondulatorios</v>
      </c>
      <c r="O816" s="8" t="str">
        <f aca="false">IF(L816="","",IFERROR(INDEX(Catalogo_TIMSS!$C$5:$C$105,MATCH(L816,Catalogo_TIMSS!$A$5:$A$105,0)),"?"))</f>
        <v/>
      </c>
      <c r="P816" s="8" t="s">
        <v>418</v>
      </c>
      <c r="Q816" s="27" t="s">
        <v>3797</v>
      </c>
      <c r="R816" s="27" t="s">
        <v>3798</v>
      </c>
      <c r="S816" s="28" t="n">
        <f aca="false">IFERROR(ISNUMBER(SEARCH("Conocer",$R816))/(ISNUMBER(SEARCH("Conocer",$R816))+ISNUMBER(SEARCH("Aplicar",$R816))+ISNUMBER(SEARCH("Razonar",$R816))),0)</f>
        <v>0.5</v>
      </c>
      <c r="T816" s="28" t="n">
        <f aca="false">IFERROR(ISNUMBER(SEARCH("Aplicar",$R816))/(ISNUMBER(SEARCH("Conocer",$R816))+ISNUMBER(SEARCH("Aplicar",$R816))+ISNUMBER(SEARCH("Razonar",$R816))),0)</f>
        <v>0.5</v>
      </c>
      <c r="U816" s="28" t="n">
        <f aca="false">IFERROR(ISNUMBER(SEARCH("Razonar",$R816))/(ISNUMBER(SEARCH("Conocer",$R816))+ISNUMBER(SEARCH("Aplicar",$R816))+ISNUMBER(SEARCH("Razonar",$R816))),0)</f>
        <v>0</v>
      </c>
      <c r="V816" s="8" t="s">
        <v>56</v>
      </c>
      <c r="W816" s="8" t="s">
        <v>69</v>
      </c>
    </row>
    <row r="817" customFormat="false" ht="15" hidden="false" customHeight="false" outlineLevel="0" collapsed="false">
      <c r="A817" s="8" t="s">
        <v>3799</v>
      </c>
      <c r="B817" s="8" t="n">
        <v>11</v>
      </c>
      <c r="C817" s="8" t="s">
        <v>91</v>
      </c>
      <c r="D817" s="8" t="s">
        <v>2909</v>
      </c>
      <c r="E817" s="8" t="s">
        <v>3473</v>
      </c>
      <c r="F817" s="8" t="n">
        <v>72</v>
      </c>
      <c r="G817" s="8" t="s">
        <v>3781</v>
      </c>
      <c r="H817" s="8" t="s">
        <v>3795</v>
      </c>
      <c r="I817" s="27" t="s">
        <v>3800</v>
      </c>
      <c r="J817" s="8" t="s">
        <v>291</v>
      </c>
      <c r="K817" s="8" t="s">
        <v>328</v>
      </c>
      <c r="L817" s="8"/>
      <c r="M817" s="8" t="str">
        <f aca="false">IF(K817="FUERA","Fuera del marco",IF(K817="N/A","Sin marco",IFERROR(INDEX(Catalogo_TIMSS!$C$5:$C$105,MATCH(K817,Catalogo_TIMSS!$A$5:$A$105,0)),"Pendiente de clasificar")))</f>
        <v>Ondas y física atómica/nuclear</v>
      </c>
      <c r="N817" s="8" t="str">
        <f aca="false">IF(K817="FUERA","Fuera del marco",IF(K817="N/A","Sin marco",IFERROR(INDEX(Catalogo_TIMSS!$F$5:$F$105,MATCH(K817,Catalogo_TIMSS!$A$5:$A$105,0)),"Pendiente de clasificar")))</f>
        <v>Fenómenos ondulatorios</v>
      </c>
      <c r="O817" s="8" t="str">
        <f aca="false">IF(L817="","",IFERROR(INDEX(Catalogo_TIMSS!$C$5:$C$105,MATCH(L817,Catalogo_TIMSS!$A$5:$A$105,0)),"?"))</f>
        <v/>
      </c>
      <c r="P817" s="8" t="s">
        <v>418</v>
      </c>
      <c r="Q817" s="27" t="s">
        <v>3801</v>
      </c>
      <c r="R817" s="27" t="s">
        <v>3802</v>
      </c>
      <c r="S817" s="28" t="n">
        <f aca="false">IFERROR(ISNUMBER(SEARCH("Conocer",$R817))/(ISNUMBER(SEARCH("Conocer",$R817))+ISNUMBER(SEARCH("Aplicar",$R817))+ISNUMBER(SEARCH("Razonar",$R817))),0)</f>
        <v>0</v>
      </c>
      <c r="T817" s="28" t="n">
        <f aca="false">IFERROR(ISNUMBER(SEARCH("Aplicar",$R817))/(ISNUMBER(SEARCH("Conocer",$R817))+ISNUMBER(SEARCH("Aplicar",$R817))+ISNUMBER(SEARCH("Razonar",$R817))),0)</f>
        <v>0.5</v>
      </c>
      <c r="U817" s="28" t="n">
        <f aca="false">IFERROR(ISNUMBER(SEARCH("Razonar",$R817))/(ISNUMBER(SEARCH("Conocer",$R817))+ISNUMBER(SEARCH("Aplicar",$R817))+ISNUMBER(SEARCH("Razonar",$R817))),0)</f>
        <v>0.5</v>
      </c>
      <c r="V817" s="8" t="s">
        <v>56</v>
      </c>
      <c r="W817" s="8" t="s">
        <v>69</v>
      </c>
    </row>
    <row r="818" customFormat="false" ht="15" hidden="false" customHeight="false" outlineLevel="0" collapsed="false">
      <c r="A818" s="8" t="s">
        <v>3803</v>
      </c>
      <c r="B818" s="8" t="n">
        <v>11</v>
      </c>
      <c r="C818" s="8" t="s">
        <v>91</v>
      </c>
      <c r="D818" s="8" t="s">
        <v>2909</v>
      </c>
      <c r="E818" s="8" t="s">
        <v>3473</v>
      </c>
      <c r="F818" s="8" t="n">
        <v>73</v>
      </c>
      <c r="G818" s="8" t="s">
        <v>3781</v>
      </c>
      <c r="H818" s="8" t="s">
        <v>3795</v>
      </c>
      <c r="I818" s="27" t="s">
        <v>3804</v>
      </c>
      <c r="J818" s="8" t="s">
        <v>291</v>
      </c>
      <c r="K818" s="8" t="s">
        <v>328</v>
      </c>
      <c r="L818" s="8"/>
      <c r="M818" s="8" t="str">
        <f aca="false">IF(K818="FUERA","Fuera del marco",IF(K818="N/A","Sin marco",IFERROR(INDEX(Catalogo_TIMSS!$C$5:$C$105,MATCH(K818,Catalogo_TIMSS!$A$5:$A$105,0)),"Pendiente de clasificar")))</f>
        <v>Ondas y física atómica/nuclear</v>
      </c>
      <c r="N818" s="8" t="str">
        <f aca="false">IF(K818="FUERA","Fuera del marco",IF(K818="N/A","Sin marco",IFERROR(INDEX(Catalogo_TIMSS!$F$5:$F$105,MATCH(K818,Catalogo_TIMSS!$A$5:$A$105,0)),"Pendiente de clasificar")))</f>
        <v>Fenómenos ondulatorios</v>
      </c>
      <c r="O818" s="8" t="str">
        <f aca="false">IF(L818="","",IFERROR(INDEX(Catalogo_TIMSS!$C$5:$C$105,MATCH(L818,Catalogo_TIMSS!$A$5:$A$105,0)),"?"))</f>
        <v/>
      </c>
      <c r="P818" s="8" t="s">
        <v>460</v>
      </c>
      <c r="Q818" s="27" t="s">
        <v>3805</v>
      </c>
      <c r="R818" s="27" t="s">
        <v>3806</v>
      </c>
      <c r="S818" s="28" t="n">
        <f aca="false">IFERROR(ISNUMBER(SEARCH("Conocer",$R818))/(ISNUMBER(SEARCH("Conocer",$R818))+ISNUMBER(SEARCH("Aplicar",$R818))+ISNUMBER(SEARCH("Razonar",$R818))),0)</f>
        <v>0</v>
      </c>
      <c r="T818" s="28" t="n">
        <f aca="false">IFERROR(ISNUMBER(SEARCH("Aplicar",$R818))/(ISNUMBER(SEARCH("Conocer",$R818))+ISNUMBER(SEARCH("Aplicar",$R818))+ISNUMBER(SEARCH("Razonar",$R818))),0)</f>
        <v>0.5</v>
      </c>
      <c r="U818" s="28" t="n">
        <f aca="false">IFERROR(ISNUMBER(SEARCH("Razonar",$R818))/(ISNUMBER(SEARCH("Conocer",$R818))+ISNUMBER(SEARCH("Aplicar",$R818))+ISNUMBER(SEARCH("Razonar",$R818))),0)</f>
        <v>0.5</v>
      </c>
      <c r="V818" s="8" t="s">
        <v>56</v>
      </c>
      <c r="W818" s="8" t="s">
        <v>69</v>
      </c>
    </row>
    <row r="819" customFormat="false" ht="15" hidden="false" customHeight="false" outlineLevel="0" collapsed="false">
      <c r="A819" s="8" t="s">
        <v>3807</v>
      </c>
      <c r="B819" s="8" t="n">
        <v>11</v>
      </c>
      <c r="C819" s="8" t="s">
        <v>91</v>
      </c>
      <c r="D819" s="8" t="s">
        <v>2909</v>
      </c>
      <c r="E819" s="8" t="s">
        <v>3473</v>
      </c>
      <c r="F819" s="8" t="n">
        <v>74</v>
      </c>
      <c r="G819" s="8" t="s">
        <v>3781</v>
      </c>
      <c r="H819" s="8" t="s">
        <v>3808</v>
      </c>
      <c r="I819" s="27" t="s">
        <v>3809</v>
      </c>
      <c r="J819" s="8" t="s">
        <v>291</v>
      </c>
      <c r="K819" s="8" t="s">
        <v>328</v>
      </c>
      <c r="L819" s="8"/>
      <c r="M819" s="8" t="str">
        <f aca="false">IF(K819="FUERA","Fuera del marco",IF(K819="N/A","Sin marco",IFERROR(INDEX(Catalogo_TIMSS!$C$5:$C$105,MATCH(K819,Catalogo_TIMSS!$A$5:$A$105,0)),"Pendiente de clasificar")))</f>
        <v>Ondas y física atómica/nuclear</v>
      </c>
      <c r="N819" s="8" t="str">
        <f aca="false">IF(K819="FUERA","Fuera del marco",IF(K819="N/A","Sin marco",IFERROR(INDEX(Catalogo_TIMSS!$F$5:$F$105,MATCH(K819,Catalogo_TIMSS!$A$5:$A$105,0)),"Pendiente de clasificar")))</f>
        <v>Fenómenos ondulatorios</v>
      </c>
      <c r="O819" s="8" t="str">
        <f aca="false">IF(L819="","",IFERROR(INDEX(Catalogo_TIMSS!$C$5:$C$105,MATCH(L819,Catalogo_TIMSS!$A$5:$A$105,0)),"?"))</f>
        <v/>
      </c>
      <c r="P819" s="8" t="s">
        <v>460</v>
      </c>
      <c r="Q819" s="27" t="s">
        <v>3810</v>
      </c>
      <c r="R819" s="27" t="s">
        <v>3811</v>
      </c>
      <c r="S819" s="28" t="n">
        <f aca="false">IFERROR(ISNUMBER(SEARCH("Conocer",$R819))/(ISNUMBER(SEARCH("Conocer",$R819))+ISNUMBER(SEARCH("Aplicar",$R819))+ISNUMBER(SEARCH("Razonar",$R819))),0)</f>
        <v>0.5</v>
      </c>
      <c r="T819" s="28" t="n">
        <f aca="false">IFERROR(ISNUMBER(SEARCH("Aplicar",$R819))/(ISNUMBER(SEARCH("Conocer",$R819))+ISNUMBER(SEARCH("Aplicar",$R819))+ISNUMBER(SEARCH("Razonar",$R819))),0)</f>
        <v>0</v>
      </c>
      <c r="U819" s="28" t="n">
        <f aca="false">IFERROR(ISNUMBER(SEARCH("Razonar",$R819))/(ISNUMBER(SEARCH("Conocer",$R819))+ISNUMBER(SEARCH("Aplicar",$R819))+ISNUMBER(SEARCH("Razonar",$R819))),0)</f>
        <v>0.5</v>
      </c>
      <c r="V819" s="8" t="s">
        <v>56</v>
      </c>
      <c r="W819" s="8" t="s">
        <v>69</v>
      </c>
    </row>
    <row r="820" customFormat="false" ht="15" hidden="false" customHeight="false" outlineLevel="0" collapsed="false">
      <c r="A820" s="8" t="s">
        <v>3812</v>
      </c>
      <c r="B820" s="8" t="n">
        <v>11</v>
      </c>
      <c r="C820" s="8" t="s">
        <v>91</v>
      </c>
      <c r="D820" s="8" t="s">
        <v>2909</v>
      </c>
      <c r="E820" s="8" t="s">
        <v>3473</v>
      </c>
      <c r="F820" s="8" t="n">
        <v>75</v>
      </c>
      <c r="G820" s="8" t="s">
        <v>3781</v>
      </c>
      <c r="H820" s="8" t="s">
        <v>3808</v>
      </c>
      <c r="I820" s="27" t="s">
        <v>3813</v>
      </c>
      <c r="J820" s="8" t="s">
        <v>291</v>
      </c>
      <c r="K820" s="8" t="s">
        <v>328</v>
      </c>
      <c r="L820" s="8"/>
      <c r="M820" s="8" t="str">
        <f aca="false">IF(K820="FUERA","Fuera del marco",IF(K820="N/A","Sin marco",IFERROR(INDEX(Catalogo_TIMSS!$C$5:$C$105,MATCH(K820,Catalogo_TIMSS!$A$5:$A$105,0)),"Pendiente de clasificar")))</f>
        <v>Ondas y física atómica/nuclear</v>
      </c>
      <c r="N820" s="8" t="str">
        <f aca="false">IF(K820="FUERA","Fuera del marco",IF(K820="N/A","Sin marco",IFERROR(INDEX(Catalogo_TIMSS!$F$5:$F$105,MATCH(K820,Catalogo_TIMSS!$A$5:$A$105,0)),"Pendiente de clasificar")))</f>
        <v>Fenómenos ondulatorios</v>
      </c>
      <c r="O820" s="8" t="str">
        <f aca="false">IF(L820="","",IFERROR(INDEX(Catalogo_TIMSS!$C$5:$C$105,MATCH(L820,Catalogo_TIMSS!$A$5:$A$105,0)),"?"))</f>
        <v/>
      </c>
      <c r="P820" s="8" t="s">
        <v>513</v>
      </c>
      <c r="Q820" s="27" t="s">
        <v>3814</v>
      </c>
      <c r="R820" s="27" t="s">
        <v>3815</v>
      </c>
      <c r="S820" s="28" t="n">
        <f aca="false">IFERROR(ISNUMBER(SEARCH("Conocer",$R820))/(ISNUMBER(SEARCH("Conocer",$R820))+ISNUMBER(SEARCH("Aplicar",$R820))+ISNUMBER(SEARCH("Razonar",$R820))),0)</f>
        <v>0</v>
      </c>
      <c r="T820" s="28" t="n">
        <f aca="false">IFERROR(ISNUMBER(SEARCH("Aplicar",$R820))/(ISNUMBER(SEARCH("Conocer",$R820))+ISNUMBER(SEARCH("Aplicar",$R820))+ISNUMBER(SEARCH("Razonar",$R820))),0)</f>
        <v>0.5</v>
      </c>
      <c r="U820" s="28" t="n">
        <f aca="false">IFERROR(ISNUMBER(SEARCH("Razonar",$R820))/(ISNUMBER(SEARCH("Conocer",$R820))+ISNUMBER(SEARCH("Aplicar",$R820))+ISNUMBER(SEARCH("Razonar",$R820))),0)</f>
        <v>0.5</v>
      </c>
      <c r="V820" s="8" t="s">
        <v>56</v>
      </c>
      <c r="W820" s="8" t="s">
        <v>69</v>
      </c>
    </row>
    <row r="821" customFormat="false" ht="15" hidden="false" customHeight="false" outlineLevel="0" collapsed="false">
      <c r="A821" s="8" t="s">
        <v>3816</v>
      </c>
      <c r="B821" s="8" t="n">
        <v>11</v>
      </c>
      <c r="C821" s="8" t="s">
        <v>91</v>
      </c>
      <c r="D821" s="8" t="s">
        <v>2909</v>
      </c>
      <c r="E821" s="8" t="s">
        <v>3473</v>
      </c>
      <c r="F821" s="8" t="n">
        <v>76</v>
      </c>
      <c r="G821" s="8" t="s">
        <v>3781</v>
      </c>
      <c r="H821" s="8" t="s">
        <v>3808</v>
      </c>
      <c r="I821" s="27" t="s">
        <v>3817</v>
      </c>
      <c r="J821" s="8" t="s">
        <v>291</v>
      </c>
      <c r="K821" s="8" t="s">
        <v>417</v>
      </c>
      <c r="L821" s="8"/>
      <c r="M821" s="8" t="str">
        <f aca="false">IF(K821="FUERA","Fuera del marco",IF(K821="N/A","Sin marco",IFERROR(INDEX(Catalogo_TIMSS!$C$5:$C$105,MATCH(K821,Catalogo_TIMSS!$A$5:$A$105,0)),"Pendiente de clasificar")))</f>
        <v>Fuera del marco</v>
      </c>
      <c r="N821" s="8" t="str">
        <f aca="false">IF(K821="FUERA","Fuera del marco",IF(K821="N/A","Sin marco",IFERROR(INDEX(Catalogo_TIMSS!$F$5:$F$105,MATCH(K821,Catalogo_TIMSS!$A$5:$A$105,0)),"Pendiente de clasificar")))</f>
        <v>Fuera del marco</v>
      </c>
      <c r="O821" s="8" t="str">
        <f aca="false">IF(L821="","",IFERROR(INDEX(Catalogo_TIMSS!$C$5:$C$105,MATCH(L821,Catalogo_TIMSS!$A$5:$A$105,0)),"?"))</f>
        <v/>
      </c>
      <c r="P821" s="8" t="s">
        <v>460</v>
      </c>
      <c r="Q821" s="27" t="s">
        <v>3818</v>
      </c>
      <c r="R821" s="27" t="s">
        <v>3819</v>
      </c>
      <c r="S821" s="28" t="n">
        <f aca="false">IFERROR(ISNUMBER(SEARCH("Conocer",$R821))/(ISNUMBER(SEARCH("Conocer",$R821))+ISNUMBER(SEARCH("Aplicar",$R821))+ISNUMBER(SEARCH("Razonar",$R821))),0)</f>
        <v>0.5</v>
      </c>
      <c r="T821" s="28" t="n">
        <f aca="false">IFERROR(ISNUMBER(SEARCH("Aplicar",$R821))/(ISNUMBER(SEARCH("Conocer",$R821))+ISNUMBER(SEARCH("Aplicar",$R821))+ISNUMBER(SEARCH("Razonar",$R821))),0)</f>
        <v>0</v>
      </c>
      <c r="U821" s="28" t="n">
        <f aca="false">IFERROR(ISNUMBER(SEARCH("Razonar",$R821))/(ISNUMBER(SEARCH("Conocer",$R821))+ISNUMBER(SEARCH("Aplicar",$R821))+ISNUMBER(SEARCH("Razonar",$R821))),0)</f>
        <v>0.5</v>
      </c>
      <c r="V821" s="8" t="s">
        <v>56</v>
      </c>
      <c r="W821" s="8" t="s">
        <v>69</v>
      </c>
    </row>
    <row r="822" customFormat="false" ht="15" hidden="false" customHeight="false" outlineLevel="0" collapsed="false">
      <c r="A822" s="8" t="s">
        <v>3820</v>
      </c>
      <c r="B822" s="8" t="n">
        <v>11</v>
      </c>
      <c r="C822" s="8" t="s">
        <v>91</v>
      </c>
      <c r="D822" s="8" t="s">
        <v>2909</v>
      </c>
      <c r="E822" s="8" t="s">
        <v>3473</v>
      </c>
      <c r="F822" s="8" t="n">
        <v>77</v>
      </c>
      <c r="G822" s="8" t="s">
        <v>3821</v>
      </c>
      <c r="H822" s="8" t="s">
        <v>3822</v>
      </c>
      <c r="I822" s="27" t="s">
        <v>3823</v>
      </c>
      <c r="J822" s="8" t="s">
        <v>291</v>
      </c>
      <c r="K822" s="8" t="s">
        <v>316</v>
      </c>
      <c r="L822" s="8" t="s">
        <v>323</v>
      </c>
      <c r="M822" s="8" t="str">
        <f aca="false">IF(K822="FUERA","Fuera del marco",IF(K822="N/A","Sin marco",IFERROR(INDEX(Catalogo_TIMSS!$C$5:$C$105,MATCH(K822,Catalogo_TIMSS!$A$5:$A$105,0)),"Pendiente de clasificar")))</f>
        <v>Electricidad y magnetismo</v>
      </c>
      <c r="N822" s="8" t="str">
        <f aca="false">IF(K822="FUERA","Fuera del marco",IF(K822="N/A","Sin marco",IFERROR(INDEX(Catalogo_TIMSS!$F$5:$F$105,MATCH(K822,Catalogo_TIMSS!$A$5:$A$105,0)),"Pendiente de clasificar")))</f>
        <v>Electricidad y circuitos</v>
      </c>
      <c r="O822" s="8" t="str">
        <f aca="false">IF(L822="","",IFERROR(INDEX(Catalogo_TIMSS!$C$5:$C$105,MATCH(L822,Catalogo_TIMSS!$A$5:$A$105,0)),"?"))</f>
        <v>Electricidad y magnetismo</v>
      </c>
      <c r="P822" s="8" t="s">
        <v>513</v>
      </c>
      <c r="Q822" s="27" t="s">
        <v>3824</v>
      </c>
      <c r="R822" s="27" t="s">
        <v>3825</v>
      </c>
      <c r="S822" s="28" t="n">
        <f aca="false">IFERROR(ISNUMBER(SEARCH("Conocer",$R822))/(ISNUMBER(SEARCH("Conocer",$R822))+ISNUMBER(SEARCH("Aplicar",$R822))+ISNUMBER(SEARCH("Razonar",$R822))),0)</f>
        <v>0</v>
      </c>
      <c r="T822" s="28" t="n">
        <f aca="false">IFERROR(ISNUMBER(SEARCH("Aplicar",$R822))/(ISNUMBER(SEARCH("Conocer",$R822))+ISNUMBER(SEARCH("Aplicar",$R822))+ISNUMBER(SEARCH("Razonar",$R822))),0)</f>
        <v>0.5</v>
      </c>
      <c r="U822" s="28" t="n">
        <f aca="false">IFERROR(ISNUMBER(SEARCH("Razonar",$R822))/(ISNUMBER(SEARCH("Conocer",$R822))+ISNUMBER(SEARCH("Aplicar",$R822))+ISNUMBER(SEARCH("Razonar",$R822))),0)</f>
        <v>0.5</v>
      </c>
      <c r="V822" s="8" t="s">
        <v>56</v>
      </c>
      <c r="W822" s="8" t="s">
        <v>69</v>
      </c>
    </row>
    <row r="823" customFormat="false" ht="15" hidden="false" customHeight="false" outlineLevel="0" collapsed="false">
      <c r="A823" s="8" t="s">
        <v>3826</v>
      </c>
      <c r="B823" s="8" t="n">
        <v>11</v>
      </c>
      <c r="C823" s="8" t="s">
        <v>91</v>
      </c>
      <c r="D823" s="8" t="s">
        <v>2909</v>
      </c>
      <c r="E823" s="8" t="s">
        <v>3473</v>
      </c>
      <c r="F823" s="8" t="n">
        <v>78</v>
      </c>
      <c r="G823" s="8" t="s">
        <v>3821</v>
      </c>
      <c r="H823" s="8" t="s">
        <v>3822</v>
      </c>
      <c r="I823" s="27" t="s">
        <v>3827</v>
      </c>
      <c r="J823" s="8" t="s">
        <v>291</v>
      </c>
      <c r="K823" s="8" t="s">
        <v>323</v>
      </c>
      <c r="L823" s="8" t="s">
        <v>316</v>
      </c>
      <c r="M823" s="8" t="str">
        <f aca="false">IF(K823="FUERA","Fuera del marco",IF(K823="N/A","Sin marco",IFERROR(INDEX(Catalogo_TIMSS!$C$5:$C$105,MATCH(K823,Catalogo_TIMSS!$A$5:$A$105,0)),"Pendiente de clasificar")))</f>
        <v>Electricidad y magnetismo</v>
      </c>
      <c r="N823" s="8" t="str">
        <f aca="false">IF(K823="FUERA","Fuera del marco",IF(K823="N/A","Sin marco",IFERROR(INDEX(Catalogo_TIMSS!$F$5:$F$105,MATCH(K823,Catalogo_TIMSS!$A$5:$A$105,0)),"Pendiente de clasificar")))</f>
        <v>Magnetismo e inducción electromagnética</v>
      </c>
      <c r="O823" s="8" t="str">
        <f aca="false">IF(L823="","",IFERROR(INDEX(Catalogo_TIMSS!$C$5:$C$105,MATCH(L823,Catalogo_TIMSS!$A$5:$A$105,0)),"?"))</f>
        <v>Electricidad y magnetismo</v>
      </c>
      <c r="P823" s="8" t="s">
        <v>460</v>
      </c>
      <c r="Q823" s="27" t="s">
        <v>3828</v>
      </c>
      <c r="R823" s="27" t="s">
        <v>3829</v>
      </c>
      <c r="S823" s="28" t="n">
        <f aca="false">IFERROR(ISNUMBER(SEARCH("Conocer",$R823))/(ISNUMBER(SEARCH("Conocer",$R823))+ISNUMBER(SEARCH("Aplicar",$R823))+ISNUMBER(SEARCH("Razonar",$R823))),0)</f>
        <v>0</v>
      </c>
      <c r="T823" s="28" t="n">
        <f aca="false">IFERROR(ISNUMBER(SEARCH("Aplicar",$R823))/(ISNUMBER(SEARCH("Conocer",$R823))+ISNUMBER(SEARCH("Aplicar",$R823))+ISNUMBER(SEARCH("Razonar",$R823))),0)</f>
        <v>0.5</v>
      </c>
      <c r="U823" s="28" t="n">
        <f aca="false">IFERROR(ISNUMBER(SEARCH("Razonar",$R823))/(ISNUMBER(SEARCH("Conocer",$R823))+ISNUMBER(SEARCH("Aplicar",$R823))+ISNUMBER(SEARCH("Razonar",$R823))),0)</f>
        <v>0.5</v>
      </c>
      <c r="V823" s="8" t="s">
        <v>56</v>
      </c>
      <c r="W823" s="8" t="s">
        <v>69</v>
      </c>
    </row>
    <row r="824" customFormat="false" ht="15" hidden="false" customHeight="false" outlineLevel="0" collapsed="false">
      <c r="A824" s="8" t="s">
        <v>3830</v>
      </c>
      <c r="B824" s="8" t="n">
        <v>11</v>
      </c>
      <c r="C824" s="8" t="s">
        <v>91</v>
      </c>
      <c r="D824" s="8" t="s">
        <v>2909</v>
      </c>
      <c r="E824" s="8" t="s">
        <v>3473</v>
      </c>
      <c r="F824" s="8" t="n">
        <v>79</v>
      </c>
      <c r="G824" s="8" t="s">
        <v>3821</v>
      </c>
      <c r="H824" s="8" t="s">
        <v>3831</v>
      </c>
      <c r="I824" s="27" t="s">
        <v>3832</v>
      </c>
      <c r="J824" s="8" t="s">
        <v>291</v>
      </c>
      <c r="K824" s="8" t="s">
        <v>417</v>
      </c>
      <c r="L824" s="8"/>
      <c r="M824" s="8" t="str">
        <f aca="false">IF(K824="FUERA","Fuera del marco",IF(K824="N/A","Sin marco",IFERROR(INDEX(Catalogo_TIMSS!$C$5:$C$105,MATCH(K824,Catalogo_TIMSS!$A$5:$A$105,0)),"Pendiente de clasificar")))</f>
        <v>Fuera del marco</v>
      </c>
      <c r="N824" s="8" t="str">
        <f aca="false">IF(K824="FUERA","Fuera del marco",IF(K824="N/A","Sin marco",IFERROR(INDEX(Catalogo_TIMSS!$F$5:$F$105,MATCH(K824,Catalogo_TIMSS!$A$5:$A$105,0)),"Pendiente de clasificar")))</f>
        <v>Fuera del marco</v>
      </c>
      <c r="O824" s="8" t="str">
        <f aca="false">IF(L824="","",IFERROR(INDEX(Catalogo_TIMSS!$C$5:$C$105,MATCH(L824,Catalogo_TIMSS!$A$5:$A$105,0)),"?"))</f>
        <v/>
      </c>
      <c r="P824" s="8" t="s">
        <v>460</v>
      </c>
      <c r="Q824" s="27" t="s">
        <v>3833</v>
      </c>
      <c r="R824" s="27" t="s">
        <v>3834</v>
      </c>
      <c r="S824" s="28" t="n">
        <f aca="false">IFERROR(ISNUMBER(SEARCH("Conocer",$R824))/(ISNUMBER(SEARCH("Conocer",$R824))+ISNUMBER(SEARCH("Aplicar",$R824))+ISNUMBER(SEARCH("Razonar",$R824))),0)</f>
        <v>0</v>
      </c>
      <c r="T824" s="28" t="n">
        <f aca="false">IFERROR(ISNUMBER(SEARCH("Aplicar",$R824))/(ISNUMBER(SEARCH("Conocer",$R824))+ISNUMBER(SEARCH("Aplicar",$R824))+ISNUMBER(SEARCH("Razonar",$R824))),0)</f>
        <v>0.5</v>
      </c>
      <c r="U824" s="28" t="n">
        <f aca="false">IFERROR(ISNUMBER(SEARCH("Razonar",$R824))/(ISNUMBER(SEARCH("Conocer",$R824))+ISNUMBER(SEARCH("Aplicar",$R824))+ISNUMBER(SEARCH("Razonar",$R824))),0)</f>
        <v>0.5</v>
      </c>
      <c r="V824" s="8" t="s">
        <v>56</v>
      </c>
      <c r="W824" s="8" t="s">
        <v>69</v>
      </c>
    </row>
    <row r="825" customFormat="false" ht="15" hidden="false" customHeight="false" outlineLevel="0" collapsed="false">
      <c r="A825" s="8" t="s">
        <v>3835</v>
      </c>
      <c r="B825" s="8" t="n">
        <v>11</v>
      </c>
      <c r="C825" s="8" t="s">
        <v>91</v>
      </c>
      <c r="D825" s="8" t="s">
        <v>2909</v>
      </c>
      <c r="E825" s="8" t="s">
        <v>3473</v>
      </c>
      <c r="F825" s="8" t="n">
        <v>80</v>
      </c>
      <c r="G825" s="8" t="s">
        <v>3821</v>
      </c>
      <c r="H825" s="8" t="s">
        <v>3831</v>
      </c>
      <c r="I825" s="27" t="s">
        <v>3836</v>
      </c>
      <c r="J825" s="8" t="s">
        <v>291</v>
      </c>
      <c r="K825" s="8" t="s">
        <v>323</v>
      </c>
      <c r="L825" s="8"/>
      <c r="M825" s="8" t="str">
        <f aca="false">IF(K825="FUERA","Fuera del marco",IF(K825="N/A","Sin marco",IFERROR(INDEX(Catalogo_TIMSS!$C$5:$C$105,MATCH(K825,Catalogo_TIMSS!$A$5:$A$105,0)),"Pendiente de clasificar")))</f>
        <v>Electricidad y magnetismo</v>
      </c>
      <c r="N825" s="8" t="str">
        <f aca="false">IF(K825="FUERA","Fuera del marco",IF(K825="N/A","Sin marco",IFERROR(INDEX(Catalogo_TIMSS!$F$5:$F$105,MATCH(K825,Catalogo_TIMSS!$A$5:$A$105,0)),"Pendiente de clasificar")))</f>
        <v>Magnetismo e inducción electromagnética</v>
      </c>
      <c r="O825" s="8" t="str">
        <f aca="false">IF(L825="","",IFERROR(INDEX(Catalogo_TIMSS!$C$5:$C$105,MATCH(L825,Catalogo_TIMSS!$A$5:$A$105,0)),"?"))</f>
        <v/>
      </c>
      <c r="P825" s="8" t="s">
        <v>513</v>
      </c>
      <c r="Q825" s="27" t="s">
        <v>3837</v>
      </c>
      <c r="R825" s="27" t="s">
        <v>3838</v>
      </c>
      <c r="S825" s="28" t="n">
        <f aca="false">IFERROR(ISNUMBER(SEARCH("Conocer",$R825))/(ISNUMBER(SEARCH("Conocer",$R825))+ISNUMBER(SEARCH("Aplicar",$R825))+ISNUMBER(SEARCH("Razonar",$R825))),0)</f>
        <v>0</v>
      </c>
      <c r="T825" s="28" t="n">
        <f aca="false">IFERROR(ISNUMBER(SEARCH("Aplicar",$R825))/(ISNUMBER(SEARCH("Conocer",$R825))+ISNUMBER(SEARCH("Aplicar",$R825))+ISNUMBER(SEARCH("Razonar",$R825))),0)</f>
        <v>0.5</v>
      </c>
      <c r="U825" s="28" t="n">
        <f aca="false">IFERROR(ISNUMBER(SEARCH("Razonar",$R825))/(ISNUMBER(SEARCH("Conocer",$R825))+ISNUMBER(SEARCH("Aplicar",$R825))+ISNUMBER(SEARCH("Razonar",$R825))),0)</f>
        <v>0.5</v>
      </c>
      <c r="V825" s="8" t="s">
        <v>56</v>
      </c>
      <c r="W825" s="8" t="s">
        <v>69</v>
      </c>
    </row>
    <row r="826" customFormat="false" ht="15" hidden="false" customHeight="false" outlineLevel="0" collapsed="false">
      <c r="A826" s="8" t="s">
        <v>3839</v>
      </c>
      <c r="B826" s="8" t="n">
        <v>11</v>
      </c>
      <c r="C826" s="8" t="s">
        <v>91</v>
      </c>
      <c r="D826" s="8" t="s">
        <v>2909</v>
      </c>
      <c r="E826" s="8" t="s">
        <v>3473</v>
      </c>
      <c r="F826" s="8" t="n">
        <v>81</v>
      </c>
      <c r="G826" s="8" t="s">
        <v>3821</v>
      </c>
      <c r="H826" s="8" t="s">
        <v>3840</v>
      </c>
      <c r="I826" s="27" t="s">
        <v>3841</v>
      </c>
      <c r="J826" s="8" t="s">
        <v>291</v>
      </c>
      <c r="K826" s="8" t="s">
        <v>417</v>
      </c>
      <c r="L826" s="8"/>
      <c r="M826" s="8" t="str">
        <f aca="false">IF(K826="FUERA","Fuera del marco",IF(K826="N/A","Sin marco",IFERROR(INDEX(Catalogo_TIMSS!$C$5:$C$105,MATCH(K826,Catalogo_TIMSS!$A$5:$A$105,0)),"Pendiente de clasificar")))</f>
        <v>Fuera del marco</v>
      </c>
      <c r="N826" s="8" t="str">
        <f aca="false">IF(K826="FUERA","Fuera del marco",IF(K826="N/A","Sin marco",IFERROR(INDEX(Catalogo_TIMSS!$F$5:$F$105,MATCH(K826,Catalogo_TIMSS!$A$5:$A$105,0)),"Pendiente de clasificar")))</f>
        <v>Fuera del marco</v>
      </c>
      <c r="O826" s="8" t="str">
        <f aca="false">IF(L826="","",IFERROR(INDEX(Catalogo_TIMSS!$C$5:$C$105,MATCH(L826,Catalogo_TIMSS!$A$5:$A$105,0)),"?"))</f>
        <v/>
      </c>
      <c r="P826" s="8" t="s">
        <v>418</v>
      </c>
      <c r="Q826" s="27" t="s">
        <v>3842</v>
      </c>
      <c r="R826" s="27" t="s">
        <v>3843</v>
      </c>
      <c r="S826" s="28" t="n">
        <f aca="false">IFERROR(ISNUMBER(SEARCH("Conocer",$R826))/(ISNUMBER(SEARCH("Conocer",$R826))+ISNUMBER(SEARCH("Aplicar",$R826))+ISNUMBER(SEARCH("Razonar",$R826))),0)</f>
        <v>0</v>
      </c>
      <c r="T826" s="28" t="n">
        <f aca="false">IFERROR(ISNUMBER(SEARCH("Aplicar",$R826))/(ISNUMBER(SEARCH("Conocer",$R826))+ISNUMBER(SEARCH("Aplicar",$R826))+ISNUMBER(SEARCH("Razonar",$R826))),0)</f>
        <v>0.5</v>
      </c>
      <c r="U826" s="28" t="n">
        <f aca="false">IFERROR(ISNUMBER(SEARCH("Razonar",$R826))/(ISNUMBER(SEARCH("Conocer",$R826))+ISNUMBER(SEARCH("Aplicar",$R826))+ISNUMBER(SEARCH("Razonar",$R826))),0)</f>
        <v>0.5</v>
      </c>
      <c r="V826" s="8" t="s">
        <v>56</v>
      </c>
      <c r="W826" s="8" t="s">
        <v>69</v>
      </c>
    </row>
    <row r="827" customFormat="false" ht="15" hidden="false" customHeight="false" outlineLevel="0" collapsed="false">
      <c r="A827" s="8" t="s">
        <v>3844</v>
      </c>
      <c r="B827" s="8" t="n">
        <v>11</v>
      </c>
      <c r="C827" s="8" t="s">
        <v>91</v>
      </c>
      <c r="D827" s="8" t="s">
        <v>2909</v>
      </c>
      <c r="E827" s="8" t="s">
        <v>3473</v>
      </c>
      <c r="F827" s="8" t="n">
        <v>82</v>
      </c>
      <c r="G827" s="8" t="s">
        <v>3821</v>
      </c>
      <c r="H827" s="8" t="s">
        <v>3840</v>
      </c>
      <c r="I827" s="27" t="s">
        <v>3845</v>
      </c>
      <c r="J827" s="8" t="s">
        <v>291</v>
      </c>
      <c r="K827" s="8" t="s">
        <v>417</v>
      </c>
      <c r="L827" s="8"/>
      <c r="M827" s="8" t="str">
        <f aca="false">IF(K827="FUERA","Fuera del marco",IF(K827="N/A","Sin marco",IFERROR(INDEX(Catalogo_TIMSS!$C$5:$C$105,MATCH(K827,Catalogo_TIMSS!$A$5:$A$105,0)),"Pendiente de clasificar")))</f>
        <v>Fuera del marco</v>
      </c>
      <c r="N827" s="8" t="str">
        <f aca="false">IF(K827="FUERA","Fuera del marco",IF(K827="N/A","Sin marco",IFERROR(INDEX(Catalogo_TIMSS!$F$5:$F$105,MATCH(K827,Catalogo_TIMSS!$A$5:$A$105,0)),"Pendiente de clasificar")))</f>
        <v>Fuera del marco</v>
      </c>
      <c r="O827" s="8" t="str">
        <f aca="false">IF(L827="","",IFERROR(INDEX(Catalogo_TIMSS!$C$5:$C$105,MATCH(L827,Catalogo_TIMSS!$A$5:$A$105,0)),"?"))</f>
        <v/>
      </c>
      <c r="P827" s="8" t="s">
        <v>460</v>
      </c>
      <c r="Q827" s="27" t="s">
        <v>3846</v>
      </c>
      <c r="R827" s="27" t="s">
        <v>3847</v>
      </c>
      <c r="S827" s="28" t="n">
        <f aca="false">IFERROR(ISNUMBER(SEARCH("Conocer",$R827))/(ISNUMBER(SEARCH("Conocer",$R827))+ISNUMBER(SEARCH("Aplicar",$R827))+ISNUMBER(SEARCH("Razonar",$R827))),0)</f>
        <v>0</v>
      </c>
      <c r="T827" s="28" t="n">
        <f aca="false">IFERROR(ISNUMBER(SEARCH("Aplicar",$R827))/(ISNUMBER(SEARCH("Conocer",$R827))+ISNUMBER(SEARCH("Aplicar",$R827))+ISNUMBER(SEARCH("Razonar",$R827))),0)</f>
        <v>0.5</v>
      </c>
      <c r="U827" s="28" t="n">
        <f aca="false">IFERROR(ISNUMBER(SEARCH("Razonar",$R827))/(ISNUMBER(SEARCH("Conocer",$R827))+ISNUMBER(SEARCH("Aplicar",$R827))+ISNUMBER(SEARCH("Razonar",$R827))),0)</f>
        <v>0.5</v>
      </c>
      <c r="V827" s="8" t="s">
        <v>56</v>
      </c>
      <c r="W827" s="8" t="s">
        <v>69</v>
      </c>
    </row>
    <row r="828" customFormat="false" ht="15" hidden="false" customHeight="false" outlineLevel="0" collapsed="false">
      <c r="A828" s="8" t="s">
        <v>3848</v>
      </c>
      <c r="B828" s="8" t="n">
        <v>11</v>
      </c>
      <c r="C828" s="8" t="s">
        <v>91</v>
      </c>
      <c r="D828" s="8" t="s">
        <v>2909</v>
      </c>
      <c r="E828" s="8" t="s">
        <v>3473</v>
      </c>
      <c r="F828" s="8" t="n">
        <v>83</v>
      </c>
      <c r="G828" s="8" t="s">
        <v>3821</v>
      </c>
      <c r="H828" s="8" t="s">
        <v>3849</v>
      </c>
      <c r="I828" s="27" t="s">
        <v>3850</v>
      </c>
      <c r="J828" s="8" t="s">
        <v>291</v>
      </c>
      <c r="K828" s="8" t="s">
        <v>417</v>
      </c>
      <c r="L828" s="8"/>
      <c r="M828" s="8" t="str">
        <f aca="false">IF(K828="FUERA","Fuera del marco",IF(K828="N/A","Sin marco",IFERROR(INDEX(Catalogo_TIMSS!$C$5:$C$105,MATCH(K828,Catalogo_TIMSS!$A$5:$A$105,0)),"Pendiente de clasificar")))</f>
        <v>Fuera del marco</v>
      </c>
      <c r="N828" s="8" t="str">
        <f aca="false">IF(K828="FUERA","Fuera del marco",IF(K828="N/A","Sin marco",IFERROR(INDEX(Catalogo_TIMSS!$F$5:$F$105,MATCH(K828,Catalogo_TIMSS!$A$5:$A$105,0)),"Pendiente de clasificar")))</f>
        <v>Fuera del marco</v>
      </c>
      <c r="O828" s="8" t="str">
        <f aca="false">IF(L828="","",IFERROR(INDEX(Catalogo_TIMSS!$C$5:$C$105,MATCH(L828,Catalogo_TIMSS!$A$5:$A$105,0)),"?"))</f>
        <v/>
      </c>
      <c r="P828" s="8" t="s">
        <v>460</v>
      </c>
      <c r="Q828" s="27" t="s">
        <v>3851</v>
      </c>
      <c r="R828" s="27" t="s">
        <v>3852</v>
      </c>
      <c r="S828" s="28" t="n">
        <f aca="false">IFERROR(ISNUMBER(SEARCH("Conocer",$R828))/(ISNUMBER(SEARCH("Conocer",$R828))+ISNUMBER(SEARCH("Aplicar",$R828))+ISNUMBER(SEARCH("Razonar",$R828))),0)</f>
        <v>0.333333333333333</v>
      </c>
      <c r="T828" s="28" t="n">
        <f aca="false">IFERROR(ISNUMBER(SEARCH("Aplicar",$R828))/(ISNUMBER(SEARCH("Conocer",$R828))+ISNUMBER(SEARCH("Aplicar",$R828))+ISNUMBER(SEARCH("Razonar",$R828))),0)</f>
        <v>0.333333333333333</v>
      </c>
      <c r="U828" s="28" t="n">
        <f aca="false">IFERROR(ISNUMBER(SEARCH("Razonar",$R828))/(ISNUMBER(SEARCH("Conocer",$R828))+ISNUMBER(SEARCH("Aplicar",$R828))+ISNUMBER(SEARCH("Razonar",$R828))),0)</f>
        <v>0.333333333333333</v>
      </c>
      <c r="V828" s="8" t="s">
        <v>56</v>
      </c>
      <c r="W828" s="8" t="s">
        <v>69</v>
      </c>
    </row>
    <row r="829" customFormat="false" ht="15" hidden="false" customHeight="false" outlineLevel="0" collapsed="false">
      <c r="A829" s="8" t="s">
        <v>3853</v>
      </c>
      <c r="B829" s="8" t="n">
        <v>11</v>
      </c>
      <c r="C829" s="8" t="s">
        <v>91</v>
      </c>
      <c r="D829" s="8" t="s">
        <v>2909</v>
      </c>
      <c r="E829" s="8" t="s">
        <v>3473</v>
      </c>
      <c r="F829" s="8" t="n">
        <v>84</v>
      </c>
      <c r="G829" s="8" t="s">
        <v>3854</v>
      </c>
      <c r="H829" s="8" t="s">
        <v>3855</v>
      </c>
      <c r="I829" s="27" t="s">
        <v>3856</v>
      </c>
      <c r="J829" s="8" t="s">
        <v>291</v>
      </c>
      <c r="K829" s="8" t="s">
        <v>328</v>
      </c>
      <c r="L829" s="8"/>
      <c r="M829" s="8" t="str">
        <f aca="false">IF(K829="FUERA","Fuera del marco",IF(K829="N/A","Sin marco",IFERROR(INDEX(Catalogo_TIMSS!$C$5:$C$105,MATCH(K829,Catalogo_TIMSS!$A$5:$A$105,0)),"Pendiente de clasificar")))</f>
        <v>Ondas y física atómica/nuclear</v>
      </c>
      <c r="N829" s="8" t="str">
        <f aca="false">IF(K829="FUERA","Fuera del marco",IF(K829="N/A","Sin marco",IFERROR(INDEX(Catalogo_TIMSS!$F$5:$F$105,MATCH(K829,Catalogo_TIMSS!$A$5:$A$105,0)),"Pendiente de clasificar")))</f>
        <v>Fenómenos ondulatorios</v>
      </c>
      <c r="O829" s="8" t="str">
        <f aca="false">IF(L829="","",IFERROR(INDEX(Catalogo_TIMSS!$C$5:$C$105,MATCH(L829,Catalogo_TIMSS!$A$5:$A$105,0)),"?"))</f>
        <v/>
      </c>
      <c r="P829" s="8" t="s">
        <v>460</v>
      </c>
      <c r="Q829" s="27" t="s">
        <v>3857</v>
      </c>
      <c r="R829" s="27" t="s">
        <v>3858</v>
      </c>
      <c r="S829" s="28" t="n">
        <f aca="false">IFERROR(ISNUMBER(SEARCH("Conocer",$R829))/(ISNUMBER(SEARCH("Conocer",$R829))+ISNUMBER(SEARCH("Aplicar",$R829))+ISNUMBER(SEARCH("Razonar",$R829))),0)</f>
        <v>0</v>
      </c>
      <c r="T829" s="28" t="n">
        <f aca="false">IFERROR(ISNUMBER(SEARCH("Aplicar",$R829))/(ISNUMBER(SEARCH("Conocer",$R829))+ISNUMBER(SEARCH("Aplicar",$R829))+ISNUMBER(SEARCH("Razonar",$R829))),0)</f>
        <v>0.5</v>
      </c>
      <c r="U829" s="28" t="n">
        <f aca="false">IFERROR(ISNUMBER(SEARCH("Razonar",$R829))/(ISNUMBER(SEARCH("Conocer",$R829))+ISNUMBER(SEARCH("Aplicar",$R829))+ISNUMBER(SEARCH("Razonar",$R829))),0)</f>
        <v>0.5</v>
      </c>
      <c r="V829" s="8" t="s">
        <v>56</v>
      </c>
      <c r="W829" s="8" t="s">
        <v>69</v>
      </c>
    </row>
    <row r="830" customFormat="false" ht="15" hidden="false" customHeight="false" outlineLevel="0" collapsed="false">
      <c r="A830" s="8" t="s">
        <v>3859</v>
      </c>
      <c r="B830" s="8" t="n">
        <v>11</v>
      </c>
      <c r="C830" s="8" t="s">
        <v>91</v>
      </c>
      <c r="D830" s="8" t="s">
        <v>2909</v>
      </c>
      <c r="E830" s="8" t="s">
        <v>3473</v>
      </c>
      <c r="F830" s="8" t="n">
        <v>85</v>
      </c>
      <c r="G830" s="8" t="s">
        <v>3854</v>
      </c>
      <c r="H830" s="8" t="s">
        <v>3860</v>
      </c>
      <c r="I830" s="27" t="s">
        <v>3861</v>
      </c>
      <c r="J830" s="8" t="s">
        <v>291</v>
      </c>
      <c r="K830" s="8" t="s">
        <v>328</v>
      </c>
      <c r="L830" s="8"/>
      <c r="M830" s="8" t="str">
        <f aca="false">IF(K830="FUERA","Fuera del marco",IF(K830="N/A","Sin marco",IFERROR(INDEX(Catalogo_TIMSS!$C$5:$C$105,MATCH(K830,Catalogo_TIMSS!$A$5:$A$105,0)),"Pendiente de clasificar")))</f>
        <v>Ondas y física atómica/nuclear</v>
      </c>
      <c r="N830" s="8" t="str">
        <f aca="false">IF(K830="FUERA","Fuera del marco",IF(K830="N/A","Sin marco",IFERROR(INDEX(Catalogo_TIMSS!$F$5:$F$105,MATCH(K830,Catalogo_TIMSS!$A$5:$A$105,0)),"Pendiente de clasificar")))</f>
        <v>Fenómenos ondulatorios</v>
      </c>
      <c r="O830" s="8" t="str">
        <f aca="false">IF(L830="","",IFERROR(INDEX(Catalogo_TIMSS!$C$5:$C$105,MATCH(L830,Catalogo_TIMSS!$A$5:$A$105,0)),"?"))</f>
        <v/>
      </c>
      <c r="P830" s="8" t="s">
        <v>513</v>
      </c>
      <c r="Q830" s="27" t="s">
        <v>3862</v>
      </c>
      <c r="R830" s="27" t="s">
        <v>3863</v>
      </c>
      <c r="S830" s="28" t="n">
        <f aca="false">IFERROR(ISNUMBER(SEARCH("Conocer",$R830))/(ISNUMBER(SEARCH("Conocer",$R830))+ISNUMBER(SEARCH("Aplicar",$R830))+ISNUMBER(SEARCH("Razonar",$R830))),0)</f>
        <v>0</v>
      </c>
      <c r="T830" s="28" t="n">
        <f aca="false">IFERROR(ISNUMBER(SEARCH("Aplicar",$R830))/(ISNUMBER(SEARCH("Conocer",$R830))+ISNUMBER(SEARCH("Aplicar",$R830))+ISNUMBER(SEARCH("Razonar",$R830))),0)</f>
        <v>0.5</v>
      </c>
      <c r="U830" s="28" t="n">
        <f aca="false">IFERROR(ISNUMBER(SEARCH("Razonar",$R830))/(ISNUMBER(SEARCH("Conocer",$R830))+ISNUMBER(SEARCH("Aplicar",$R830))+ISNUMBER(SEARCH("Razonar",$R830))),0)</f>
        <v>0.5</v>
      </c>
      <c r="V830" s="8" t="s">
        <v>56</v>
      </c>
      <c r="W830" s="8" t="s">
        <v>69</v>
      </c>
    </row>
    <row r="831" customFormat="false" ht="15" hidden="false" customHeight="false" outlineLevel="0" collapsed="false">
      <c r="A831" s="8" t="s">
        <v>3864</v>
      </c>
      <c r="B831" s="8" t="n">
        <v>11</v>
      </c>
      <c r="C831" s="8" t="s">
        <v>91</v>
      </c>
      <c r="D831" s="8" t="s">
        <v>2909</v>
      </c>
      <c r="E831" s="8" t="s">
        <v>3473</v>
      </c>
      <c r="F831" s="8" t="n">
        <v>86</v>
      </c>
      <c r="G831" s="8" t="s">
        <v>3854</v>
      </c>
      <c r="H831" s="8" t="s">
        <v>3865</v>
      </c>
      <c r="I831" s="27" t="s">
        <v>3866</v>
      </c>
      <c r="J831" s="8" t="s">
        <v>291</v>
      </c>
      <c r="K831" s="8" t="s">
        <v>328</v>
      </c>
      <c r="L831" s="8"/>
      <c r="M831" s="8" t="str">
        <f aca="false">IF(K831="FUERA","Fuera del marco",IF(K831="N/A","Sin marco",IFERROR(INDEX(Catalogo_TIMSS!$C$5:$C$105,MATCH(K831,Catalogo_TIMSS!$A$5:$A$105,0)),"Pendiente de clasificar")))</f>
        <v>Ondas y física atómica/nuclear</v>
      </c>
      <c r="N831" s="8" t="str">
        <f aca="false">IF(K831="FUERA","Fuera del marco",IF(K831="N/A","Sin marco",IFERROR(INDEX(Catalogo_TIMSS!$F$5:$F$105,MATCH(K831,Catalogo_TIMSS!$A$5:$A$105,0)),"Pendiente de clasificar")))</f>
        <v>Fenómenos ondulatorios</v>
      </c>
      <c r="O831" s="8" t="str">
        <f aca="false">IF(L831="","",IFERROR(INDEX(Catalogo_TIMSS!$C$5:$C$105,MATCH(L831,Catalogo_TIMSS!$A$5:$A$105,0)),"?"))</f>
        <v/>
      </c>
      <c r="P831" s="8" t="s">
        <v>460</v>
      </c>
      <c r="Q831" s="27" t="s">
        <v>3867</v>
      </c>
      <c r="R831" s="27" t="s">
        <v>3868</v>
      </c>
      <c r="S831" s="28" t="n">
        <f aca="false">IFERROR(ISNUMBER(SEARCH("Conocer",$R831))/(ISNUMBER(SEARCH("Conocer",$R831))+ISNUMBER(SEARCH("Aplicar",$R831))+ISNUMBER(SEARCH("Razonar",$R831))),0)</f>
        <v>0</v>
      </c>
      <c r="T831" s="28" t="n">
        <f aca="false">IFERROR(ISNUMBER(SEARCH("Aplicar",$R831))/(ISNUMBER(SEARCH("Conocer",$R831))+ISNUMBER(SEARCH("Aplicar",$R831))+ISNUMBER(SEARCH("Razonar",$R831))),0)</f>
        <v>0.5</v>
      </c>
      <c r="U831" s="28" t="n">
        <f aca="false">IFERROR(ISNUMBER(SEARCH("Razonar",$R831))/(ISNUMBER(SEARCH("Conocer",$R831))+ISNUMBER(SEARCH("Aplicar",$R831))+ISNUMBER(SEARCH("Razonar",$R831))),0)</f>
        <v>0.5</v>
      </c>
      <c r="V831" s="8" t="s">
        <v>56</v>
      </c>
      <c r="W831" s="8" t="s">
        <v>69</v>
      </c>
    </row>
    <row r="832" customFormat="false" ht="15" hidden="false" customHeight="false" outlineLevel="0" collapsed="false">
      <c r="A832" s="8" t="s">
        <v>3869</v>
      </c>
      <c r="B832" s="8" t="n">
        <v>11</v>
      </c>
      <c r="C832" s="8" t="s">
        <v>91</v>
      </c>
      <c r="D832" s="8" t="s">
        <v>2909</v>
      </c>
      <c r="E832" s="8" t="s">
        <v>3473</v>
      </c>
      <c r="F832" s="8" t="n">
        <v>87</v>
      </c>
      <c r="G832" s="8" t="s">
        <v>3870</v>
      </c>
      <c r="H832" s="8" t="s">
        <v>3871</v>
      </c>
      <c r="I832" s="27" t="s">
        <v>3872</v>
      </c>
      <c r="J832" s="8" t="s">
        <v>291</v>
      </c>
      <c r="K832" s="8" t="s">
        <v>328</v>
      </c>
      <c r="L832" s="8"/>
      <c r="M832" s="8" t="str">
        <f aca="false">IF(K832="FUERA","Fuera del marco",IF(K832="N/A","Sin marco",IFERROR(INDEX(Catalogo_TIMSS!$C$5:$C$105,MATCH(K832,Catalogo_TIMSS!$A$5:$A$105,0)),"Pendiente de clasificar")))</f>
        <v>Ondas y física atómica/nuclear</v>
      </c>
      <c r="N832" s="8" t="str">
        <f aca="false">IF(K832="FUERA","Fuera del marco",IF(K832="N/A","Sin marco",IFERROR(INDEX(Catalogo_TIMSS!$F$5:$F$105,MATCH(K832,Catalogo_TIMSS!$A$5:$A$105,0)),"Pendiente de clasificar")))</f>
        <v>Fenómenos ondulatorios</v>
      </c>
      <c r="O832" s="8" t="str">
        <f aca="false">IF(L832="","",IFERROR(INDEX(Catalogo_TIMSS!$C$5:$C$105,MATCH(L832,Catalogo_TIMSS!$A$5:$A$105,0)),"?"))</f>
        <v/>
      </c>
      <c r="P832" s="8" t="s">
        <v>460</v>
      </c>
      <c r="Q832" s="27" t="s">
        <v>3873</v>
      </c>
      <c r="R832" s="27" t="s">
        <v>3874</v>
      </c>
      <c r="S832" s="28" t="n">
        <f aca="false">IFERROR(ISNUMBER(SEARCH("Conocer",$R832))/(ISNUMBER(SEARCH("Conocer",$R832))+ISNUMBER(SEARCH("Aplicar",$R832))+ISNUMBER(SEARCH("Razonar",$R832))),0)</f>
        <v>0</v>
      </c>
      <c r="T832" s="28" t="n">
        <f aca="false">IFERROR(ISNUMBER(SEARCH("Aplicar",$R832))/(ISNUMBER(SEARCH("Conocer",$R832))+ISNUMBER(SEARCH("Aplicar",$R832))+ISNUMBER(SEARCH("Razonar",$R832))),0)</f>
        <v>0.5</v>
      </c>
      <c r="U832" s="28" t="n">
        <f aca="false">IFERROR(ISNUMBER(SEARCH("Razonar",$R832))/(ISNUMBER(SEARCH("Conocer",$R832))+ISNUMBER(SEARCH("Aplicar",$R832))+ISNUMBER(SEARCH("Razonar",$R832))),0)</f>
        <v>0.5</v>
      </c>
      <c r="V832" s="8" t="s">
        <v>56</v>
      </c>
      <c r="W832" s="8" t="s">
        <v>69</v>
      </c>
    </row>
    <row r="833" customFormat="false" ht="15" hidden="false" customHeight="false" outlineLevel="0" collapsed="false">
      <c r="A833" s="8" t="s">
        <v>3875</v>
      </c>
      <c r="B833" s="8" t="n">
        <v>11</v>
      </c>
      <c r="C833" s="8" t="s">
        <v>91</v>
      </c>
      <c r="D833" s="8" t="s">
        <v>2909</v>
      </c>
      <c r="E833" s="8" t="s">
        <v>3473</v>
      </c>
      <c r="F833" s="8" t="n">
        <v>88</v>
      </c>
      <c r="G833" s="8" t="s">
        <v>3870</v>
      </c>
      <c r="H833" s="8" t="s">
        <v>3876</v>
      </c>
      <c r="I833" s="27" t="s">
        <v>3877</v>
      </c>
      <c r="J833" s="8" t="s">
        <v>291</v>
      </c>
      <c r="K833" s="8" t="s">
        <v>337</v>
      </c>
      <c r="L833" s="8" t="s">
        <v>332</v>
      </c>
      <c r="M833" s="8" t="str">
        <f aca="false">IF(K833="FUERA","Fuera del marco",IF(K833="N/A","Sin marco",IFERROR(INDEX(Catalogo_TIMSS!$C$5:$C$105,MATCH(K833,Catalogo_TIMSS!$A$5:$A$105,0)),"Pendiente de clasificar")))</f>
        <v>Ondas y física atómica/nuclear</v>
      </c>
      <c r="N833" s="8" t="str">
        <f aca="false">IF(K833="FUERA","Fuera del marco",IF(K833="N/A","Sin marco",IFERROR(INDEX(Catalogo_TIMSS!$F$5:$F$105,MATCH(K833,Catalogo_TIMSS!$A$5:$A$105,0)),"Pendiente de clasificar")))</f>
        <v>Física atómica y nuclear</v>
      </c>
      <c r="O833" s="8" t="str">
        <f aca="false">IF(L833="","",IFERROR(INDEX(Catalogo_TIMSS!$C$5:$C$105,MATCH(L833,Catalogo_TIMSS!$A$5:$A$105,0)),"?"))</f>
        <v>Ondas y física atómica/nuclear</v>
      </c>
      <c r="P833" s="8" t="s">
        <v>418</v>
      </c>
      <c r="Q833" s="27" t="s">
        <v>3878</v>
      </c>
      <c r="R833" s="27" t="s">
        <v>3879</v>
      </c>
      <c r="S833" s="28" t="n">
        <f aca="false">IFERROR(ISNUMBER(SEARCH("Conocer",$R833))/(ISNUMBER(SEARCH("Conocer",$R833))+ISNUMBER(SEARCH("Aplicar",$R833))+ISNUMBER(SEARCH("Razonar",$R833))),0)</f>
        <v>0.5</v>
      </c>
      <c r="T833" s="28" t="n">
        <f aca="false">IFERROR(ISNUMBER(SEARCH("Aplicar",$R833))/(ISNUMBER(SEARCH("Conocer",$R833))+ISNUMBER(SEARCH("Aplicar",$R833))+ISNUMBER(SEARCH("Razonar",$R833))),0)</f>
        <v>0</v>
      </c>
      <c r="U833" s="28" t="n">
        <f aca="false">IFERROR(ISNUMBER(SEARCH("Razonar",$R833))/(ISNUMBER(SEARCH("Conocer",$R833))+ISNUMBER(SEARCH("Aplicar",$R833))+ISNUMBER(SEARCH("Razonar",$R833))),0)</f>
        <v>0.5</v>
      </c>
      <c r="V833" s="8" t="s">
        <v>56</v>
      </c>
      <c r="W833" s="8" t="s">
        <v>69</v>
      </c>
    </row>
    <row r="834" customFormat="false" ht="15" hidden="false" customHeight="false" outlineLevel="0" collapsed="false">
      <c r="A834" s="8" t="s">
        <v>3880</v>
      </c>
      <c r="B834" s="8" t="n">
        <v>11</v>
      </c>
      <c r="C834" s="8" t="s">
        <v>91</v>
      </c>
      <c r="D834" s="8" t="s">
        <v>2909</v>
      </c>
      <c r="E834" s="8" t="s">
        <v>3473</v>
      </c>
      <c r="F834" s="8" t="n">
        <v>89</v>
      </c>
      <c r="G834" s="8" t="s">
        <v>3870</v>
      </c>
      <c r="H834" s="8" t="s">
        <v>3881</v>
      </c>
      <c r="I834" s="27" t="s">
        <v>3882</v>
      </c>
      <c r="J834" s="8" t="s">
        <v>291</v>
      </c>
      <c r="K834" s="8" t="s">
        <v>330</v>
      </c>
      <c r="L834" s="8" t="s">
        <v>337</v>
      </c>
      <c r="M834" s="8" t="str">
        <f aca="false">IF(K834="FUERA","Fuera del marco",IF(K834="N/A","Sin marco",IFERROR(INDEX(Catalogo_TIMSS!$C$5:$C$105,MATCH(K834,Catalogo_TIMSS!$A$5:$A$105,0)),"Pendiente de clasificar")))</f>
        <v>Ondas y física atómica/nuclear</v>
      </c>
      <c r="N834" s="8" t="str">
        <f aca="false">IF(K834="FUERA","Fuera del marco",IF(K834="N/A","Sin marco",IFERROR(INDEX(Catalogo_TIMSS!$F$5:$F$105,MATCH(K834,Catalogo_TIMSS!$A$5:$A$105,0)),"Pendiente de clasificar")))</f>
        <v>Fenómenos ondulatorios</v>
      </c>
      <c r="O834" s="8" t="str">
        <f aca="false">IF(L834="","",IFERROR(INDEX(Catalogo_TIMSS!$C$5:$C$105,MATCH(L834,Catalogo_TIMSS!$A$5:$A$105,0)),"?"))</f>
        <v>Ondas y física atómica/nuclear</v>
      </c>
      <c r="P834" s="8" t="s">
        <v>418</v>
      </c>
      <c r="Q834" s="27" t="s">
        <v>3883</v>
      </c>
      <c r="R834" s="27" t="s">
        <v>3884</v>
      </c>
      <c r="S834" s="28" t="n">
        <f aca="false">IFERROR(ISNUMBER(SEARCH("Conocer",$R834))/(ISNUMBER(SEARCH("Conocer",$R834))+ISNUMBER(SEARCH("Aplicar",$R834))+ISNUMBER(SEARCH("Razonar",$R834))),0)</f>
        <v>0</v>
      </c>
      <c r="T834" s="28" t="n">
        <f aca="false">IFERROR(ISNUMBER(SEARCH("Aplicar",$R834))/(ISNUMBER(SEARCH("Conocer",$R834))+ISNUMBER(SEARCH("Aplicar",$R834))+ISNUMBER(SEARCH("Razonar",$R834))),0)</f>
        <v>0.5</v>
      </c>
      <c r="U834" s="28" t="n">
        <f aca="false">IFERROR(ISNUMBER(SEARCH("Razonar",$R834))/(ISNUMBER(SEARCH("Conocer",$R834))+ISNUMBER(SEARCH("Aplicar",$R834))+ISNUMBER(SEARCH("Razonar",$R834))),0)</f>
        <v>0.5</v>
      </c>
      <c r="V834" s="8" t="s">
        <v>56</v>
      </c>
      <c r="W834" s="8" t="s">
        <v>69</v>
      </c>
    </row>
    <row r="835" customFormat="false" ht="15" hidden="false" customHeight="false" outlineLevel="0" collapsed="false">
      <c r="A835" s="8" t="s">
        <v>3885</v>
      </c>
      <c r="B835" s="8" t="n">
        <v>11</v>
      </c>
      <c r="C835" s="8" t="s">
        <v>91</v>
      </c>
      <c r="D835" s="8" t="s">
        <v>2909</v>
      </c>
      <c r="E835" s="8" t="s">
        <v>3473</v>
      </c>
      <c r="F835" s="8" t="n">
        <v>90</v>
      </c>
      <c r="G835" s="8" t="s">
        <v>3870</v>
      </c>
      <c r="H835" s="8" t="s">
        <v>3881</v>
      </c>
      <c r="I835" s="27" t="s">
        <v>3886</v>
      </c>
      <c r="J835" s="8" t="s">
        <v>291</v>
      </c>
      <c r="K835" s="8" t="s">
        <v>337</v>
      </c>
      <c r="L835" s="8"/>
      <c r="M835" s="8" t="str">
        <f aca="false">IF(K835="FUERA","Fuera del marco",IF(K835="N/A","Sin marco",IFERROR(INDEX(Catalogo_TIMSS!$C$5:$C$105,MATCH(K835,Catalogo_TIMSS!$A$5:$A$105,0)),"Pendiente de clasificar")))</f>
        <v>Ondas y física atómica/nuclear</v>
      </c>
      <c r="N835" s="8" t="str">
        <f aca="false">IF(K835="FUERA","Fuera del marco",IF(K835="N/A","Sin marco",IFERROR(INDEX(Catalogo_TIMSS!$F$5:$F$105,MATCH(K835,Catalogo_TIMSS!$A$5:$A$105,0)),"Pendiente de clasificar")))</f>
        <v>Física atómica y nuclear</v>
      </c>
      <c r="O835" s="8" t="str">
        <f aca="false">IF(L835="","",IFERROR(INDEX(Catalogo_TIMSS!$C$5:$C$105,MATCH(L835,Catalogo_TIMSS!$A$5:$A$105,0)),"?"))</f>
        <v/>
      </c>
      <c r="P835" s="8" t="s">
        <v>418</v>
      </c>
      <c r="Q835" s="27" t="s">
        <v>3887</v>
      </c>
      <c r="R835" s="27" t="s">
        <v>3888</v>
      </c>
      <c r="S835" s="28" t="n">
        <f aca="false">IFERROR(ISNUMBER(SEARCH("Conocer",$R835))/(ISNUMBER(SEARCH("Conocer",$R835))+ISNUMBER(SEARCH("Aplicar",$R835))+ISNUMBER(SEARCH("Razonar",$R835))),0)</f>
        <v>0</v>
      </c>
      <c r="T835" s="28" t="n">
        <f aca="false">IFERROR(ISNUMBER(SEARCH("Aplicar",$R835))/(ISNUMBER(SEARCH("Conocer",$R835))+ISNUMBER(SEARCH("Aplicar",$R835))+ISNUMBER(SEARCH("Razonar",$R835))),0)</f>
        <v>0.5</v>
      </c>
      <c r="U835" s="28" t="n">
        <f aca="false">IFERROR(ISNUMBER(SEARCH("Razonar",$R835))/(ISNUMBER(SEARCH("Conocer",$R835))+ISNUMBER(SEARCH("Aplicar",$R835))+ISNUMBER(SEARCH("Razonar",$R835))),0)</f>
        <v>0.5</v>
      </c>
      <c r="V835" s="8" t="s">
        <v>56</v>
      </c>
      <c r="W835" s="8" t="s">
        <v>69</v>
      </c>
    </row>
    <row r="836" customFormat="false" ht="15" hidden="false" customHeight="false" outlineLevel="0" collapsed="false">
      <c r="A836" s="8" t="s">
        <v>3889</v>
      </c>
      <c r="B836" s="8" t="n">
        <v>11</v>
      </c>
      <c r="C836" s="8" t="s">
        <v>91</v>
      </c>
      <c r="D836" s="8" t="s">
        <v>2909</v>
      </c>
      <c r="E836" s="8" t="s">
        <v>3473</v>
      </c>
      <c r="F836" s="8" t="n">
        <v>91</v>
      </c>
      <c r="G836" s="8" t="s">
        <v>3870</v>
      </c>
      <c r="H836" s="8" t="s">
        <v>3890</v>
      </c>
      <c r="I836" s="27" t="s">
        <v>3891</v>
      </c>
      <c r="J836" s="8" t="s">
        <v>291</v>
      </c>
      <c r="K836" s="8" t="s">
        <v>337</v>
      </c>
      <c r="L836" s="8" t="s">
        <v>302</v>
      </c>
      <c r="M836" s="8" t="str">
        <f aca="false">IF(K836="FUERA","Fuera del marco",IF(K836="N/A","Sin marco",IFERROR(INDEX(Catalogo_TIMSS!$C$5:$C$105,MATCH(K836,Catalogo_TIMSS!$A$5:$A$105,0)),"Pendiente de clasificar")))</f>
        <v>Ondas y física atómica/nuclear</v>
      </c>
      <c r="N836" s="8" t="str">
        <f aca="false">IF(K836="FUERA","Fuera del marco",IF(K836="N/A","Sin marco",IFERROR(INDEX(Catalogo_TIMSS!$F$5:$F$105,MATCH(K836,Catalogo_TIMSS!$A$5:$A$105,0)),"Pendiente de clasificar")))</f>
        <v>Física atómica y nuclear</v>
      </c>
      <c r="O836" s="8" t="str">
        <f aca="false">IF(L836="","",IFERROR(INDEX(Catalogo_TIMSS!$C$5:$C$105,MATCH(L836,Catalogo_TIMSS!$A$5:$A$105,0)),"?"))</f>
        <v>Mecánica y termodinámica</v>
      </c>
      <c r="P836" s="8" t="s">
        <v>418</v>
      </c>
      <c r="Q836" s="27" t="s">
        <v>3892</v>
      </c>
      <c r="R836" s="27" t="s">
        <v>3893</v>
      </c>
      <c r="S836" s="28" t="n">
        <f aca="false">IFERROR(ISNUMBER(SEARCH("Conocer",$R836))/(ISNUMBER(SEARCH("Conocer",$R836))+ISNUMBER(SEARCH("Aplicar",$R836))+ISNUMBER(SEARCH("Razonar",$R836))),0)</f>
        <v>0</v>
      </c>
      <c r="T836" s="28" t="n">
        <f aca="false">IFERROR(ISNUMBER(SEARCH("Aplicar",$R836))/(ISNUMBER(SEARCH("Conocer",$R836))+ISNUMBER(SEARCH("Aplicar",$R836))+ISNUMBER(SEARCH("Razonar",$R836))),0)</f>
        <v>0.5</v>
      </c>
      <c r="U836" s="28" t="n">
        <f aca="false">IFERROR(ISNUMBER(SEARCH("Razonar",$R836))/(ISNUMBER(SEARCH("Conocer",$R836))+ISNUMBER(SEARCH("Aplicar",$R836))+ISNUMBER(SEARCH("Razonar",$R836))),0)</f>
        <v>0.5</v>
      </c>
      <c r="V836" s="8" t="s">
        <v>56</v>
      </c>
      <c r="W836" s="8" t="s">
        <v>69</v>
      </c>
    </row>
    <row r="837" customFormat="false" ht="15" hidden="false" customHeight="false" outlineLevel="0" collapsed="false">
      <c r="A837" s="8" t="s">
        <v>3894</v>
      </c>
      <c r="B837" s="8" t="n">
        <v>11</v>
      </c>
      <c r="C837" s="8" t="s">
        <v>91</v>
      </c>
      <c r="D837" s="8" t="s">
        <v>2909</v>
      </c>
      <c r="E837" s="8" t="s">
        <v>3473</v>
      </c>
      <c r="F837" s="8" t="n">
        <v>92</v>
      </c>
      <c r="G837" s="8" t="s">
        <v>3870</v>
      </c>
      <c r="H837" s="8" t="s">
        <v>3895</v>
      </c>
      <c r="I837" s="27" t="s">
        <v>3896</v>
      </c>
      <c r="J837" s="8" t="s">
        <v>291</v>
      </c>
      <c r="K837" s="8" t="s">
        <v>337</v>
      </c>
      <c r="L837" s="8"/>
      <c r="M837" s="8" t="str">
        <f aca="false">IF(K837="FUERA","Fuera del marco",IF(K837="N/A","Sin marco",IFERROR(INDEX(Catalogo_TIMSS!$C$5:$C$105,MATCH(K837,Catalogo_TIMSS!$A$5:$A$105,0)),"Pendiente de clasificar")))</f>
        <v>Ondas y física atómica/nuclear</v>
      </c>
      <c r="N837" s="8" t="str">
        <f aca="false">IF(K837="FUERA","Fuera del marco",IF(K837="N/A","Sin marco",IFERROR(INDEX(Catalogo_TIMSS!$F$5:$F$105,MATCH(K837,Catalogo_TIMSS!$A$5:$A$105,0)),"Pendiente de clasificar")))</f>
        <v>Física atómica y nuclear</v>
      </c>
      <c r="O837" s="8" t="str">
        <f aca="false">IF(L837="","",IFERROR(INDEX(Catalogo_TIMSS!$C$5:$C$105,MATCH(L837,Catalogo_TIMSS!$A$5:$A$105,0)),"?"))</f>
        <v/>
      </c>
      <c r="P837" s="8" t="s">
        <v>418</v>
      </c>
      <c r="Q837" s="27" t="s">
        <v>3897</v>
      </c>
      <c r="R837" s="27" t="s">
        <v>3898</v>
      </c>
      <c r="S837" s="28" t="n">
        <f aca="false">IFERROR(ISNUMBER(SEARCH("Conocer",$R837))/(ISNUMBER(SEARCH("Conocer",$R837))+ISNUMBER(SEARCH("Aplicar",$R837))+ISNUMBER(SEARCH("Razonar",$R837))),0)</f>
        <v>0</v>
      </c>
      <c r="T837" s="28" t="n">
        <f aca="false">IFERROR(ISNUMBER(SEARCH("Aplicar",$R837))/(ISNUMBER(SEARCH("Conocer",$R837))+ISNUMBER(SEARCH("Aplicar",$R837))+ISNUMBER(SEARCH("Razonar",$R837))),0)</f>
        <v>0.5</v>
      </c>
      <c r="U837" s="28" t="n">
        <f aca="false">IFERROR(ISNUMBER(SEARCH("Razonar",$R837))/(ISNUMBER(SEARCH("Conocer",$R837))+ISNUMBER(SEARCH("Aplicar",$R837))+ISNUMBER(SEARCH("Razonar",$R837))),0)</f>
        <v>0.5</v>
      </c>
      <c r="V837" s="8" t="s">
        <v>56</v>
      </c>
      <c r="W837" s="8" t="s">
        <v>69</v>
      </c>
    </row>
    <row r="838" customFormat="false" ht="15" hidden="false" customHeight="false" outlineLevel="0" collapsed="false">
      <c r="A838" s="8" t="s">
        <v>3899</v>
      </c>
      <c r="B838" s="8" t="n">
        <v>11</v>
      </c>
      <c r="C838" s="8" t="s">
        <v>91</v>
      </c>
      <c r="D838" s="8" t="s">
        <v>2909</v>
      </c>
      <c r="E838" s="8" t="s">
        <v>3473</v>
      </c>
      <c r="F838" s="8" t="n">
        <v>93</v>
      </c>
      <c r="G838" s="8" t="s">
        <v>3870</v>
      </c>
      <c r="H838" s="8" t="s">
        <v>3895</v>
      </c>
      <c r="I838" s="27" t="s">
        <v>3900</v>
      </c>
      <c r="J838" s="8" t="s">
        <v>291</v>
      </c>
      <c r="K838" s="8" t="s">
        <v>337</v>
      </c>
      <c r="L838" s="8"/>
      <c r="M838" s="8" t="str">
        <f aca="false">IF(K838="FUERA","Fuera del marco",IF(K838="N/A","Sin marco",IFERROR(INDEX(Catalogo_TIMSS!$C$5:$C$105,MATCH(K838,Catalogo_TIMSS!$A$5:$A$105,0)),"Pendiente de clasificar")))</f>
        <v>Ondas y física atómica/nuclear</v>
      </c>
      <c r="N838" s="8" t="str">
        <f aca="false">IF(K838="FUERA","Fuera del marco",IF(K838="N/A","Sin marco",IFERROR(INDEX(Catalogo_TIMSS!$F$5:$F$105,MATCH(K838,Catalogo_TIMSS!$A$5:$A$105,0)),"Pendiente de clasificar")))</f>
        <v>Física atómica y nuclear</v>
      </c>
      <c r="O838" s="8" t="str">
        <f aca="false">IF(L838="","",IFERROR(INDEX(Catalogo_TIMSS!$C$5:$C$105,MATCH(L838,Catalogo_TIMSS!$A$5:$A$105,0)),"?"))</f>
        <v/>
      </c>
      <c r="P838" s="8" t="s">
        <v>513</v>
      </c>
      <c r="Q838" s="27" t="s">
        <v>3901</v>
      </c>
      <c r="R838" s="27" t="s">
        <v>3902</v>
      </c>
      <c r="S838" s="28" t="n">
        <f aca="false">IFERROR(ISNUMBER(SEARCH("Conocer",$R838))/(ISNUMBER(SEARCH("Conocer",$R838))+ISNUMBER(SEARCH("Aplicar",$R838))+ISNUMBER(SEARCH("Razonar",$R838))),0)</f>
        <v>0</v>
      </c>
      <c r="T838" s="28" t="n">
        <f aca="false">IFERROR(ISNUMBER(SEARCH("Aplicar",$R838))/(ISNUMBER(SEARCH("Conocer",$R838))+ISNUMBER(SEARCH("Aplicar",$R838))+ISNUMBER(SEARCH("Razonar",$R838))),0)</f>
        <v>0.5</v>
      </c>
      <c r="U838" s="28" t="n">
        <f aca="false">IFERROR(ISNUMBER(SEARCH("Razonar",$R838))/(ISNUMBER(SEARCH("Conocer",$R838))+ISNUMBER(SEARCH("Aplicar",$R838))+ISNUMBER(SEARCH("Razonar",$R838))),0)</f>
        <v>0.5</v>
      </c>
      <c r="V838" s="8" t="s">
        <v>56</v>
      </c>
      <c r="W838" s="8" t="s">
        <v>69</v>
      </c>
    </row>
    <row r="839" customFormat="false" ht="15" hidden="false" customHeight="false" outlineLevel="0" collapsed="false">
      <c r="A839" s="8" t="s">
        <v>3903</v>
      </c>
      <c r="B839" s="8" t="n">
        <v>11</v>
      </c>
      <c r="C839" s="8" t="s">
        <v>91</v>
      </c>
      <c r="D839" s="8" t="s">
        <v>2909</v>
      </c>
      <c r="E839" s="8" t="s">
        <v>3473</v>
      </c>
      <c r="F839" s="8" t="n">
        <v>94</v>
      </c>
      <c r="G839" s="8" t="s">
        <v>3904</v>
      </c>
      <c r="H839" s="8" t="s">
        <v>3905</v>
      </c>
      <c r="I839" s="27" t="s">
        <v>3906</v>
      </c>
      <c r="J839" s="8" t="s">
        <v>291</v>
      </c>
      <c r="K839" s="8" t="s">
        <v>332</v>
      </c>
      <c r="L839" s="8"/>
      <c r="M839" s="8" t="str">
        <f aca="false">IF(K839="FUERA","Fuera del marco",IF(K839="N/A","Sin marco",IFERROR(INDEX(Catalogo_TIMSS!$C$5:$C$105,MATCH(K839,Catalogo_TIMSS!$A$5:$A$105,0)),"Pendiente de clasificar")))</f>
        <v>Ondas y física atómica/nuclear</v>
      </c>
      <c r="N839" s="8" t="str">
        <f aca="false">IF(K839="FUERA","Fuera del marco",IF(K839="N/A","Sin marco",IFERROR(INDEX(Catalogo_TIMSS!$F$5:$F$105,MATCH(K839,Catalogo_TIMSS!$A$5:$A$105,0)),"Pendiente de clasificar")))</f>
        <v>Fenómenos ondulatorios</v>
      </c>
      <c r="O839" s="8" t="str">
        <f aca="false">IF(L839="","",IFERROR(INDEX(Catalogo_TIMSS!$C$5:$C$105,MATCH(L839,Catalogo_TIMSS!$A$5:$A$105,0)),"?"))</f>
        <v/>
      </c>
      <c r="P839" s="8" t="s">
        <v>460</v>
      </c>
      <c r="Q839" s="27" t="s">
        <v>3907</v>
      </c>
      <c r="R839" s="27" t="s">
        <v>3908</v>
      </c>
      <c r="S839" s="28" t="n">
        <f aca="false">IFERROR(ISNUMBER(SEARCH("Conocer",$R839))/(ISNUMBER(SEARCH("Conocer",$R839))+ISNUMBER(SEARCH("Aplicar",$R839))+ISNUMBER(SEARCH("Razonar",$R839))),0)</f>
        <v>0.333333333333333</v>
      </c>
      <c r="T839" s="28" t="n">
        <f aca="false">IFERROR(ISNUMBER(SEARCH("Aplicar",$R839))/(ISNUMBER(SEARCH("Conocer",$R839))+ISNUMBER(SEARCH("Aplicar",$R839))+ISNUMBER(SEARCH("Razonar",$R839))),0)</f>
        <v>0.333333333333333</v>
      </c>
      <c r="U839" s="28" t="n">
        <f aca="false">IFERROR(ISNUMBER(SEARCH("Razonar",$R839))/(ISNUMBER(SEARCH("Conocer",$R839))+ISNUMBER(SEARCH("Aplicar",$R839))+ISNUMBER(SEARCH("Razonar",$R839))),0)</f>
        <v>0.333333333333333</v>
      </c>
      <c r="V839" s="8" t="s">
        <v>56</v>
      </c>
      <c r="W839" s="8" t="s">
        <v>69</v>
      </c>
    </row>
    <row r="840" customFormat="false" ht="15" hidden="false" customHeight="false" outlineLevel="0" collapsed="false">
      <c r="A840" s="8" t="s">
        <v>3909</v>
      </c>
      <c r="B840" s="8" t="n">
        <v>11</v>
      </c>
      <c r="C840" s="8" t="s">
        <v>91</v>
      </c>
      <c r="D840" s="8" t="s">
        <v>2909</v>
      </c>
      <c r="E840" s="8" t="s">
        <v>3473</v>
      </c>
      <c r="F840" s="8" t="n">
        <v>95</v>
      </c>
      <c r="G840" s="8" t="s">
        <v>3904</v>
      </c>
      <c r="H840" s="8" t="s">
        <v>3910</v>
      </c>
      <c r="I840" s="27" t="s">
        <v>3911</v>
      </c>
      <c r="J840" s="8" t="s">
        <v>291</v>
      </c>
      <c r="K840" s="8" t="s">
        <v>332</v>
      </c>
      <c r="L840" s="8"/>
      <c r="M840" s="8" t="str">
        <f aca="false">IF(K840="FUERA","Fuera del marco",IF(K840="N/A","Sin marco",IFERROR(INDEX(Catalogo_TIMSS!$C$5:$C$105,MATCH(K840,Catalogo_TIMSS!$A$5:$A$105,0)),"Pendiente de clasificar")))</f>
        <v>Ondas y física atómica/nuclear</v>
      </c>
      <c r="N840" s="8" t="str">
        <f aca="false">IF(K840="FUERA","Fuera del marco",IF(K840="N/A","Sin marco",IFERROR(INDEX(Catalogo_TIMSS!$F$5:$F$105,MATCH(K840,Catalogo_TIMSS!$A$5:$A$105,0)),"Pendiente de clasificar")))</f>
        <v>Fenómenos ondulatorios</v>
      </c>
      <c r="O840" s="8" t="str">
        <f aca="false">IF(L840="","",IFERROR(INDEX(Catalogo_TIMSS!$C$5:$C$105,MATCH(L840,Catalogo_TIMSS!$A$5:$A$105,0)),"?"))</f>
        <v/>
      </c>
      <c r="P840" s="8" t="s">
        <v>460</v>
      </c>
      <c r="Q840" s="27" t="s">
        <v>3912</v>
      </c>
      <c r="R840" s="27" t="s">
        <v>3913</v>
      </c>
      <c r="S840" s="28" t="n">
        <f aca="false">IFERROR(ISNUMBER(SEARCH("Conocer",$R840))/(ISNUMBER(SEARCH("Conocer",$R840))+ISNUMBER(SEARCH("Aplicar",$R840))+ISNUMBER(SEARCH("Razonar",$R840))),0)</f>
        <v>0</v>
      </c>
      <c r="T840" s="28" t="n">
        <f aca="false">IFERROR(ISNUMBER(SEARCH("Aplicar",$R840))/(ISNUMBER(SEARCH("Conocer",$R840))+ISNUMBER(SEARCH("Aplicar",$R840))+ISNUMBER(SEARCH("Razonar",$R840))),0)</f>
        <v>0.5</v>
      </c>
      <c r="U840" s="28" t="n">
        <f aca="false">IFERROR(ISNUMBER(SEARCH("Razonar",$R840))/(ISNUMBER(SEARCH("Conocer",$R840))+ISNUMBER(SEARCH("Aplicar",$R840))+ISNUMBER(SEARCH("Razonar",$R840))),0)</f>
        <v>0.5</v>
      </c>
      <c r="V840" s="8" t="s">
        <v>56</v>
      </c>
      <c r="W840" s="8" t="s">
        <v>69</v>
      </c>
    </row>
    <row r="841" customFormat="false" ht="15" hidden="false" customHeight="false" outlineLevel="0" collapsed="false">
      <c r="A841" s="8" t="s">
        <v>3914</v>
      </c>
      <c r="B841" s="8" t="n">
        <v>11</v>
      </c>
      <c r="C841" s="8" t="s">
        <v>91</v>
      </c>
      <c r="D841" s="8" t="s">
        <v>2909</v>
      </c>
      <c r="E841" s="8" t="s">
        <v>3473</v>
      </c>
      <c r="F841" s="8" t="n">
        <v>96</v>
      </c>
      <c r="G841" s="8" t="s">
        <v>3904</v>
      </c>
      <c r="H841" s="8" t="s">
        <v>3915</v>
      </c>
      <c r="I841" s="27" t="s">
        <v>3916</v>
      </c>
      <c r="J841" s="8" t="s">
        <v>291</v>
      </c>
      <c r="K841" s="8" t="s">
        <v>332</v>
      </c>
      <c r="L841" s="8"/>
      <c r="M841" s="8" t="str">
        <f aca="false">IF(K841="FUERA","Fuera del marco",IF(K841="N/A","Sin marco",IFERROR(INDEX(Catalogo_TIMSS!$C$5:$C$105,MATCH(K841,Catalogo_TIMSS!$A$5:$A$105,0)),"Pendiente de clasificar")))</f>
        <v>Ondas y física atómica/nuclear</v>
      </c>
      <c r="N841" s="8" t="str">
        <f aca="false">IF(K841="FUERA","Fuera del marco",IF(K841="N/A","Sin marco",IFERROR(INDEX(Catalogo_TIMSS!$F$5:$F$105,MATCH(K841,Catalogo_TIMSS!$A$5:$A$105,0)),"Pendiente de clasificar")))</f>
        <v>Fenómenos ondulatorios</v>
      </c>
      <c r="O841" s="8" t="str">
        <f aca="false">IF(L841="","",IFERROR(INDEX(Catalogo_TIMSS!$C$5:$C$105,MATCH(L841,Catalogo_TIMSS!$A$5:$A$105,0)),"?"))</f>
        <v/>
      </c>
      <c r="P841" s="8" t="s">
        <v>460</v>
      </c>
      <c r="Q841" s="27" t="s">
        <v>3917</v>
      </c>
      <c r="R841" s="27" t="s">
        <v>3918</v>
      </c>
      <c r="S841" s="28" t="n">
        <f aca="false">IFERROR(ISNUMBER(SEARCH("Conocer",$R841))/(ISNUMBER(SEARCH("Conocer",$R841))+ISNUMBER(SEARCH("Aplicar",$R841))+ISNUMBER(SEARCH("Razonar",$R841))),0)</f>
        <v>0</v>
      </c>
      <c r="T841" s="28" t="n">
        <f aca="false">IFERROR(ISNUMBER(SEARCH("Aplicar",$R841))/(ISNUMBER(SEARCH("Conocer",$R841))+ISNUMBER(SEARCH("Aplicar",$R841))+ISNUMBER(SEARCH("Razonar",$R841))),0)</f>
        <v>0.5</v>
      </c>
      <c r="U841" s="28" t="n">
        <f aca="false">IFERROR(ISNUMBER(SEARCH("Razonar",$R841))/(ISNUMBER(SEARCH("Conocer",$R841))+ISNUMBER(SEARCH("Aplicar",$R841))+ISNUMBER(SEARCH("Razonar",$R841))),0)</f>
        <v>0.5</v>
      </c>
      <c r="V841" s="8" t="s">
        <v>56</v>
      </c>
      <c r="W841" s="8" t="s">
        <v>69</v>
      </c>
    </row>
    <row r="842" customFormat="false" ht="15" hidden="false" customHeight="false" outlineLevel="0" collapsed="false">
      <c r="A842" s="8" t="s">
        <v>3919</v>
      </c>
      <c r="B842" s="8" t="n">
        <v>11</v>
      </c>
      <c r="C842" s="8" t="s">
        <v>91</v>
      </c>
      <c r="D842" s="8" t="s">
        <v>2909</v>
      </c>
      <c r="E842" s="8" t="s">
        <v>3473</v>
      </c>
      <c r="F842" s="8" t="n">
        <v>97</v>
      </c>
      <c r="G842" s="8" t="s">
        <v>3904</v>
      </c>
      <c r="H842" s="8" t="s">
        <v>3915</v>
      </c>
      <c r="I842" s="27" t="s">
        <v>3920</v>
      </c>
      <c r="J842" s="8" t="s">
        <v>291</v>
      </c>
      <c r="K842" s="8" t="s">
        <v>332</v>
      </c>
      <c r="L842" s="8"/>
      <c r="M842" s="8" t="str">
        <f aca="false">IF(K842="FUERA","Fuera del marco",IF(K842="N/A","Sin marco",IFERROR(INDEX(Catalogo_TIMSS!$C$5:$C$105,MATCH(K842,Catalogo_TIMSS!$A$5:$A$105,0)),"Pendiente de clasificar")))</f>
        <v>Ondas y física atómica/nuclear</v>
      </c>
      <c r="N842" s="8" t="str">
        <f aca="false">IF(K842="FUERA","Fuera del marco",IF(K842="N/A","Sin marco",IFERROR(INDEX(Catalogo_TIMSS!$F$5:$F$105,MATCH(K842,Catalogo_TIMSS!$A$5:$A$105,0)),"Pendiente de clasificar")))</f>
        <v>Fenómenos ondulatorios</v>
      </c>
      <c r="O842" s="8" t="str">
        <f aca="false">IF(L842="","",IFERROR(INDEX(Catalogo_TIMSS!$C$5:$C$105,MATCH(L842,Catalogo_TIMSS!$A$5:$A$105,0)),"?"))</f>
        <v/>
      </c>
      <c r="P842" s="8" t="s">
        <v>460</v>
      </c>
      <c r="Q842" s="27" t="s">
        <v>3921</v>
      </c>
      <c r="R842" s="27" t="s">
        <v>3922</v>
      </c>
      <c r="S842" s="28" t="n">
        <f aca="false">IFERROR(ISNUMBER(SEARCH("Conocer",$R842))/(ISNUMBER(SEARCH("Conocer",$R842))+ISNUMBER(SEARCH("Aplicar",$R842))+ISNUMBER(SEARCH("Razonar",$R842))),0)</f>
        <v>0</v>
      </c>
      <c r="T842" s="28" t="n">
        <f aca="false">IFERROR(ISNUMBER(SEARCH("Aplicar",$R842))/(ISNUMBER(SEARCH("Conocer",$R842))+ISNUMBER(SEARCH("Aplicar",$R842))+ISNUMBER(SEARCH("Razonar",$R842))),0)</f>
        <v>0.5</v>
      </c>
      <c r="U842" s="28" t="n">
        <f aca="false">IFERROR(ISNUMBER(SEARCH("Razonar",$R842))/(ISNUMBER(SEARCH("Conocer",$R842))+ISNUMBER(SEARCH("Aplicar",$R842))+ISNUMBER(SEARCH("Razonar",$R842))),0)</f>
        <v>0.5</v>
      </c>
      <c r="V842" s="8" t="s">
        <v>56</v>
      </c>
      <c r="W842" s="8" t="s">
        <v>69</v>
      </c>
    </row>
    <row r="843" customFormat="false" ht="15" hidden="false" customHeight="false" outlineLevel="0" collapsed="false">
      <c r="A843" s="8" t="s">
        <v>3923</v>
      </c>
      <c r="B843" s="8" t="n">
        <v>11</v>
      </c>
      <c r="C843" s="8" t="s">
        <v>91</v>
      </c>
      <c r="D843" s="8" t="s">
        <v>2909</v>
      </c>
      <c r="E843" s="8" t="s">
        <v>3473</v>
      </c>
      <c r="F843" s="8" t="n">
        <v>98</v>
      </c>
      <c r="G843" s="8" t="s">
        <v>3904</v>
      </c>
      <c r="H843" s="8" t="s">
        <v>3924</v>
      </c>
      <c r="I843" s="27" t="s">
        <v>3925</v>
      </c>
      <c r="J843" s="8" t="s">
        <v>291</v>
      </c>
      <c r="K843" s="8" t="s">
        <v>332</v>
      </c>
      <c r="L843" s="8"/>
      <c r="M843" s="8" t="str">
        <f aca="false">IF(K843="FUERA","Fuera del marco",IF(K843="N/A","Sin marco",IFERROR(INDEX(Catalogo_TIMSS!$C$5:$C$105,MATCH(K843,Catalogo_TIMSS!$A$5:$A$105,0)),"Pendiente de clasificar")))</f>
        <v>Ondas y física atómica/nuclear</v>
      </c>
      <c r="N843" s="8" t="str">
        <f aca="false">IF(K843="FUERA","Fuera del marco",IF(K843="N/A","Sin marco",IFERROR(INDEX(Catalogo_TIMSS!$F$5:$F$105,MATCH(K843,Catalogo_TIMSS!$A$5:$A$105,0)),"Pendiente de clasificar")))</f>
        <v>Fenómenos ondulatorios</v>
      </c>
      <c r="O843" s="8" t="str">
        <f aca="false">IF(L843="","",IFERROR(INDEX(Catalogo_TIMSS!$C$5:$C$105,MATCH(L843,Catalogo_TIMSS!$A$5:$A$105,0)),"?"))</f>
        <v/>
      </c>
      <c r="P843" s="8" t="s">
        <v>460</v>
      </c>
      <c r="Q843" s="27" t="s">
        <v>3926</v>
      </c>
      <c r="R843" s="27" t="s">
        <v>3927</v>
      </c>
      <c r="S843" s="28" t="n">
        <f aca="false">IFERROR(ISNUMBER(SEARCH("Conocer",$R843))/(ISNUMBER(SEARCH("Conocer",$R843))+ISNUMBER(SEARCH("Aplicar",$R843))+ISNUMBER(SEARCH("Razonar",$R843))),0)</f>
        <v>0</v>
      </c>
      <c r="T843" s="28" t="n">
        <f aca="false">IFERROR(ISNUMBER(SEARCH("Aplicar",$R843))/(ISNUMBER(SEARCH("Conocer",$R843))+ISNUMBER(SEARCH("Aplicar",$R843))+ISNUMBER(SEARCH("Razonar",$R843))),0)</f>
        <v>0.5</v>
      </c>
      <c r="U843" s="28" t="n">
        <f aca="false">IFERROR(ISNUMBER(SEARCH("Razonar",$R843))/(ISNUMBER(SEARCH("Conocer",$R843))+ISNUMBER(SEARCH("Aplicar",$R843))+ISNUMBER(SEARCH("Razonar",$R843))),0)</f>
        <v>0.5</v>
      </c>
      <c r="V843" s="8" t="s">
        <v>56</v>
      </c>
      <c r="W843" s="8" t="s">
        <v>69</v>
      </c>
    </row>
    <row r="844" customFormat="false" ht="15" hidden="false" customHeight="false" outlineLevel="0" collapsed="false">
      <c r="A844" s="8" t="s">
        <v>3928</v>
      </c>
      <c r="B844" s="8" t="n">
        <v>11</v>
      </c>
      <c r="C844" s="8" t="s">
        <v>91</v>
      </c>
      <c r="D844" s="8" t="s">
        <v>2909</v>
      </c>
      <c r="E844" s="8" t="s">
        <v>3473</v>
      </c>
      <c r="F844" s="8" t="n">
        <v>99</v>
      </c>
      <c r="G844" s="8" t="s">
        <v>3929</v>
      </c>
      <c r="H844" s="8" t="s">
        <v>3930</v>
      </c>
      <c r="I844" s="27" t="s">
        <v>3931</v>
      </c>
      <c r="J844" s="8" t="s">
        <v>291</v>
      </c>
      <c r="K844" s="8" t="s">
        <v>332</v>
      </c>
      <c r="L844" s="8" t="s">
        <v>328</v>
      </c>
      <c r="M844" s="8" t="str">
        <f aca="false">IF(K844="FUERA","Fuera del marco",IF(K844="N/A","Sin marco",IFERROR(INDEX(Catalogo_TIMSS!$C$5:$C$105,MATCH(K844,Catalogo_TIMSS!$A$5:$A$105,0)),"Pendiente de clasificar")))</f>
        <v>Ondas y física atómica/nuclear</v>
      </c>
      <c r="N844" s="8" t="str">
        <f aca="false">IF(K844="FUERA","Fuera del marco",IF(K844="N/A","Sin marco",IFERROR(INDEX(Catalogo_TIMSS!$F$5:$F$105,MATCH(K844,Catalogo_TIMSS!$A$5:$A$105,0)),"Pendiente de clasificar")))</f>
        <v>Fenómenos ondulatorios</v>
      </c>
      <c r="O844" s="8" t="str">
        <f aca="false">IF(L844="","",IFERROR(INDEX(Catalogo_TIMSS!$C$5:$C$105,MATCH(L844,Catalogo_TIMSS!$A$5:$A$105,0)),"?"))</f>
        <v>Ondas y física atómica/nuclear</v>
      </c>
      <c r="P844" s="8" t="s">
        <v>460</v>
      </c>
      <c r="Q844" s="27" t="s">
        <v>3932</v>
      </c>
      <c r="R844" s="27" t="s">
        <v>3933</v>
      </c>
      <c r="S844" s="28" t="n">
        <f aca="false">IFERROR(ISNUMBER(SEARCH("Conocer",$R844))/(ISNUMBER(SEARCH("Conocer",$R844))+ISNUMBER(SEARCH("Aplicar",$R844))+ISNUMBER(SEARCH("Razonar",$R844))),0)</f>
        <v>0</v>
      </c>
      <c r="T844" s="28" t="n">
        <f aca="false">IFERROR(ISNUMBER(SEARCH("Aplicar",$R844))/(ISNUMBER(SEARCH("Conocer",$R844))+ISNUMBER(SEARCH("Aplicar",$R844))+ISNUMBER(SEARCH("Razonar",$R844))),0)</f>
        <v>0.5</v>
      </c>
      <c r="U844" s="28" t="n">
        <f aca="false">IFERROR(ISNUMBER(SEARCH("Razonar",$R844))/(ISNUMBER(SEARCH("Conocer",$R844))+ISNUMBER(SEARCH("Aplicar",$R844))+ISNUMBER(SEARCH("Razonar",$R844))),0)</f>
        <v>0.5</v>
      </c>
      <c r="V844" s="8" t="s">
        <v>56</v>
      </c>
      <c r="W844" s="8" t="s">
        <v>69</v>
      </c>
    </row>
    <row r="845" customFormat="false" ht="15" hidden="false" customHeight="false" outlineLevel="0" collapsed="false">
      <c r="A845" s="8" t="s">
        <v>3934</v>
      </c>
      <c r="B845" s="8" t="n">
        <v>11</v>
      </c>
      <c r="C845" s="8" t="s">
        <v>91</v>
      </c>
      <c r="D845" s="8" t="s">
        <v>2909</v>
      </c>
      <c r="E845" s="8" t="s">
        <v>3473</v>
      </c>
      <c r="F845" s="8" t="n">
        <v>100</v>
      </c>
      <c r="G845" s="8" t="s">
        <v>3929</v>
      </c>
      <c r="H845" s="8" t="s">
        <v>3935</v>
      </c>
      <c r="I845" s="27" t="s">
        <v>3936</v>
      </c>
      <c r="J845" s="8" t="s">
        <v>291</v>
      </c>
      <c r="K845" s="8" t="s">
        <v>332</v>
      </c>
      <c r="L845" s="8"/>
      <c r="M845" s="8" t="str">
        <f aca="false">IF(K845="FUERA","Fuera del marco",IF(K845="N/A","Sin marco",IFERROR(INDEX(Catalogo_TIMSS!$C$5:$C$105,MATCH(K845,Catalogo_TIMSS!$A$5:$A$105,0)),"Pendiente de clasificar")))</f>
        <v>Ondas y física atómica/nuclear</v>
      </c>
      <c r="N845" s="8" t="str">
        <f aca="false">IF(K845="FUERA","Fuera del marco",IF(K845="N/A","Sin marco",IFERROR(INDEX(Catalogo_TIMSS!$F$5:$F$105,MATCH(K845,Catalogo_TIMSS!$A$5:$A$105,0)),"Pendiente de clasificar")))</f>
        <v>Fenómenos ondulatorios</v>
      </c>
      <c r="O845" s="8" t="str">
        <f aca="false">IF(L845="","",IFERROR(INDEX(Catalogo_TIMSS!$C$5:$C$105,MATCH(L845,Catalogo_TIMSS!$A$5:$A$105,0)),"?"))</f>
        <v/>
      </c>
      <c r="P845" s="8" t="s">
        <v>460</v>
      </c>
      <c r="Q845" s="27" t="s">
        <v>3937</v>
      </c>
      <c r="R845" s="27" t="s">
        <v>3938</v>
      </c>
      <c r="S845" s="28" t="n">
        <f aca="false">IFERROR(ISNUMBER(SEARCH("Conocer",$R845))/(ISNUMBER(SEARCH("Conocer",$R845))+ISNUMBER(SEARCH("Aplicar",$R845))+ISNUMBER(SEARCH("Razonar",$R845))),0)</f>
        <v>0.5</v>
      </c>
      <c r="T845" s="28" t="n">
        <f aca="false">IFERROR(ISNUMBER(SEARCH("Aplicar",$R845))/(ISNUMBER(SEARCH("Conocer",$R845))+ISNUMBER(SEARCH("Aplicar",$R845))+ISNUMBER(SEARCH("Razonar",$R845))),0)</f>
        <v>0.5</v>
      </c>
      <c r="U845" s="28" t="n">
        <f aca="false">IFERROR(ISNUMBER(SEARCH("Razonar",$R845))/(ISNUMBER(SEARCH("Conocer",$R845))+ISNUMBER(SEARCH("Aplicar",$R845))+ISNUMBER(SEARCH("Razonar",$R845))),0)</f>
        <v>0</v>
      </c>
      <c r="V845" s="8" t="s">
        <v>56</v>
      </c>
      <c r="W845" s="8" t="s">
        <v>69</v>
      </c>
    </row>
    <row r="846" customFormat="false" ht="15" hidden="false" customHeight="false" outlineLevel="0" collapsed="false">
      <c r="A846" s="8" t="s">
        <v>3939</v>
      </c>
      <c r="B846" s="8" t="n">
        <v>11</v>
      </c>
      <c r="C846" s="8" t="s">
        <v>91</v>
      </c>
      <c r="D846" s="8" t="s">
        <v>2909</v>
      </c>
      <c r="E846" s="8" t="s">
        <v>3473</v>
      </c>
      <c r="F846" s="8" t="n">
        <v>101</v>
      </c>
      <c r="G846" s="8" t="s">
        <v>3929</v>
      </c>
      <c r="H846" s="8" t="s">
        <v>3935</v>
      </c>
      <c r="I846" s="27" t="s">
        <v>3940</v>
      </c>
      <c r="J846" s="8" t="s">
        <v>291</v>
      </c>
      <c r="K846" s="8" t="s">
        <v>332</v>
      </c>
      <c r="L846" s="8"/>
      <c r="M846" s="8" t="str">
        <f aca="false">IF(K846="FUERA","Fuera del marco",IF(K846="N/A","Sin marco",IFERROR(INDEX(Catalogo_TIMSS!$C$5:$C$105,MATCH(K846,Catalogo_TIMSS!$A$5:$A$105,0)),"Pendiente de clasificar")))</f>
        <v>Ondas y física atómica/nuclear</v>
      </c>
      <c r="N846" s="8" t="str">
        <f aca="false">IF(K846="FUERA","Fuera del marco",IF(K846="N/A","Sin marco",IFERROR(INDEX(Catalogo_TIMSS!$F$5:$F$105,MATCH(K846,Catalogo_TIMSS!$A$5:$A$105,0)),"Pendiente de clasificar")))</f>
        <v>Fenómenos ondulatorios</v>
      </c>
      <c r="O846" s="8" t="str">
        <f aca="false">IF(L846="","",IFERROR(INDEX(Catalogo_TIMSS!$C$5:$C$105,MATCH(L846,Catalogo_TIMSS!$A$5:$A$105,0)),"?"))</f>
        <v/>
      </c>
      <c r="P846" s="8" t="s">
        <v>460</v>
      </c>
      <c r="Q846" s="27" t="s">
        <v>3941</v>
      </c>
      <c r="R846" s="27" t="s">
        <v>3942</v>
      </c>
      <c r="S846" s="28" t="n">
        <f aca="false">IFERROR(ISNUMBER(SEARCH("Conocer",$R846))/(ISNUMBER(SEARCH("Conocer",$R846))+ISNUMBER(SEARCH("Aplicar",$R846))+ISNUMBER(SEARCH("Razonar",$R846))),0)</f>
        <v>0</v>
      </c>
      <c r="T846" s="28" t="n">
        <f aca="false">IFERROR(ISNUMBER(SEARCH("Aplicar",$R846))/(ISNUMBER(SEARCH("Conocer",$R846))+ISNUMBER(SEARCH("Aplicar",$R846))+ISNUMBER(SEARCH("Razonar",$R846))),0)</f>
        <v>0.5</v>
      </c>
      <c r="U846" s="28" t="n">
        <f aca="false">IFERROR(ISNUMBER(SEARCH("Razonar",$R846))/(ISNUMBER(SEARCH("Conocer",$R846))+ISNUMBER(SEARCH("Aplicar",$R846))+ISNUMBER(SEARCH("Razonar",$R846))),0)</f>
        <v>0.5</v>
      </c>
      <c r="V846" s="8" t="s">
        <v>56</v>
      </c>
      <c r="W846" s="8" t="s">
        <v>69</v>
      </c>
    </row>
    <row r="847" customFormat="false" ht="15" hidden="false" customHeight="false" outlineLevel="0" collapsed="false">
      <c r="A847" s="8" t="s">
        <v>3943</v>
      </c>
      <c r="B847" s="8" t="n">
        <v>11</v>
      </c>
      <c r="C847" s="8" t="s">
        <v>91</v>
      </c>
      <c r="D847" s="8" t="s">
        <v>2909</v>
      </c>
      <c r="E847" s="8" t="s">
        <v>3473</v>
      </c>
      <c r="F847" s="8" t="n">
        <v>102</v>
      </c>
      <c r="G847" s="8" t="s">
        <v>3929</v>
      </c>
      <c r="H847" s="8" t="s">
        <v>3944</v>
      </c>
      <c r="I847" s="27" t="s">
        <v>3945</v>
      </c>
      <c r="J847" s="8" t="s">
        <v>291</v>
      </c>
      <c r="K847" s="8" t="s">
        <v>332</v>
      </c>
      <c r="L847" s="8"/>
      <c r="M847" s="8" t="str">
        <f aca="false">IF(K847="FUERA","Fuera del marco",IF(K847="N/A","Sin marco",IFERROR(INDEX(Catalogo_TIMSS!$C$5:$C$105,MATCH(K847,Catalogo_TIMSS!$A$5:$A$105,0)),"Pendiente de clasificar")))</f>
        <v>Ondas y física atómica/nuclear</v>
      </c>
      <c r="N847" s="8" t="str">
        <f aca="false">IF(K847="FUERA","Fuera del marco",IF(K847="N/A","Sin marco",IFERROR(INDEX(Catalogo_TIMSS!$F$5:$F$105,MATCH(K847,Catalogo_TIMSS!$A$5:$A$105,0)),"Pendiente de clasificar")))</f>
        <v>Fenómenos ondulatorios</v>
      </c>
      <c r="O847" s="8" t="str">
        <f aca="false">IF(L847="","",IFERROR(INDEX(Catalogo_TIMSS!$C$5:$C$105,MATCH(L847,Catalogo_TIMSS!$A$5:$A$105,0)),"?"))</f>
        <v/>
      </c>
      <c r="P847" s="8" t="s">
        <v>460</v>
      </c>
      <c r="Q847" s="27" t="s">
        <v>3946</v>
      </c>
      <c r="R847" s="27" t="s">
        <v>3947</v>
      </c>
      <c r="S847" s="28" t="n">
        <f aca="false">IFERROR(ISNUMBER(SEARCH("Conocer",$R847))/(ISNUMBER(SEARCH("Conocer",$R847))+ISNUMBER(SEARCH("Aplicar",$R847))+ISNUMBER(SEARCH("Razonar",$R847))),0)</f>
        <v>0</v>
      </c>
      <c r="T847" s="28" t="n">
        <f aca="false">IFERROR(ISNUMBER(SEARCH("Aplicar",$R847))/(ISNUMBER(SEARCH("Conocer",$R847))+ISNUMBER(SEARCH("Aplicar",$R847))+ISNUMBER(SEARCH("Razonar",$R847))),0)</f>
        <v>0.5</v>
      </c>
      <c r="U847" s="28" t="n">
        <f aca="false">IFERROR(ISNUMBER(SEARCH("Razonar",$R847))/(ISNUMBER(SEARCH("Conocer",$R847))+ISNUMBER(SEARCH("Aplicar",$R847))+ISNUMBER(SEARCH("Razonar",$R847))),0)</f>
        <v>0.5</v>
      </c>
      <c r="V847" s="8" t="s">
        <v>56</v>
      </c>
      <c r="W847" s="8" t="s">
        <v>69</v>
      </c>
    </row>
    <row r="848" customFormat="false" ht="15" hidden="false" customHeight="false" outlineLevel="0" collapsed="false">
      <c r="A848" s="8" t="s">
        <v>3948</v>
      </c>
      <c r="B848" s="8" t="n">
        <v>11</v>
      </c>
      <c r="C848" s="8" t="s">
        <v>91</v>
      </c>
      <c r="D848" s="8" t="s">
        <v>2909</v>
      </c>
      <c r="E848" s="8" t="s">
        <v>3473</v>
      </c>
      <c r="F848" s="8" t="n">
        <v>103</v>
      </c>
      <c r="G848" s="8" t="s">
        <v>3929</v>
      </c>
      <c r="H848" s="8" t="s">
        <v>3949</v>
      </c>
      <c r="I848" s="27" t="s">
        <v>3950</v>
      </c>
      <c r="J848" s="8" t="s">
        <v>291</v>
      </c>
      <c r="K848" s="8" t="s">
        <v>332</v>
      </c>
      <c r="L848" s="8"/>
      <c r="M848" s="8" t="str">
        <f aca="false">IF(K848="FUERA","Fuera del marco",IF(K848="N/A","Sin marco",IFERROR(INDEX(Catalogo_TIMSS!$C$5:$C$105,MATCH(K848,Catalogo_TIMSS!$A$5:$A$105,0)),"Pendiente de clasificar")))</f>
        <v>Ondas y física atómica/nuclear</v>
      </c>
      <c r="N848" s="8" t="str">
        <f aca="false">IF(K848="FUERA","Fuera del marco",IF(K848="N/A","Sin marco",IFERROR(INDEX(Catalogo_TIMSS!$F$5:$F$105,MATCH(K848,Catalogo_TIMSS!$A$5:$A$105,0)),"Pendiente de clasificar")))</f>
        <v>Fenómenos ondulatorios</v>
      </c>
      <c r="O848" s="8" t="str">
        <f aca="false">IF(L848="","",IFERROR(INDEX(Catalogo_TIMSS!$C$5:$C$105,MATCH(L848,Catalogo_TIMSS!$A$5:$A$105,0)),"?"))</f>
        <v/>
      </c>
      <c r="P848" s="8" t="s">
        <v>460</v>
      </c>
      <c r="Q848" s="27" t="s">
        <v>3951</v>
      </c>
      <c r="R848" s="27" t="s">
        <v>3952</v>
      </c>
      <c r="S848" s="28" t="n">
        <f aca="false">IFERROR(ISNUMBER(SEARCH("Conocer",$R848))/(ISNUMBER(SEARCH("Conocer",$R848))+ISNUMBER(SEARCH("Aplicar",$R848))+ISNUMBER(SEARCH("Razonar",$R848))),0)</f>
        <v>0</v>
      </c>
      <c r="T848" s="28" t="n">
        <f aca="false">IFERROR(ISNUMBER(SEARCH("Aplicar",$R848))/(ISNUMBER(SEARCH("Conocer",$R848))+ISNUMBER(SEARCH("Aplicar",$R848))+ISNUMBER(SEARCH("Razonar",$R848))),0)</f>
        <v>0.5</v>
      </c>
      <c r="U848" s="28" t="n">
        <f aca="false">IFERROR(ISNUMBER(SEARCH("Razonar",$R848))/(ISNUMBER(SEARCH("Conocer",$R848))+ISNUMBER(SEARCH("Aplicar",$R848))+ISNUMBER(SEARCH("Razonar",$R848))),0)</f>
        <v>0.5</v>
      </c>
      <c r="V848" s="8" t="s">
        <v>56</v>
      </c>
      <c r="W848" s="8" t="s">
        <v>69</v>
      </c>
    </row>
    <row r="849" customFormat="false" ht="15" hidden="false" customHeight="false" outlineLevel="0" collapsed="false">
      <c r="A849" s="8" t="s">
        <v>3953</v>
      </c>
      <c r="B849" s="8" t="n">
        <v>11</v>
      </c>
      <c r="C849" s="8" t="s">
        <v>91</v>
      </c>
      <c r="D849" s="8" t="s">
        <v>2909</v>
      </c>
      <c r="E849" s="8" t="s">
        <v>3473</v>
      </c>
      <c r="F849" s="8" t="n">
        <v>104</v>
      </c>
      <c r="G849" s="8" t="s">
        <v>3929</v>
      </c>
      <c r="H849" s="8" t="s">
        <v>3954</v>
      </c>
      <c r="I849" s="27" t="s">
        <v>3955</v>
      </c>
      <c r="J849" s="8" t="s">
        <v>291</v>
      </c>
      <c r="K849" s="8" t="s">
        <v>332</v>
      </c>
      <c r="L849" s="8"/>
      <c r="M849" s="8" t="str">
        <f aca="false">IF(K849="FUERA","Fuera del marco",IF(K849="N/A","Sin marco",IFERROR(INDEX(Catalogo_TIMSS!$C$5:$C$105,MATCH(K849,Catalogo_TIMSS!$A$5:$A$105,0)),"Pendiente de clasificar")))</f>
        <v>Ondas y física atómica/nuclear</v>
      </c>
      <c r="N849" s="8" t="str">
        <f aca="false">IF(K849="FUERA","Fuera del marco",IF(K849="N/A","Sin marco",IFERROR(INDEX(Catalogo_TIMSS!$F$5:$F$105,MATCH(K849,Catalogo_TIMSS!$A$5:$A$105,0)),"Pendiente de clasificar")))</f>
        <v>Fenómenos ondulatorios</v>
      </c>
      <c r="O849" s="8" t="str">
        <f aca="false">IF(L849="","",IFERROR(INDEX(Catalogo_TIMSS!$C$5:$C$105,MATCH(L849,Catalogo_TIMSS!$A$5:$A$105,0)),"?"))</f>
        <v/>
      </c>
      <c r="P849" s="8" t="s">
        <v>460</v>
      </c>
      <c r="Q849" s="27" t="s">
        <v>3956</v>
      </c>
      <c r="R849" s="27" t="s">
        <v>3957</v>
      </c>
      <c r="S849" s="28" t="n">
        <f aca="false">IFERROR(ISNUMBER(SEARCH("Conocer",$R849))/(ISNUMBER(SEARCH("Conocer",$R849))+ISNUMBER(SEARCH("Aplicar",$R849))+ISNUMBER(SEARCH("Razonar",$R849))),0)</f>
        <v>0</v>
      </c>
      <c r="T849" s="28" t="n">
        <f aca="false">IFERROR(ISNUMBER(SEARCH("Aplicar",$R849))/(ISNUMBER(SEARCH("Conocer",$R849))+ISNUMBER(SEARCH("Aplicar",$R849))+ISNUMBER(SEARCH("Razonar",$R849))),0)</f>
        <v>0.5</v>
      </c>
      <c r="U849" s="28" t="n">
        <f aca="false">IFERROR(ISNUMBER(SEARCH("Razonar",$R849))/(ISNUMBER(SEARCH("Conocer",$R849))+ISNUMBER(SEARCH("Aplicar",$R849))+ISNUMBER(SEARCH("Razonar",$R849))),0)</f>
        <v>0.5</v>
      </c>
      <c r="V849" s="8" t="s">
        <v>56</v>
      </c>
      <c r="W849" s="8" t="s">
        <v>69</v>
      </c>
    </row>
    <row r="850" customFormat="false" ht="15" hidden="false" customHeight="false" outlineLevel="0" collapsed="false">
      <c r="A850" s="8" t="s">
        <v>3958</v>
      </c>
      <c r="B850" s="8" t="n">
        <v>11</v>
      </c>
      <c r="C850" s="8" t="s">
        <v>91</v>
      </c>
      <c r="D850" s="8" t="s">
        <v>2909</v>
      </c>
      <c r="E850" s="8" t="s">
        <v>3473</v>
      </c>
      <c r="F850" s="8" t="n">
        <v>105</v>
      </c>
      <c r="G850" s="8" t="s">
        <v>3929</v>
      </c>
      <c r="H850" s="8" t="s">
        <v>3959</v>
      </c>
      <c r="I850" s="27" t="s">
        <v>3960</v>
      </c>
      <c r="J850" s="8" t="s">
        <v>291</v>
      </c>
      <c r="K850" s="8" t="s">
        <v>332</v>
      </c>
      <c r="L850" s="8"/>
      <c r="M850" s="8" t="str">
        <f aca="false">IF(K850="FUERA","Fuera del marco",IF(K850="N/A","Sin marco",IFERROR(INDEX(Catalogo_TIMSS!$C$5:$C$105,MATCH(K850,Catalogo_TIMSS!$A$5:$A$105,0)),"Pendiente de clasificar")))</f>
        <v>Ondas y física atómica/nuclear</v>
      </c>
      <c r="N850" s="8" t="str">
        <f aca="false">IF(K850="FUERA","Fuera del marco",IF(K850="N/A","Sin marco",IFERROR(INDEX(Catalogo_TIMSS!$F$5:$F$105,MATCH(K850,Catalogo_TIMSS!$A$5:$A$105,0)),"Pendiente de clasificar")))</f>
        <v>Fenómenos ondulatorios</v>
      </c>
      <c r="O850" s="8" t="str">
        <f aca="false">IF(L850="","",IFERROR(INDEX(Catalogo_TIMSS!$C$5:$C$105,MATCH(L850,Catalogo_TIMSS!$A$5:$A$105,0)),"?"))</f>
        <v/>
      </c>
      <c r="P850" s="8" t="s">
        <v>460</v>
      </c>
      <c r="Q850" s="27" t="s">
        <v>3961</v>
      </c>
      <c r="R850" s="27" t="s">
        <v>3962</v>
      </c>
      <c r="S850" s="28" t="n">
        <f aca="false">IFERROR(ISNUMBER(SEARCH("Conocer",$R850))/(ISNUMBER(SEARCH("Conocer",$R850))+ISNUMBER(SEARCH("Aplicar",$R850))+ISNUMBER(SEARCH("Razonar",$R850))),0)</f>
        <v>0</v>
      </c>
      <c r="T850" s="28" t="n">
        <f aca="false">IFERROR(ISNUMBER(SEARCH("Aplicar",$R850))/(ISNUMBER(SEARCH("Conocer",$R850))+ISNUMBER(SEARCH("Aplicar",$R850))+ISNUMBER(SEARCH("Razonar",$R850))),0)</f>
        <v>0.5</v>
      </c>
      <c r="U850" s="28" t="n">
        <f aca="false">IFERROR(ISNUMBER(SEARCH("Razonar",$R850))/(ISNUMBER(SEARCH("Conocer",$R850))+ISNUMBER(SEARCH("Aplicar",$R850))+ISNUMBER(SEARCH("Razonar",$R850))),0)</f>
        <v>0.5</v>
      </c>
      <c r="V850" s="8" t="s">
        <v>56</v>
      </c>
      <c r="W850" s="8" t="s">
        <v>69</v>
      </c>
    </row>
    <row r="851" customFormat="false" ht="15" hidden="false" customHeight="false" outlineLevel="0" collapsed="false">
      <c r="A851" s="8" t="s">
        <v>3963</v>
      </c>
      <c r="B851" s="8" t="n">
        <v>11</v>
      </c>
      <c r="C851" s="8" t="s">
        <v>91</v>
      </c>
      <c r="D851" s="8" t="s">
        <v>2909</v>
      </c>
      <c r="E851" s="8" t="s">
        <v>3473</v>
      </c>
      <c r="F851" s="8" t="n">
        <v>106</v>
      </c>
      <c r="G851" s="8" t="s">
        <v>3929</v>
      </c>
      <c r="H851" s="8" t="s">
        <v>3959</v>
      </c>
      <c r="I851" s="27" t="s">
        <v>3964</v>
      </c>
      <c r="J851" s="8" t="s">
        <v>291</v>
      </c>
      <c r="K851" s="8" t="s">
        <v>332</v>
      </c>
      <c r="L851" s="8"/>
      <c r="M851" s="8" t="str">
        <f aca="false">IF(K851="FUERA","Fuera del marco",IF(K851="N/A","Sin marco",IFERROR(INDEX(Catalogo_TIMSS!$C$5:$C$105,MATCH(K851,Catalogo_TIMSS!$A$5:$A$105,0)),"Pendiente de clasificar")))</f>
        <v>Ondas y física atómica/nuclear</v>
      </c>
      <c r="N851" s="8" t="str">
        <f aca="false">IF(K851="FUERA","Fuera del marco",IF(K851="N/A","Sin marco",IFERROR(INDEX(Catalogo_TIMSS!$F$5:$F$105,MATCH(K851,Catalogo_TIMSS!$A$5:$A$105,0)),"Pendiente de clasificar")))</f>
        <v>Fenómenos ondulatorios</v>
      </c>
      <c r="O851" s="8" t="str">
        <f aca="false">IF(L851="","",IFERROR(INDEX(Catalogo_TIMSS!$C$5:$C$105,MATCH(L851,Catalogo_TIMSS!$A$5:$A$105,0)),"?"))</f>
        <v/>
      </c>
      <c r="P851" s="8" t="s">
        <v>460</v>
      </c>
      <c r="Q851" s="27" t="s">
        <v>3965</v>
      </c>
      <c r="R851" s="27" t="s">
        <v>3966</v>
      </c>
      <c r="S851" s="28" t="n">
        <f aca="false">IFERROR(ISNUMBER(SEARCH("Conocer",$R851))/(ISNUMBER(SEARCH("Conocer",$R851))+ISNUMBER(SEARCH("Aplicar",$R851))+ISNUMBER(SEARCH("Razonar",$R851))),0)</f>
        <v>0</v>
      </c>
      <c r="T851" s="28" t="n">
        <f aca="false">IFERROR(ISNUMBER(SEARCH("Aplicar",$R851))/(ISNUMBER(SEARCH("Conocer",$R851))+ISNUMBER(SEARCH("Aplicar",$R851))+ISNUMBER(SEARCH("Razonar",$R851))),0)</f>
        <v>0.5</v>
      </c>
      <c r="U851" s="28" t="n">
        <f aca="false">IFERROR(ISNUMBER(SEARCH("Razonar",$R851))/(ISNUMBER(SEARCH("Conocer",$R851))+ISNUMBER(SEARCH("Aplicar",$R851))+ISNUMBER(SEARCH("Razonar",$R851))),0)</f>
        <v>0.5</v>
      </c>
      <c r="V851" s="8" t="s">
        <v>56</v>
      </c>
      <c r="W851" s="8" t="s">
        <v>69</v>
      </c>
    </row>
    <row r="852" customFormat="false" ht="15" hidden="false" customHeight="false" outlineLevel="0" collapsed="false">
      <c r="A852" s="8" t="s">
        <v>3967</v>
      </c>
      <c r="B852" s="8" t="n">
        <v>11</v>
      </c>
      <c r="C852" s="8" t="s">
        <v>91</v>
      </c>
      <c r="D852" s="8" t="s">
        <v>2909</v>
      </c>
      <c r="E852" s="8" t="s">
        <v>3473</v>
      </c>
      <c r="F852" s="8" t="n">
        <v>107</v>
      </c>
      <c r="G852" s="8" t="s">
        <v>3929</v>
      </c>
      <c r="H852" s="8" t="s">
        <v>3959</v>
      </c>
      <c r="I852" s="27" t="s">
        <v>3968</v>
      </c>
      <c r="J852" s="8" t="s">
        <v>291</v>
      </c>
      <c r="K852" s="8" t="s">
        <v>332</v>
      </c>
      <c r="L852" s="8"/>
      <c r="M852" s="8" t="str">
        <f aca="false">IF(K852="FUERA","Fuera del marco",IF(K852="N/A","Sin marco",IFERROR(INDEX(Catalogo_TIMSS!$C$5:$C$105,MATCH(K852,Catalogo_TIMSS!$A$5:$A$105,0)),"Pendiente de clasificar")))</f>
        <v>Ondas y física atómica/nuclear</v>
      </c>
      <c r="N852" s="8" t="str">
        <f aca="false">IF(K852="FUERA","Fuera del marco",IF(K852="N/A","Sin marco",IFERROR(INDEX(Catalogo_TIMSS!$F$5:$F$105,MATCH(K852,Catalogo_TIMSS!$A$5:$A$105,0)),"Pendiente de clasificar")))</f>
        <v>Fenómenos ondulatorios</v>
      </c>
      <c r="O852" s="8" t="str">
        <f aca="false">IF(L852="","",IFERROR(INDEX(Catalogo_TIMSS!$C$5:$C$105,MATCH(L852,Catalogo_TIMSS!$A$5:$A$105,0)),"?"))</f>
        <v/>
      </c>
      <c r="P852" s="8" t="s">
        <v>460</v>
      </c>
      <c r="Q852" s="27" t="s">
        <v>3969</v>
      </c>
      <c r="R852" s="27" t="s">
        <v>3970</v>
      </c>
      <c r="S852" s="28" t="n">
        <f aca="false">IFERROR(ISNUMBER(SEARCH("Conocer",$R852))/(ISNUMBER(SEARCH("Conocer",$R852))+ISNUMBER(SEARCH("Aplicar",$R852))+ISNUMBER(SEARCH("Razonar",$R852))),0)</f>
        <v>0</v>
      </c>
      <c r="T852" s="28" t="n">
        <f aca="false">IFERROR(ISNUMBER(SEARCH("Aplicar",$R852))/(ISNUMBER(SEARCH("Conocer",$R852))+ISNUMBER(SEARCH("Aplicar",$R852))+ISNUMBER(SEARCH("Razonar",$R852))),0)</f>
        <v>0.5</v>
      </c>
      <c r="U852" s="28" t="n">
        <f aca="false">IFERROR(ISNUMBER(SEARCH("Razonar",$R852))/(ISNUMBER(SEARCH("Conocer",$R852))+ISNUMBER(SEARCH("Aplicar",$R852))+ISNUMBER(SEARCH("Razonar",$R852))),0)</f>
        <v>0.5</v>
      </c>
      <c r="V852" s="8" t="s">
        <v>56</v>
      </c>
      <c r="W852" s="8" t="s">
        <v>69</v>
      </c>
    </row>
    <row r="853" customFormat="false" ht="15" hidden="false" customHeight="false" outlineLevel="0" collapsed="false">
      <c r="A853" s="8" t="s">
        <v>3971</v>
      </c>
      <c r="B853" s="8" t="n">
        <v>11</v>
      </c>
      <c r="C853" s="8" t="s">
        <v>91</v>
      </c>
      <c r="D853" s="8" t="s">
        <v>2909</v>
      </c>
      <c r="E853" s="8" t="s">
        <v>3473</v>
      </c>
      <c r="F853" s="8" t="n">
        <v>108</v>
      </c>
      <c r="G853" s="8" t="s">
        <v>3929</v>
      </c>
      <c r="H853" s="8" t="s">
        <v>3959</v>
      </c>
      <c r="I853" s="27" t="s">
        <v>3972</v>
      </c>
      <c r="J853" s="8" t="s">
        <v>291</v>
      </c>
      <c r="K853" s="8" t="s">
        <v>332</v>
      </c>
      <c r="L853" s="8"/>
      <c r="M853" s="8" t="str">
        <f aca="false">IF(K853="FUERA","Fuera del marco",IF(K853="N/A","Sin marco",IFERROR(INDEX(Catalogo_TIMSS!$C$5:$C$105,MATCH(K853,Catalogo_TIMSS!$A$5:$A$105,0)),"Pendiente de clasificar")))</f>
        <v>Ondas y física atómica/nuclear</v>
      </c>
      <c r="N853" s="8" t="str">
        <f aca="false">IF(K853="FUERA","Fuera del marco",IF(K853="N/A","Sin marco",IFERROR(INDEX(Catalogo_TIMSS!$F$5:$F$105,MATCH(K853,Catalogo_TIMSS!$A$5:$A$105,0)),"Pendiente de clasificar")))</f>
        <v>Fenómenos ondulatorios</v>
      </c>
      <c r="O853" s="8" t="str">
        <f aca="false">IF(L853="","",IFERROR(INDEX(Catalogo_TIMSS!$C$5:$C$105,MATCH(L853,Catalogo_TIMSS!$A$5:$A$105,0)),"?"))</f>
        <v/>
      </c>
      <c r="P853" s="8" t="s">
        <v>513</v>
      </c>
      <c r="Q853" s="27" t="s">
        <v>3973</v>
      </c>
      <c r="R853" s="27" t="s">
        <v>3974</v>
      </c>
      <c r="S853" s="28" t="n">
        <f aca="false">IFERROR(ISNUMBER(SEARCH("Conocer",$R853))/(ISNUMBER(SEARCH("Conocer",$R853))+ISNUMBER(SEARCH("Aplicar",$R853))+ISNUMBER(SEARCH("Razonar",$R853))),0)</f>
        <v>0.5</v>
      </c>
      <c r="T853" s="28" t="n">
        <f aca="false">IFERROR(ISNUMBER(SEARCH("Aplicar",$R853))/(ISNUMBER(SEARCH("Conocer",$R853))+ISNUMBER(SEARCH("Aplicar",$R853))+ISNUMBER(SEARCH("Razonar",$R853))),0)</f>
        <v>0</v>
      </c>
      <c r="U853" s="28" t="n">
        <f aca="false">IFERROR(ISNUMBER(SEARCH("Razonar",$R853))/(ISNUMBER(SEARCH("Conocer",$R853))+ISNUMBER(SEARCH("Aplicar",$R853))+ISNUMBER(SEARCH("Razonar",$R853))),0)</f>
        <v>0.5</v>
      </c>
      <c r="V853" s="8" t="s">
        <v>56</v>
      </c>
      <c r="W853" s="8" t="s">
        <v>69</v>
      </c>
    </row>
    <row r="854" customFormat="false" ht="15" hidden="false" customHeight="false" outlineLevel="0" collapsed="false">
      <c r="A854" s="8" t="s">
        <v>3975</v>
      </c>
      <c r="B854" s="8" t="n">
        <v>11</v>
      </c>
      <c r="C854" s="8" t="s">
        <v>91</v>
      </c>
      <c r="D854" s="8" t="s">
        <v>2909</v>
      </c>
      <c r="E854" s="8" t="s">
        <v>3473</v>
      </c>
      <c r="F854" s="8" t="n">
        <v>109</v>
      </c>
      <c r="G854" s="8" t="s">
        <v>3976</v>
      </c>
      <c r="H854" s="8" t="s">
        <v>3977</v>
      </c>
      <c r="I854" s="27" t="s">
        <v>3978</v>
      </c>
      <c r="J854" s="8" t="s">
        <v>291</v>
      </c>
      <c r="K854" s="8" t="s">
        <v>332</v>
      </c>
      <c r="L854" s="8"/>
      <c r="M854" s="8" t="str">
        <f aca="false">IF(K854="FUERA","Fuera del marco",IF(K854="N/A","Sin marco",IFERROR(INDEX(Catalogo_TIMSS!$C$5:$C$105,MATCH(K854,Catalogo_TIMSS!$A$5:$A$105,0)),"Pendiente de clasificar")))</f>
        <v>Ondas y física atómica/nuclear</v>
      </c>
      <c r="N854" s="8" t="str">
        <f aca="false">IF(K854="FUERA","Fuera del marco",IF(K854="N/A","Sin marco",IFERROR(INDEX(Catalogo_TIMSS!$F$5:$F$105,MATCH(K854,Catalogo_TIMSS!$A$5:$A$105,0)),"Pendiente de clasificar")))</f>
        <v>Fenómenos ondulatorios</v>
      </c>
      <c r="O854" s="8" t="str">
        <f aca="false">IF(L854="","",IFERROR(INDEX(Catalogo_TIMSS!$C$5:$C$105,MATCH(L854,Catalogo_TIMSS!$A$5:$A$105,0)),"?"))</f>
        <v/>
      </c>
      <c r="P854" s="8" t="s">
        <v>418</v>
      </c>
      <c r="Q854" s="27" t="s">
        <v>3979</v>
      </c>
      <c r="R854" s="27" t="s">
        <v>3980</v>
      </c>
      <c r="S854" s="28" t="n">
        <f aca="false">IFERROR(ISNUMBER(SEARCH("Conocer",$R854))/(ISNUMBER(SEARCH("Conocer",$R854))+ISNUMBER(SEARCH("Aplicar",$R854))+ISNUMBER(SEARCH("Razonar",$R854))),0)</f>
        <v>0</v>
      </c>
      <c r="T854" s="28" t="n">
        <f aca="false">IFERROR(ISNUMBER(SEARCH("Aplicar",$R854))/(ISNUMBER(SEARCH("Conocer",$R854))+ISNUMBER(SEARCH("Aplicar",$R854))+ISNUMBER(SEARCH("Razonar",$R854))),0)</f>
        <v>0.5</v>
      </c>
      <c r="U854" s="28" t="n">
        <f aca="false">IFERROR(ISNUMBER(SEARCH("Razonar",$R854))/(ISNUMBER(SEARCH("Conocer",$R854))+ISNUMBER(SEARCH("Aplicar",$R854))+ISNUMBER(SEARCH("Razonar",$R854))),0)</f>
        <v>0.5</v>
      </c>
      <c r="V854" s="8" t="s">
        <v>56</v>
      </c>
      <c r="W854" s="8" t="s">
        <v>69</v>
      </c>
    </row>
    <row r="855" customFormat="false" ht="15" hidden="false" customHeight="false" outlineLevel="0" collapsed="false">
      <c r="A855" s="8" t="s">
        <v>3981</v>
      </c>
      <c r="B855" s="8" t="n">
        <v>11</v>
      </c>
      <c r="C855" s="8" t="s">
        <v>91</v>
      </c>
      <c r="D855" s="8" t="s">
        <v>2909</v>
      </c>
      <c r="E855" s="8" t="s">
        <v>3473</v>
      </c>
      <c r="F855" s="8" t="n">
        <v>110</v>
      </c>
      <c r="G855" s="8" t="s">
        <v>3976</v>
      </c>
      <c r="H855" s="8" t="s">
        <v>3977</v>
      </c>
      <c r="I855" s="27" t="s">
        <v>3982</v>
      </c>
      <c r="J855" s="8" t="s">
        <v>291</v>
      </c>
      <c r="K855" s="8" t="s">
        <v>332</v>
      </c>
      <c r="L855" s="8"/>
      <c r="M855" s="8" t="str">
        <f aca="false">IF(K855="FUERA","Fuera del marco",IF(K855="N/A","Sin marco",IFERROR(INDEX(Catalogo_TIMSS!$C$5:$C$105,MATCH(K855,Catalogo_TIMSS!$A$5:$A$105,0)),"Pendiente de clasificar")))</f>
        <v>Ondas y física atómica/nuclear</v>
      </c>
      <c r="N855" s="8" t="str">
        <f aca="false">IF(K855="FUERA","Fuera del marco",IF(K855="N/A","Sin marco",IFERROR(INDEX(Catalogo_TIMSS!$F$5:$F$105,MATCH(K855,Catalogo_TIMSS!$A$5:$A$105,0)),"Pendiente de clasificar")))</f>
        <v>Fenómenos ondulatorios</v>
      </c>
      <c r="O855" s="8" t="str">
        <f aca="false">IF(L855="","",IFERROR(INDEX(Catalogo_TIMSS!$C$5:$C$105,MATCH(L855,Catalogo_TIMSS!$A$5:$A$105,0)),"?"))</f>
        <v/>
      </c>
      <c r="P855" s="8" t="s">
        <v>418</v>
      </c>
      <c r="Q855" s="27" t="s">
        <v>3983</v>
      </c>
      <c r="R855" s="27" t="s">
        <v>3984</v>
      </c>
      <c r="S855" s="28" t="n">
        <f aca="false">IFERROR(ISNUMBER(SEARCH("Conocer",$R855))/(ISNUMBER(SEARCH("Conocer",$R855))+ISNUMBER(SEARCH("Aplicar",$R855))+ISNUMBER(SEARCH("Razonar",$R855))),0)</f>
        <v>0</v>
      </c>
      <c r="T855" s="28" t="n">
        <f aca="false">IFERROR(ISNUMBER(SEARCH("Aplicar",$R855))/(ISNUMBER(SEARCH("Conocer",$R855))+ISNUMBER(SEARCH("Aplicar",$R855))+ISNUMBER(SEARCH("Razonar",$R855))),0)</f>
        <v>0.5</v>
      </c>
      <c r="U855" s="28" t="n">
        <f aca="false">IFERROR(ISNUMBER(SEARCH("Razonar",$R855))/(ISNUMBER(SEARCH("Conocer",$R855))+ISNUMBER(SEARCH("Aplicar",$R855))+ISNUMBER(SEARCH("Razonar",$R855))),0)</f>
        <v>0.5</v>
      </c>
      <c r="V855" s="8" t="s">
        <v>56</v>
      </c>
      <c r="W855" s="8" t="s">
        <v>69</v>
      </c>
    </row>
    <row r="856" customFormat="false" ht="15" hidden="false" customHeight="false" outlineLevel="0" collapsed="false">
      <c r="A856" s="8" t="s">
        <v>3985</v>
      </c>
      <c r="B856" s="8" t="n">
        <v>11</v>
      </c>
      <c r="C856" s="8" t="s">
        <v>91</v>
      </c>
      <c r="D856" s="8" t="s">
        <v>2909</v>
      </c>
      <c r="E856" s="8" t="s">
        <v>3473</v>
      </c>
      <c r="F856" s="8" t="n">
        <v>111</v>
      </c>
      <c r="G856" s="8" t="s">
        <v>3976</v>
      </c>
      <c r="H856" s="8" t="s">
        <v>3977</v>
      </c>
      <c r="I856" s="27" t="s">
        <v>3986</v>
      </c>
      <c r="J856" s="8" t="s">
        <v>291</v>
      </c>
      <c r="K856" s="8" t="s">
        <v>332</v>
      </c>
      <c r="L856" s="8"/>
      <c r="M856" s="8" t="str">
        <f aca="false">IF(K856="FUERA","Fuera del marco",IF(K856="N/A","Sin marco",IFERROR(INDEX(Catalogo_TIMSS!$C$5:$C$105,MATCH(K856,Catalogo_TIMSS!$A$5:$A$105,0)),"Pendiente de clasificar")))</f>
        <v>Ondas y física atómica/nuclear</v>
      </c>
      <c r="N856" s="8" t="str">
        <f aca="false">IF(K856="FUERA","Fuera del marco",IF(K856="N/A","Sin marco",IFERROR(INDEX(Catalogo_TIMSS!$F$5:$F$105,MATCH(K856,Catalogo_TIMSS!$A$5:$A$105,0)),"Pendiente de clasificar")))</f>
        <v>Fenómenos ondulatorios</v>
      </c>
      <c r="O856" s="8" t="str">
        <f aca="false">IF(L856="","",IFERROR(INDEX(Catalogo_TIMSS!$C$5:$C$105,MATCH(L856,Catalogo_TIMSS!$A$5:$A$105,0)),"?"))</f>
        <v/>
      </c>
      <c r="P856" s="8" t="s">
        <v>418</v>
      </c>
      <c r="Q856" s="27" t="s">
        <v>3987</v>
      </c>
      <c r="R856" s="27" t="s">
        <v>3988</v>
      </c>
      <c r="S856" s="28" t="n">
        <f aca="false">IFERROR(ISNUMBER(SEARCH("Conocer",$R856))/(ISNUMBER(SEARCH("Conocer",$R856))+ISNUMBER(SEARCH("Aplicar",$R856))+ISNUMBER(SEARCH("Razonar",$R856))),0)</f>
        <v>0</v>
      </c>
      <c r="T856" s="28" t="n">
        <f aca="false">IFERROR(ISNUMBER(SEARCH("Aplicar",$R856))/(ISNUMBER(SEARCH("Conocer",$R856))+ISNUMBER(SEARCH("Aplicar",$R856))+ISNUMBER(SEARCH("Razonar",$R856))),0)</f>
        <v>0.5</v>
      </c>
      <c r="U856" s="28" t="n">
        <f aca="false">IFERROR(ISNUMBER(SEARCH("Razonar",$R856))/(ISNUMBER(SEARCH("Conocer",$R856))+ISNUMBER(SEARCH("Aplicar",$R856))+ISNUMBER(SEARCH("Razonar",$R856))),0)</f>
        <v>0.5</v>
      </c>
      <c r="V856" s="8" t="s">
        <v>56</v>
      </c>
      <c r="W856" s="8" t="s">
        <v>69</v>
      </c>
    </row>
    <row r="857" customFormat="false" ht="15" hidden="false" customHeight="false" outlineLevel="0" collapsed="false">
      <c r="A857" s="8" t="s">
        <v>3989</v>
      </c>
      <c r="B857" s="8" t="n">
        <v>11</v>
      </c>
      <c r="C857" s="8" t="s">
        <v>91</v>
      </c>
      <c r="D857" s="8" t="s">
        <v>2909</v>
      </c>
      <c r="E857" s="8" t="s">
        <v>3473</v>
      </c>
      <c r="F857" s="8" t="n">
        <v>112</v>
      </c>
      <c r="G857" s="8" t="s">
        <v>3976</v>
      </c>
      <c r="H857" s="8" t="s">
        <v>3990</v>
      </c>
      <c r="I857" s="27" t="s">
        <v>3991</v>
      </c>
      <c r="J857" s="8" t="s">
        <v>291</v>
      </c>
      <c r="K857" s="8" t="s">
        <v>332</v>
      </c>
      <c r="L857" s="8"/>
      <c r="M857" s="8" t="str">
        <f aca="false">IF(K857="FUERA","Fuera del marco",IF(K857="N/A","Sin marco",IFERROR(INDEX(Catalogo_TIMSS!$C$5:$C$105,MATCH(K857,Catalogo_TIMSS!$A$5:$A$105,0)),"Pendiente de clasificar")))</f>
        <v>Ondas y física atómica/nuclear</v>
      </c>
      <c r="N857" s="8" t="str">
        <f aca="false">IF(K857="FUERA","Fuera del marco",IF(K857="N/A","Sin marco",IFERROR(INDEX(Catalogo_TIMSS!$F$5:$F$105,MATCH(K857,Catalogo_TIMSS!$A$5:$A$105,0)),"Pendiente de clasificar")))</f>
        <v>Fenómenos ondulatorios</v>
      </c>
      <c r="O857" s="8" t="str">
        <f aca="false">IF(L857="","",IFERROR(INDEX(Catalogo_TIMSS!$C$5:$C$105,MATCH(L857,Catalogo_TIMSS!$A$5:$A$105,0)),"?"))</f>
        <v/>
      </c>
      <c r="P857" s="8" t="s">
        <v>418</v>
      </c>
      <c r="Q857" s="27" t="s">
        <v>3992</v>
      </c>
      <c r="R857" s="27" t="s">
        <v>3993</v>
      </c>
      <c r="S857" s="28" t="n">
        <f aca="false">IFERROR(ISNUMBER(SEARCH("Conocer",$R857))/(ISNUMBER(SEARCH("Conocer",$R857))+ISNUMBER(SEARCH("Aplicar",$R857))+ISNUMBER(SEARCH("Razonar",$R857))),0)</f>
        <v>0</v>
      </c>
      <c r="T857" s="28" t="n">
        <f aca="false">IFERROR(ISNUMBER(SEARCH("Aplicar",$R857))/(ISNUMBER(SEARCH("Conocer",$R857))+ISNUMBER(SEARCH("Aplicar",$R857))+ISNUMBER(SEARCH("Razonar",$R857))),0)</f>
        <v>0.5</v>
      </c>
      <c r="U857" s="28" t="n">
        <f aca="false">IFERROR(ISNUMBER(SEARCH("Razonar",$R857))/(ISNUMBER(SEARCH("Conocer",$R857))+ISNUMBER(SEARCH("Aplicar",$R857))+ISNUMBER(SEARCH("Razonar",$R857))),0)</f>
        <v>0.5</v>
      </c>
      <c r="V857" s="8" t="s">
        <v>56</v>
      </c>
      <c r="W857" s="8" t="s">
        <v>69</v>
      </c>
    </row>
    <row r="858" customFormat="false" ht="15" hidden="false" customHeight="false" outlineLevel="0" collapsed="false">
      <c r="A858" s="8" t="s">
        <v>3994</v>
      </c>
      <c r="B858" s="8" t="n">
        <v>11</v>
      </c>
      <c r="C858" s="8" t="s">
        <v>91</v>
      </c>
      <c r="D858" s="8" t="s">
        <v>2909</v>
      </c>
      <c r="E858" s="8" t="s">
        <v>3473</v>
      </c>
      <c r="F858" s="8" t="n">
        <v>113</v>
      </c>
      <c r="G858" s="8" t="s">
        <v>3976</v>
      </c>
      <c r="H858" s="8" t="s">
        <v>3990</v>
      </c>
      <c r="I858" s="27" t="s">
        <v>3995</v>
      </c>
      <c r="J858" s="8" t="s">
        <v>291</v>
      </c>
      <c r="K858" s="8" t="s">
        <v>332</v>
      </c>
      <c r="L858" s="8"/>
      <c r="M858" s="8" t="str">
        <f aca="false">IF(K858="FUERA","Fuera del marco",IF(K858="N/A","Sin marco",IFERROR(INDEX(Catalogo_TIMSS!$C$5:$C$105,MATCH(K858,Catalogo_TIMSS!$A$5:$A$105,0)),"Pendiente de clasificar")))</f>
        <v>Ondas y física atómica/nuclear</v>
      </c>
      <c r="N858" s="8" t="str">
        <f aca="false">IF(K858="FUERA","Fuera del marco",IF(K858="N/A","Sin marco",IFERROR(INDEX(Catalogo_TIMSS!$F$5:$F$105,MATCH(K858,Catalogo_TIMSS!$A$5:$A$105,0)),"Pendiente de clasificar")))</f>
        <v>Fenómenos ondulatorios</v>
      </c>
      <c r="O858" s="8" t="str">
        <f aca="false">IF(L858="","",IFERROR(INDEX(Catalogo_TIMSS!$C$5:$C$105,MATCH(L858,Catalogo_TIMSS!$A$5:$A$105,0)),"?"))</f>
        <v/>
      </c>
      <c r="P858" s="8" t="s">
        <v>418</v>
      </c>
      <c r="Q858" s="27" t="s">
        <v>3996</v>
      </c>
      <c r="R858" s="27" t="s">
        <v>3997</v>
      </c>
      <c r="S858" s="28" t="n">
        <f aca="false">IFERROR(ISNUMBER(SEARCH("Conocer",$R858))/(ISNUMBER(SEARCH("Conocer",$R858))+ISNUMBER(SEARCH("Aplicar",$R858))+ISNUMBER(SEARCH("Razonar",$R858))),0)</f>
        <v>0</v>
      </c>
      <c r="T858" s="28" t="n">
        <f aca="false">IFERROR(ISNUMBER(SEARCH("Aplicar",$R858))/(ISNUMBER(SEARCH("Conocer",$R858))+ISNUMBER(SEARCH("Aplicar",$R858))+ISNUMBER(SEARCH("Razonar",$R858))),0)</f>
        <v>0.5</v>
      </c>
      <c r="U858" s="28" t="n">
        <f aca="false">IFERROR(ISNUMBER(SEARCH("Razonar",$R858))/(ISNUMBER(SEARCH("Conocer",$R858))+ISNUMBER(SEARCH("Aplicar",$R858))+ISNUMBER(SEARCH("Razonar",$R858))),0)</f>
        <v>0.5</v>
      </c>
      <c r="V858" s="8" t="s">
        <v>56</v>
      </c>
      <c r="W858" s="8" t="s">
        <v>69</v>
      </c>
    </row>
    <row r="859" customFormat="false" ht="15" hidden="false" customHeight="false" outlineLevel="0" collapsed="false">
      <c r="A859" s="8" t="s">
        <v>3998</v>
      </c>
      <c r="B859" s="8" t="n">
        <v>11</v>
      </c>
      <c r="C859" s="8" t="s">
        <v>91</v>
      </c>
      <c r="D859" s="8" t="s">
        <v>2909</v>
      </c>
      <c r="E859" s="8" t="s">
        <v>3473</v>
      </c>
      <c r="F859" s="8" t="n">
        <v>114</v>
      </c>
      <c r="G859" s="8" t="s">
        <v>3976</v>
      </c>
      <c r="H859" s="8" t="s">
        <v>3990</v>
      </c>
      <c r="I859" s="27" t="s">
        <v>3999</v>
      </c>
      <c r="J859" s="8" t="s">
        <v>291</v>
      </c>
      <c r="K859" s="8" t="s">
        <v>332</v>
      </c>
      <c r="L859" s="8"/>
      <c r="M859" s="8" t="str">
        <f aca="false">IF(K859="FUERA","Fuera del marco",IF(K859="N/A","Sin marco",IFERROR(INDEX(Catalogo_TIMSS!$C$5:$C$105,MATCH(K859,Catalogo_TIMSS!$A$5:$A$105,0)),"Pendiente de clasificar")))</f>
        <v>Ondas y física atómica/nuclear</v>
      </c>
      <c r="N859" s="8" t="str">
        <f aca="false">IF(K859="FUERA","Fuera del marco",IF(K859="N/A","Sin marco",IFERROR(INDEX(Catalogo_TIMSS!$F$5:$F$105,MATCH(K859,Catalogo_TIMSS!$A$5:$A$105,0)),"Pendiente de clasificar")))</f>
        <v>Fenómenos ondulatorios</v>
      </c>
      <c r="O859" s="8" t="str">
        <f aca="false">IF(L859="","",IFERROR(INDEX(Catalogo_TIMSS!$C$5:$C$105,MATCH(L859,Catalogo_TIMSS!$A$5:$A$105,0)),"?"))</f>
        <v/>
      </c>
      <c r="P859" s="8" t="s">
        <v>418</v>
      </c>
      <c r="Q859" s="27" t="s">
        <v>4000</v>
      </c>
      <c r="R859" s="27" t="s">
        <v>4001</v>
      </c>
      <c r="S859" s="28" t="n">
        <f aca="false">IFERROR(ISNUMBER(SEARCH("Conocer",$R859))/(ISNUMBER(SEARCH("Conocer",$R859))+ISNUMBER(SEARCH("Aplicar",$R859))+ISNUMBER(SEARCH("Razonar",$R859))),0)</f>
        <v>0</v>
      </c>
      <c r="T859" s="28" t="n">
        <f aca="false">IFERROR(ISNUMBER(SEARCH("Aplicar",$R859))/(ISNUMBER(SEARCH("Conocer",$R859))+ISNUMBER(SEARCH("Aplicar",$R859))+ISNUMBER(SEARCH("Razonar",$R859))),0)</f>
        <v>0.5</v>
      </c>
      <c r="U859" s="28" t="n">
        <f aca="false">IFERROR(ISNUMBER(SEARCH("Razonar",$R859))/(ISNUMBER(SEARCH("Conocer",$R859))+ISNUMBER(SEARCH("Aplicar",$R859))+ISNUMBER(SEARCH("Razonar",$R859))),0)</f>
        <v>0.5</v>
      </c>
      <c r="V859" s="8" t="s">
        <v>56</v>
      </c>
      <c r="W859" s="8" t="s">
        <v>69</v>
      </c>
    </row>
    <row r="860" customFormat="false" ht="15" hidden="false" customHeight="false" outlineLevel="0" collapsed="false">
      <c r="A860" s="8" t="s">
        <v>4002</v>
      </c>
      <c r="B860" s="8" t="n">
        <v>11</v>
      </c>
      <c r="C860" s="8" t="s">
        <v>91</v>
      </c>
      <c r="D860" s="8" t="s">
        <v>2909</v>
      </c>
      <c r="E860" s="8" t="s">
        <v>3473</v>
      </c>
      <c r="F860" s="8" t="n">
        <v>115</v>
      </c>
      <c r="G860" s="8" t="s">
        <v>3976</v>
      </c>
      <c r="H860" s="8" t="s">
        <v>4003</v>
      </c>
      <c r="I860" s="27" t="s">
        <v>4004</v>
      </c>
      <c r="J860" s="8" t="s">
        <v>291</v>
      </c>
      <c r="K860" s="8" t="s">
        <v>332</v>
      </c>
      <c r="L860" s="8"/>
      <c r="M860" s="8" t="str">
        <f aca="false">IF(K860="FUERA","Fuera del marco",IF(K860="N/A","Sin marco",IFERROR(INDEX(Catalogo_TIMSS!$C$5:$C$105,MATCH(K860,Catalogo_TIMSS!$A$5:$A$105,0)),"Pendiente de clasificar")))</f>
        <v>Ondas y física atómica/nuclear</v>
      </c>
      <c r="N860" s="8" t="str">
        <f aca="false">IF(K860="FUERA","Fuera del marco",IF(K860="N/A","Sin marco",IFERROR(INDEX(Catalogo_TIMSS!$F$5:$F$105,MATCH(K860,Catalogo_TIMSS!$A$5:$A$105,0)),"Pendiente de clasificar")))</f>
        <v>Fenómenos ondulatorios</v>
      </c>
      <c r="O860" s="8" t="str">
        <f aca="false">IF(L860="","",IFERROR(INDEX(Catalogo_TIMSS!$C$5:$C$105,MATCH(L860,Catalogo_TIMSS!$A$5:$A$105,0)),"?"))</f>
        <v/>
      </c>
      <c r="P860" s="8" t="s">
        <v>418</v>
      </c>
      <c r="Q860" s="27" t="s">
        <v>4005</v>
      </c>
      <c r="R860" s="27" t="s">
        <v>4006</v>
      </c>
      <c r="S860" s="28" t="n">
        <f aca="false">IFERROR(ISNUMBER(SEARCH("Conocer",$R860))/(ISNUMBER(SEARCH("Conocer",$R860))+ISNUMBER(SEARCH("Aplicar",$R860))+ISNUMBER(SEARCH("Razonar",$R860))),0)</f>
        <v>0</v>
      </c>
      <c r="T860" s="28" t="n">
        <f aca="false">IFERROR(ISNUMBER(SEARCH("Aplicar",$R860))/(ISNUMBER(SEARCH("Conocer",$R860))+ISNUMBER(SEARCH("Aplicar",$R860))+ISNUMBER(SEARCH("Razonar",$R860))),0)</f>
        <v>0.5</v>
      </c>
      <c r="U860" s="28" t="n">
        <f aca="false">IFERROR(ISNUMBER(SEARCH("Razonar",$R860))/(ISNUMBER(SEARCH("Conocer",$R860))+ISNUMBER(SEARCH("Aplicar",$R860))+ISNUMBER(SEARCH("Razonar",$R860))),0)</f>
        <v>0.5</v>
      </c>
      <c r="V860" s="8" t="s">
        <v>56</v>
      </c>
      <c r="W860" s="8" t="s">
        <v>69</v>
      </c>
    </row>
    <row r="861" customFormat="false" ht="15" hidden="false" customHeight="false" outlineLevel="0" collapsed="false">
      <c r="A861" s="8" t="s">
        <v>4007</v>
      </c>
      <c r="B861" s="8" t="n">
        <v>11</v>
      </c>
      <c r="C861" s="8" t="s">
        <v>91</v>
      </c>
      <c r="D861" s="8" t="s">
        <v>2909</v>
      </c>
      <c r="E861" s="8" t="s">
        <v>3473</v>
      </c>
      <c r="F861" s="8" t="n">
        <v>116</v>
      </c>
      <c r="G861" s="8" t="s">
        <v>4008</v>
      </c>
      <c r="H861" s="8" t="s">
        <v>4009</v>
      </c>
      <c r="I861" s="27" t="s">
        <v>4010</v>
      </c>
      <c r="J861" s="8" t="s">
        <v>291</v>
      </c>
      <c r="K861" s="8" t="s">
        <v>417</v>
      </c>
      <c r="L861" s="8"/>
      <c r="M861" s="8" t="str">
        <f aca="false">IF(K861="FUERA","Fuera del marco",IF(K861="N/A","Sin marco",IFERROR(INDEX(Catalogo_TIMSS!$C$5:$C$105,MATCH(K861,Catalogo_TIMSS!$A$5:$A$105,0)),"Pendiente de clasificar")))</f>
        <v>Fuera del marco</v>
      </c>
      <c r="N861" s="8" t="str">
        <f aca="false">IF(K861="FUERA","Fuera del marco",IF(K861="N/A","Sin marco",IFERROR(INDEX(Catalogo_TIMSS!$F$5:$F$105,MATCH(K861,Catalogo_TIMSS!$A$5:$A$105,0)),"Pendiente de clasificar")))</f>
        <v>Fuera del marco</v>
      </c>
      <c r="O861" s="8" t="str">
        <f aca="false">IF(L861="","",IFERROR(INDEX(Catalogo_TIMSS!$C$5:$C$105,MATCH(L861,Catalogo_TIMSS!$A$5:$A$105,0)),"?"))</f>
        <v/>
      </c>
      <c r="P861" s="8" t="s">
        <v>418</v>
      </c>
      <c r="Q861" s="27" t="s">
        <v>4011</v>
      </c>
      <c r="R861" s="27" t="s">
        <v>4012</v>
      </c>
      <c r="S861" s="28" t="n">
        <f aca="false">IFERROR(ISNUMBER(SEARCH("Conocer",$R861))/(ISNUMBER(SEARCH("Conocer",$R861))+ISNUMBER(SEARCH("Aplicar",$R861))+ISNUMBER(SEARCH("Razonar",$R861))),0)</f>
        <v>0.5</v>
      </c>
      <c r="T861" s="28" t="n">
        <f aca="false">IFERROR(ISNUMBER(SEARCH("Aplicar",$R861))/(ISNUMBER(SEARCH("Conocer",$R861))+ISNUMBER(SEARCH("Aplicar",$R861))+ISNUMBER(SEARCH("Razonar",$R861))),0)</f>
        <v>0</v>
      </c>
      <c r="U861" s="28" t="n">
        <f aca="false">IFERROR(ISNUMBER(SEARCH("Razonar",$R861))/(ISNUMBER(SEARCH("Conocer",$R861))+ISNUMBER(SEARCH("Aplicar",$R861))+ISNUMBER(SEARCH("Razonar",$R861))),0)</f>
        <v>0.5</v>
      </c>
      <c r="V861" s="8" t="s">
        <v>56</v>
      </c>
      <c r="W861" s="8" t="s">
        <v>69</v>
      </c>
    </row>
    <row r="862" customFormat="false" ht="15" hidden="false" customHeight="false" outlineLevel="0" collapsed="false">
      <c r="A862" s="8" t="s">
        <v>4013</v>
      </c>
      <c r="B862" s="8" t="n">
        <v>11</v>
      </c>
      <c r="C862" s="8" t="s">
        <v>91</v>
      </c>
      <c r="D862" s="8" t="s">
        <v>2909</v>
      </c>
      <c r="E862" s="8" t="s">
        <v>3473</v>
      </c>
      <c r="F862" s="8" t="n">
        <v>117</v>
      </c>
      <c r="G862" s="8" t="s">
        <v>4008</v>
      </c>
      <c r="H862" s="8" t="s">
        <v>4014</v>
      </c>
      <c r="I862" s="27" t="s">
        <v>4015</v>
      </c>
      <c r="J862" s="8" t="s">
        <v>291</v>
      </c>
      <c r="K862" s="8" t="s">
        <v>417</v>
      </c>
      <c r="L862" s="8"/>
      <c r="M862" s="8" t="str">
        <f aca="false">IF(K862="FUERA","Fuera del marco",IF(K862="N/A","Sin marco",IFERROR(INDEX(Catalogo_TIMSS!$C$5:$C$105,MATCH(K862,Catalogo_TIMSS!$A$5:$A$105,0)),"Pendiente de clasificar")))</f>
        <v>Fuera del marco</v>
      </c>
      <c r="N862" s="8" t="str">
        <f aca="false">IF(K862="FUERA","Fuera del marco",IF(K862="N/A","Sin marco",IFERROR(INDEX(Catalogo_TIMSS!$F$5:$F$105,MATCH(K862,Catalogo_TIMSS!$A$5:$A$105,0)),"Pendiente de clasificar")))</f>
        <v>Fuera del marco</v>
      </c>
      <c r="O862" s="8" t="str">
        <f aca="false">IF(L862="","",IFERROR(INDEX(Catalogo_TIMSS!$C$5:$C$105,MATCH(L862,Catalogo_TIMSS!$A$5:$A$105,0)),"?"))</f>
        <v/>
      </c>
      <c r="P862" s="8" t="s">
        <v>418</v>
      </c>
      <c r="Q862" s="27" t="s">
        <v>4016</v>
      </c>
      <c r="R862" s="27" t="s">
        <v>4017</v>
      </c>
      <c r="S862" s="28" t="n">
        <f aca="false">IFERROR(ISNUMBER(SEARCH("Conocer",$R862))/(ISNUMBER(SEARCH("Conocer",$R862))+ISNUMBER(SEARCH("Aplicar",$R862))+ISNUMBER(SEARCH("Razonar",$R862))),0)</f>
        <v>0</v>
      </c>
      <c r="T862" s="28" t="n">
        <f aca="false">IFERROR(ISNUMBER(SEARCH("Aplicar",$R862))/(ISNUMBER(SEARCH("Conocer",$R862))+ISNUMBER(SEARCH("Aplicar",$R862))+ISNUMBER(SEARCH("Razonar",$R862))),0)</f>
        <v>0.5</v>
      </c>
      <c r="U862" s="28" t="n">
        <f aca="false">IFERROR(ISNUMBER(SEARCH("Razonar",$R862))/(ISNUMBER(SEARCH("Conocer",$R862))+ISNUMBER(SEARCH("Aplicar",$R862))+ISNUMBER(SEARCH("Razonar",$R862))),0)</f>
        <v>0.5</v>
      </c>
      <c r="V862" s="8" t="s">
        <v>56</v>
      </c>
      <c r="W862" s="8" t="s">
        <v>69</v>
      </c>
    </row>
    <row r="863" customFormat="false" ht="15" hidden="false" customHeight="false" outlineLevel="0" collapsed="false">
      <c r="A863" s="8" t="s">
        <v>4018</v>
      </c>
      <c r="B863" s="8" t="n">
        <v>11</v>
      </c>
      <c r="C863" s="8" t="s">
        <v>91</v>
      </c>
      <c r="D863" s="8" t="s">
        <v>2909</v>
      </c>
      <c r="E863" s="8" t="s">
        <v>3473</v>
      </c>
      <c r="F863" s="8" t="n">
        <v>118</v>
      </c>
      <c r="G863" s="8" t="s">
        <v>4008</v>
      </c>
      <c r="H863" s="8" t="s">
        <v>4019</v>
      </c>
      <c r="I863" s="27" t="s">
        <v>4020</v>
      </c>
      <c r="J863" s="8" t="s">
        <v>291</v>
      </c>
      <c r="K863" s="8" t="s">
        <v>417</v>
      </c>
      <c r="L863" s="8"/>
      <c r="M863" s="8" t="str">
        <f aca="false">IF(K863="FUERA","Fuera del marco",IF(K863="N/A","Sin marco",IFERROR(INDEX(Catalogo_TIMSS!$C$5:$C$105,MATCH(K863,Catalogo_TIMSS!$A$5:$A$105,0)),"Pendiente de clasificar")))</f>
        <v>Fuera del marco</v>
      </c>
      <c r="N863" s="8" t="str">
        <f aca="false">IF(K863="FUERA","Fuera del marco",IF(K863="N/A","Sin marco",IFERROR(INDEX(Catalogo_TIMSS!$F$5:$F$105,MATCH(K863,Catalogo_TIMSS!$A$5:$A$105,0)),"Pendiente de clasificar")))</f>
        <v>Fuera del marco</v>
      </c>
      <c r="O863" s="8" t="str">
        <f aca="false">IF(L863="","",IFERROR(INDEX(Catalogo_TIMSS!$C$5:$C$105,MATCH(L863,Catalogo_TIMSS!$A$5:$A$105,0)),"?"))</f>
        <v/>
      </c>
      <c r="P863" s="8" t="s">
        <v>460</v>
      </c>
      <c r="Q863" s="27" t="s">
        <v>4021</v>
      </c>
      <c r="R863" s="27" t="s">
        <v>4022</v>
      </c>
      <c r="S863" s="28" t="n">
        <f aca="false">IFERROR(ISNUMBER(SEARCH("Conocer",$R863))/(ISNUMBER(SEARCH("Conocer",$R863))+ISNUMBER(SEARCH("Aplicar",$R863))+ISNUMBER(SEARCH("Razonar",$R863))),0)</f>
        <v>0</v>
      </c>
      <c r="T863" s="28" t="n">
        <f aca="false">IFERROR(ISNUMBER(SEARCH("Aplicar",$R863))/(ISNUMBER(SEARCH("Conocer",$R863))+ISNUMBER(SEARCH("Aplicar",$R863))+ISNUMBER(SEARCH("Razonar",$R863))),0)</f>
        <v>0.5</v>
      </c>
      <c r="U863" s="28" t="n">
        <f aca="false">IFERROR(ISNUMBER(SEARCH("Razonar",$R863))/(ISNUMBER(SEARCH("Conocer",$R863))+ISNUMBER(SEARCH("Aplicar",$R863))+ISNUMBER(SEARCH("Razonar",$R863))),0)</f>
        <v>0.5</v>
      </c>
      <c r="V863" s="8" t="s">
        <v>56</v>
      </c>
      <c r="W863" s="8" t="s">
        <v>69</v>
      </c>
    </row>
    <row r="864" customFormat="false" ht="15" hidden="false" customHeight="false" outlineLevel="0" collapsed="false">
      <c r="A864" s="8" t="s">
        <v>4023</v>
      </c>
      <c r="B864" s="8" t="n">
        <v>11</v>
      </c>
      <c r="C864" s="8" t="s">
        <v>91</v>
      </c>
      <c r="D864" s="8" t="s">
        <v>2909</v>
      </c>
      <c r="E864" s="8" t="s">
        <v>3473</v>
      </c>
      <c r="F864" s="8" t="n">
        <v>119</v>
      </c>
      <c r="G864" s="8" t="s">
        <v>4008</v>
      </c>
      <c r="H864" s="8" t="s">
        <v>4019</v>
      </c>
      <c r="I864" s="27" t="s">
        <v>4024</v>
      </c>
      <c r="J864" s="8" t="s">
        <v>291</v>
      </c>
      <c r="K864" s="8" t="s">
        <v>341</v>
      </c>
      <c r="L864" s="8"/>
      <c r="M864" s="8" t="str">
        <f aca="false">IF(K864="FUERA","Fuera del marco",IF(K864="N/A","Sin marco",IFERROR(INDEX(Catalogo_TIMSS!$C$5:$C$105,MATCH(K864,Catalogo_TIMSS!$A$5:$A$105,0)),"Pendiente de clasificar")))</f>
        <v>Ondas y física atómica/nuclear</v>
      </c>
      <c r="N864" s="8" t="str">
        <f aca="false">IF(K864="FUERA","Fuera del marco",IF(K864="N/A","Sin marco",IFERROR(INDEX(Catalogo_TIMSS!$F$5:$F$105,MATCH(K864,Catalogo_TIMSS!$A$5:$A$105,0)),"Pendiente de clasificar")))</f>
        <v>Física atómica y nuclear</v>
      </c>
      <c r="O864" s="8" t="str">
        <f aca="false">IF(L864="","",IFERROR(INDEX(Catalogo_TIMSS!$C$5:$C$105,MATCH(L864,Catalogo_TIMSS!$A$5:$A$105,0)),"?"))</f>
        <v/>
      </c>
      <c r="P864" s="8" t="s">
        <v>460</v>
      </c>
      <c r="Q864" s="27" t="s">
        <v>4025</v>
      </c>
      <c r="R864" s="27" t="s">
        <v>4026</v>
      </c>
      <c r="S864" s="28" t="n">
        <f aca="false">IFERROR(ISNUMBER(SEARCH("Conocer",$R864))/(ISNUMBER(SEARCH("Conocer",$R864))+ISNUMBER(SEARCH("Aplicar",$R864))+ISNUMBER(SEARCH("Razonar",$R864))),0)</f>
        <v>0</v>
      </c>
      <c r="T864" s="28" t="n">
        <f aca="false">IFERROR(ISNUMBER(SEARCH("Aplicar",$R864))/(ISNUMBER(SEARCH("Conocer",$R864))+ISNUMBER(SEARCH("Aplicar",$R864))+ISNUMBER(SEARCH("Razonar",$R864))),0)</f>
        <v>0.5</v>
      </c>
      <c r="U864" s="28" t="n">
        <f aca="false">IFERROR(ISNUMBER(SEARCH("Razonar",$R864))/(ISNUMBER(SEARCH("Conocer",$R864))+ISNUMBER(SEARCH("Aplicar",$R864))+ISNUMBER(SEARCH("Razonar",$R864))),0)</f>
        <v>0.5</v>
      </c>
      <c r="V864" s="8" t="s">
        <v>56</v>
      </c>
      <c r="W864" s="8" t="s">
        <v>69</v>
      </c>
    </row>
    <row r="865" customFormat="false" ht="15" hidden="false" customHeight="false" outlineLevel="0" collapsed="false">
      <c r="A865" s="8" t="s">
        <v>4027</v>
      </c>
      <c r="B865" s="8" t="n">
        <v>11</v>
      </c>
      <c r="C865" s="8" t="s">
        <v>91</v>
      </c>
      <c r="D865" s="8" t="s">
        <v>2909</v>
      </c>
      <c r="E865" s="8" t="s">
        <v>3473</v>
      </c>
      <c r="F865" s="8" t="n">
        <v>120</v>
      </c>
      <c r="G865" s="8" t="s">
        <v>4008</v>
      </c>
      <c r="H865" s="8" t="s">
        <v>4028</v>
      </c>
      <c r="I865" s="27" t="s">
        <v>4029</v>
      </c>
      <c r="J865" s="8" t="s">
        <v>291</v>
      </c>
      <c r="K865" s="8" t="s">
        <v>417</v>
      </c>
      <c r="L865" s="8"/>
      <c r="M865" s="8" t="str">
        <f aca="false">IF(K865="FUERA","Fuera del marco",IF(K865="N/A","Sin marco",IFERROR(INDEX(Catalogo_TIMSS!$C$5:$C$105,MATCH(K865,Catalogo_TIMSS!$A$5:$A$105,0)),"Pendiente de clasificar")))</f>
        <v>Fuera del marco</v>
      </c>
      <c r="N865" s="8" t="str">
        <f aca="false">IF(K865="FUERA","Fuera del marco",IF(K865="N/A","Sin marco",IFERROR(INDEX(Catalogo_TIMSS!$F$5:$F$105,MATCH(K865,Catalogo_TIMSS!$A$5:$A$105,0)),"Pendiente de clasificar")))</f>
        <v>Fuera del marco</v>
      </c>
      <c r="O865" s="8" t="str">
        <f aca="false">IF(L865="","",IFERROR(INDEX(Catalogo_TIMSS!$C$5:$C$105,MATCH(L865,Catalogo_TIMSS!$A$5:$A$105,0)),"?"))</f>
        <v/>
      </c>
      <c r="P865" s="8" t="s">
        <v>418</v>
      </c>
      <c r="Q865" s="27" t="s">
        <v>4030</v>
      </c>
      <c r="R865" s="27" t="s">
        <v>4031</v>
      </c>
      <c r="S865" s="28" t="n">
        <f aca="false">IFERROR(ISNUMBER(SEARCH("Conocer",$R865))/(ISNUMBER(SEARCH("Conocer",$R865))+ISNUMBER(SEARCH("Aplicar",$R865))+ISNUMBER(SEARCH("Razonar",$R865))),0)</f>
        <v>0</v>
      </c>
      <c r="T865" s="28" t="n">
        <f aca="false">IFERROR(ISNUMBER(SEARCH("Aplicar",$R865))/(ISNUMBER(SEARCH("Conocer",$R865))+ISNUMBER(SEARCH("Aplicar",$R865))+ISNUMBER(SEARCH("Razonar",$R865))),0)</f>
        <v>0.5</v>
      </c>
      <c r="U865" s="28" t="n">
        <f aca="false">IFERROR(ISNUMBER(SEARCH("Razonar",$R865))/(ISNUMBER(SEARCH("Conocer",$R865))+ISNUMBER(SEARCH("Aplicar",$R865))+ISNUMBER(SEARCH("Razonar",$R865))),0)</f>
        <v>0.5</v>
      </c>
      <c r="V865" s="8" t="s">
        <v>56</v>
      </c>
      <c r="W865" s="8" t="s">
        <v>69</v>
      </c>
    </row>
    <row r="866" customFormat="false" ht="15" hidden="false" customHeight="false" outlineLevel="0" collapsed="false">
      <c r="A866" s="8" t="s">
        <v>4032</v>
      </c>
      <c r="B866" s="8" t="n">
        <v>11</v>
      </c>
      <c r="C866" s="8" t="s">
        <v>91</v>
      </c>
      <c r="D866" s="8" t="s">
        <v>2909</v>
      </c>
      <c r="E866" s="8" t="s">
        <v>3473</v>
      </c>
      <c r="F866" s="8" t="n">
        <v>121</v>
      </c>
      <c r="G866" s="8" t="s">
        <v>4033</v>
      </c>
      <c r="H866" s="8" t="s">
        <v>4034</v>
      </c>
      <c r="I866" s="27" t="s">
        <v>4035</v>
      </c>
      <c r="J866" s="8" t="s">
        <v>291</v>
      </c>
      <c r="K866" s="8" t="s">
        <v>334</v>
      </c>
      <c r="L866" s="8"/>
      <c r="M866" s="8" t="str">
        <f aca="false">IF(K866="FUERA","Fuera del marco",IF(K866="N/A","Sin marco",IFERROR(INDEX(Catalogo_TIMSS!$C$5:$C$105,MATCH(K866,Catalogo_TIMSS!$A$5:$A$105,0)),"Pendiente de clasificar")))</f>
        <v>Ondas y física atómica/nuclear</v>
      </c>
      <c r="N866" s="8" t="str">
        <f aca="false">IF(K866="FUERA","Fuera del marco",IF(K866="N/A","Sin marco",IFERROR(INDEX(Catalogo_TIMSS!$F$5:$F$105,MATCH(K866,Catalogo_TIMSS!$A$5:$A$105,0)),"Pendiente de clasificar")))</f>
        <v>Física atómica y nuclear</v>
      </c>
      <c r="O866" s="8" t="str">
        <f aca="false">IF(L866="","",IFERROR(INDEX(Catalogo_TIMSS!$C$5:$C$105,MATCH(L866,Catalogo_TIMSS!$A$5:$A$105,0)),"?"))</f>
        <v/>
      </c>
      <c r="P866" s="8" t="s">
        <v>460</v>
      </c>
      <c r="Q866" s="27" t="s">
        <v>4036</v>
      </c>
      <c r="R866" s="27" t="s">
        <v>4037</v>
      </c>
      <c r="S866" s="28" t="n">
        <f aca="false">IFERROR(ISNUMBER(SEARCH("Conocer",$R866))/(ISNUMBER(SEARCH("Conocer",$R866))+ISNUMBER(SEARCH("Aplicar",$R866))+ISNUMBER(SEARCH("Razonar",$R866))),0)</f>
        <v>0</v>
      </c>
      <c r="T866" s="28" t="n">
        <f aca="false">IFERROR(ISNUMBER(SEARCH("Aplicar",$R866))/(ISNUMBER(SEARCH("Conocer",$R866))+ISNUMBER(SEARCH("Aplicar",$R866))+ISNUMBER(SEARCH("Razonar",$R866))),0)</f>
        <v>0.5</v>
      </c>
      <c r="U866" s="28" t="n">
        <f aca="false">IFERROR(ISNUMBER(SEARCH("Razonar",$R866))/(ISNUMBER(SEARCH("Conocer",$R866))+ISNUMBER(SEARCH("Aplicar",$R866))+ISNUMBER(SEARCH("Razonar",$R866))),0)</f>
        <v>0.5</v>
      </c>
      <c r="V866" s="8" t="s">
        <v>56</v>
      </c>
      <c r="W866" s="8" t="s">
        <v>69</v>
      </c>
    </row>
    <row r="867" customFormat="false" ht="15" hidden="false" customHeight="false" outlineLevel="0" collapsed="false">
      <c r="A867" s="8" t="s">
        <v>4038</v>
      </c>
      <c r="B867" s="8" t="n">
        <v>11</v>
      </c>
      <c r="C867" s="8" t="s">
        <v>91</v>
      </c>
      <c r="D867" s="8" t="s">
        <v>2909</v>
      </c>
      <c r="E867" s="8" t="s">
        <v>3473</v>
      </c>
      <c r="F867" s="8" t="n">
        <v>122</v>
      </c>
      <c r="G867" s="8" t="s">
        <v>4033</v>
      </c>
      <c r="H867" s="8" t="s">
        <v>4034</v>
      </c>
      <c r="I867" s="27" t="s">
        <v>4039</v>
      </c>
      <c r="J867" s="8" t="s">
        <v>291</v>
      </c>
      <c r="K867" s="8" t="s">
        <v>339</v>
      </c>
      <c r="L867" s="8" t="s">
        <v>334</v>
      </c>
      <c r="M867" s="8" t="str">
        <f aca="false">IF(K867="FUERA","Fuera del marco",IF(K867="N/A","Sin marco",IFERROR(INDEX(Catalogo_TIMSS!$C$5:$C$105,MATCH(K867,Catalogo_TIMSS!$A$5:$A$105,0)),"Pendiente de clasificar")))</f>
        <v>Ondas y física atómica/nuclear</v>
      </c>
      <c r="N867" s="8" t="str">
        <f aca="false">IF(K867="FUERA","Fuera del marco",IF(K867="N/A","Sin marco",IFERROR(INDEX(Catalogo_TIMSS!$F$5:$F$105,MATCH(K867,Catalogo_TIMSS!$A$5:$A$105,0)),"Pendiente de clasificar")))</f>
        <v>Física atómica y nuclear</v>
      </c>
      <c r="O867" s="8" t="str">
        <f aca="false">IF(L867="","",IFERROR(INDEX(Catalogo_TIMSS!$C$5:$C$105,MATCH(L867,Catalogo_TIMSS!$A$5:$A$105,0)),"?"))</f>
        <v>Ondas y física atómica/nuclear</v>
      </c>
      <c r="P867" s="8" t="s">
        <v>460</v>
      </c>
      <c r="Q867" s="27" t="s">
        <v>4040</v>
      </c>
      <c r="R867" s="27" t="s">
        <v>4041</v>
      </c>
      <c r="S867" s="28" t="n">
        <f aca="false">IFERROR(ISNUMBER(SEARCH("Conocer",$R867))/(ISNUMBER(SEARCH("Conocer",$R867))+ISNUMBER(SEARCH("Aplicar",$R867))+ISNUMBER(SEARCH("Razonar",$R867))),0)</f>
        <v>0</v>
      </c>
      <c r="T867" s="28" t="n">
        <f aca="false">IFERROR(ISNUMBER(SEARCH("Aplicar",$R867))/(ISNUMBER(SEARCH("Conocer",$R867))+ISNUMBER(SEARCH("Aplicar",$R867))+ISNUMBER(SEARCH("Razonar",$R867))),0)</f>
        <v>0.5</v>
      </c>
      <c r="U867" s="28" t="n">
        <f aca="false">IFERROR(ISNUMBER(SEARCH("Razonar",$R867))/(ISNUMBER(SEARCH("Conocer",$R867))+ISNUMBER(SEARCH("Aplicar",$R867))+ISNUMBER(SEARCH("Razonar",$R867))),0)</f>
        <v>0.5</v>
      </c>
      <c r="V867" s="8" t="s">
        <v>56</v>
      </c>
      <c r="W867" s="8" t="s">
        <v>69</v>
      </c>
    </row>
    <row r="868" customFormat="false" ht="15" hidden="false" customHeight="false" outlineLevel="0" collapsed="false">
      <c r="A868" s="8" t="s">
        <v>4042</v>
      </c>
      <c r="B868" s="8" t="n">
        <v>11</v>
      </c>
      <c r="C868" s="8" t="s">
        <v>91</v>
      </c>
      <c r="D868" s="8" t="s">
        <v>2909</v>
      </c>
      <c r="E868" s="8" t="s">
        <v>3473</v>
      </c>
      <c r="F868" s="8" t="n">
        <v>123</v>
      </c>
      <c r="G868" s="8" t="s">
        <v>4033</v>
      </c>
      <c r="H868" s="8" t="s">
        <v>4043</v>
      </c>
      <c r="I868" s="27" t="s">
        <v>4044</v>
      </c>
      <c r="J868" s="8" t="s">
        <v>291</v>
      </c>
      <c r="K868" s="8" t="s">
        <v>341</v>
      </c>
      <c r="L868" s="8" t="s">
        <v>339</v>
      </c>
      <c r="M868" s="8" t="str">
        <f aca="false">IF(K868="FUERA","Fuera del marco",IF(K868="N/A","Sin marco",IFERROR(INDEX(Catalogo_TIMSS!$C$5:$C$105,MATCH(K868,Catalogo_TIMSS!$A$5:$A$105,0)),"Pendiente de clasificar")))</f>
        <v>Ondas y física atómica/nuclear</v>
      </c>
      <c r="N868" s="8" t="str">
        <f aca="false">IF(K868="FUERA","Fuera del marco",IF(K868="N/A","Sin marco",IFERROR(INDEX(Catalogo_TIMSS!$F$5:$F$105,MATCH(K868,Catalogo_TIMSS!$A$5:$A$105,0)),"Pendiente de clasificar")))</f>
        <v>Física atómica y nuclear</v>
      </c>
      <c r="O868" s="8" t="str">
        <f aca="false">IF(L868="","",IFERROR(INDEX(Catalogo_TIMSS!$C$5:$C$105,MATCH(L868,Catalogo_TIMSS!$A$5:$A$105,0)),"?"))</f>
        <v>Ondas y física atómica/nuclear</v>
      </c>
      <c r="P868" s="8" t="s">
        <v>418</v>
      </c>
      <c r="Q868" s="27" t="s">
        <v>4045</v>
      </c>
      <c r="R868" s="27" t="s">
        <v>4046</v>
      </c>
      <c r="S868" s="28" t="n">
        <f aca="false">IFERROR(ISNUMBER(SEARCH("Conocer",$R868))/(ISNUMBER(SEARCH("Conocer",$R868))+ISNUMBER(SEARCH("Aplicar",$R868))+ISNUMBER(SEARCH("Razonar",$R868))),0)</f>
        <v>0</v>
      </c>
      <c r="T868" s="28" t="n">
        <f aca="false">IFERROR(ISNUMBER(SEARCH("Aplicar",$R868))/(ISNUMBER(SEARCH("Conocer",$R868))+ISNUMBER(SEARCH("Aplicar",$R868))+ISNUMBER(SEARCH("Razonar",$R868))),0)</f>
        <v>0.5</v>
      </c>
      <c r="U868" s="28" t="n">
        <f aca="false">IFERROR(ISNUMBER(SEARCH("Razonar",$R868))/(ISNUMBER(SEARCH("Conocer",$R868))+ISNUMBER(SEARCH("Aplicar",$R868))+ISNUMBER(SEARCH("Razonar",$R868))),0)</f>
        <v>0.5</v>
      </c>
      <c r="V868" s="8" t="s">
        <v>56</v>
      </c>
      <c r="W868" s="8" t="s">
        <v>69</v>
      </c>
    </row>
    <row r="869" customFormat="false" ht="15" hidden="false" customHeight="false" outlineLevel="0" collapsed="false">
      <c r="A869" s="8" t="s">
        <v>4047</v>
      </c>
      <c r="B869" s="8" t="n">
        <v>11</v>
      </c>
      <c r="C869" s="8" t="s">
        <v>91</v>
      </c>
      <c r="D869" s="8" t="s">
        <v>2909</v>
      </c>
      <c r="E869" s="8" t="s">
        <v>3473</v>
      </c>
      <c r="F869" s="8" t="n">
        <v>124</v>
      </c>
      <c r="G869" s="8" t="s">
        <v>4033</v>
      </c>
      <c r="H869" s="8" t="s">
        <v>4048</v>
      </c>
      <c r="I869" s="27" t="s">
        <v>4049</v>
      </c>
      <c r="J869" s="8" t="s">
        <v>291</v>
      </c>
      <c r="K869" s="8" t="s">
        <v>339</v>
      </c>
      <c r="L869" s="8"/>
      <c r="M869" s="8" t="str">
        <f aca="false">IF(K869="FUERA","Fuera del marco",IF(K869="N/A","Sin marco",IFERROR(INDEX(Catalogo_TIMSS!$C$5:$C$105,MATCH(K869,Catalogo_TIMSS!$A$5:$A$105,0)),"Pendiente de clasificar")))</f>
        <v>Ondas y física atómica/nuclear</v>
      </c>
      <c r="N869" s="8" t="str">
        <f aca="false">IF(K869="FUERA","Fuera del marco",IF(K869="N/A","Sin marco",IFERROR(INDEX(Catalogo_TIMSS!$F$5:$F$105,MATCH(K869,Catalogo_TIMSS!$A$5:$A$105,0)),"Pendiente de clasificar")))</f>
        <v>Física atómica y nuclear</v>
      </c>
      <c r="O869" s="8" t="str">
        <f aca="false">IF(L869="","",IFERROR(INDEX(Catalogo_TIMSS!$C$5:$C$105,MATCH(L869,Catalogo_TIMSS!$A$5:$A$105,0)),"?"))</f>
        <v/>
      </c>
      <c r="P869" s="8" t="s">
        <v>460</v>
      </c>
      <c r="Q869" s="27" t="s">
        <v>4050</v>
      </c>
      <c r="R869" s="27" t="s">
        <v>4051</v>
      </c>
      <c r="S869" s="28" t="n">
        <f aca="false">IFERROR(ISNUMBER(SEARCH("Conocer",$R869))/(ISNUMBER(SEARCH("Conocer",$R869))+ISNUMBER(SEARCH("Aplicar",$R869))+ISNUMBER(SEARCH("Razonar",$R869))),0)</f>
        <v>0.5</v>
      </c>
      <c r="T869" s="28" t="n">
        <f aca="false">IFERROR(ISNUMBER(SEARCH("Aplicar",$R869))/(ISNUMBER(SEARCH("Conocer",$R869))+ISNUMBER(SEARCH("Aplicar",$R869))+ISNUMBER(SEARCH("Razonar",$R869))),0)</f>
        <v>0</v>
      </c>
      <c r="U869" s="28" t="n">
        <f aca="false">IFERROR(ISNUMBER(SEARCH("Razonar",$R869))/(ISNUMBER(SEARCH("Conocer",$R869))+ISNUMBER(SEARCH("Aplicar",$R869))+ISNUMBER(SEARCH("Razonar",$R869))),0)</f>
        <v>0.5</v>
      </c>
      <c r="V869" s="8" t="s">
        <v>56</v>
      </c>
      <c r="W869" s="8" t="s">
        <v>69</v>
      </c>
    </row>
    <row r="870" customFormat="false" ht="15" hidden="false" customHeight="false" outlineLevel="0" collapsed="false">
      <c r="A870" s="8" t="s">
        <v>4052</v>
      </c>
      <c r="B870" s="8" t="n">
        <v>11</v>
      </c>
      <c r="C870" s="8" t="s">
        <v>91</v>
      </c>
      <c r="D870" s="8" t="s">
        <v>2909</v>
      </c>
      <c r="E870" s="8" t="s">
        <v>3473</v>
      </c>
      <c r="F870" s="8" t="n">
        <v>125</v>
      </c>
      <c r="G870" s="8" t="s">
        <v>4033</v>
      </c>
      <c r="H870" s="8" t="s">
        <v>4053</v>
      </c>
      <c r="I870" s="27" t="s">
        <v>4054</v>
      </c>
      <c r="J870" s="8" t="s">
        <v>291</v>
      </c>
      <c r="K870" s="8" t="s">
        <v>417</v>
      </c>
      <c r="L870" s="8"/>
      <c r="M870" s="8" t="str">
        <f aca="false">IF(K870="FUERA","Fuera del marco",IF(K870="N/A","Sin marco",IFERROR(INDEX(Catalogo_TIMSS!$C$5:$C$105,MATCH(K870,Catalogo_TIMSS!$A$5:$A$105,0)),"Pendiente de clasificar")))</f>
        <v>Fuera del marco</v>
      </c>
      <c r="N870" s="8" t="str">
        <f aca="false">IF(K870="FUERA","Fuera del marco",IF(K870="N/A","Sin marco",IFERROR(INDEX(Catalogo_TIMSS!$F$5:$F$105,MATCH(K870,Catalogo_TIMSS!$A$5:$A$105,0)),"Pendiente de clasificar")))</f>
        <v>Fuera del marco</v>
      </c>
      <c r="O870" s="8" t="str">
        <f aca="false">IF(L870="","",IFERROR(INDEX(Catalogo_TIMSS!$C$5:$C$105,MATCH(L870,Catalogo_TIMSS!$A$5:$A$105,0)),"?"))</f>
        <v/>
      </c>
      <c r="P870" s="8" t="s">
        <v>418</v>
      </c>
      <c r="Q870" s="27" t="s">
        <v>4055</v>
      </c>
      <c r="R870" s="27" t="s">
        <v>4056</v>
      </c>
      <c r="S870" s="28" t="n">
        <f aca="false">IFERROR(ISNUMBER(SEARCH("Conocer",$R870))/(ISNUMBER(SEARCH("Conocer",$R870))+ISNUMBER(SEARCH("Aplicar",$R870))+ISNUMBER(SEARCH("Razonar",$R870))),0)</f>
        <v>0.333333333333333</v>
      </c>
      <c r="T870" s="28" t="n">
        <f aca="false">IFERROR(ISNUMBER(SEARCH("Aplicar",$R870))/(ISNUMBER(SEARCH("Conocer",$R870))+ISNUMBER(SEARCH("Aplicar",$R870))+ISNUMBER(SEARCH("Razonar",$R870))),0)</f>
        <v>0.333333333333333</v>
      </c>
      <c r="U870" s="28" t="n">
        <f aca="false">IFERROR(ISNUMBER(SEARCH("Razonar",$R870))/(ISNUMBER(SEARCH("Conocer",$R870))+ISNUMBER(SEARCH("Aplicar",$R870))+ISNUMBER(SEARCH("Razonar",$R870))),0)</f>
        <v>0.333333333333333</v>
      </c>
      <c r="V870" s="8" t="s">
        <v>56</v>
      </c>
      <c r="W870" s="8" t="s">
        <v>69</v>
      </c>
    </row>
    <row r="871" customFormat="false" ht="15" hidden="false" customHeight="false" outlineLevel="0" collapsed="false">
      <c r="A871" s="8" t="s">
        <v>4057</v>
      </c>
      <c r="B871" s="8" t="n">
        <v>11</v>
      </c>
      <c r="C871" s="8" t="s">
        <v>91</v>
      </c>
      <c r="D871" s="8" t="s">
        <v>2909</v>
      </c>
      <c r="E871" s="8" t="s">
        <v>3473</v>
      </c>
      <c r="F871" s="8" t="n">
        <v>126</v>
      </c>
      <c r="G871" s="8" t="s">
        <v>4033</v>
      </c>
      <c r="H871" s="8" t="s">
        <v>4058</v>
      </c>
      <c r="I871" s="27" t="s">
        <v>4059</v>
      </c>
      <c r="J871" s="8" t="s">
        <v>291</v>
      </c>
      <c r="K871" s="8" t="s">
        <v>417</v>
      </c>
      <c r="L871" s="8"/>
      <c r="M871" s="8" t="str">
        <f aca="false">IF(K871="FUERA","Fuera del marco",IF(K871="N/A","Sin marco",IFERROR(INDEX(Catalogo_TIMSS!$C$5:$C$105,MATCH(K871,Catalogo_TIMSS!$A$5:$A$105,0)),"Pendiente de clasificar")))</f>
        <v>Fuera del marco</v>
      </c>
      <c r="N871" s="8" t="str">
        <f aca="false">IF(K871="FUERA","Fuera del marco",IF(K871="N/A","Sin marco",IFERROR(INDEX(Catalogo_TIMSS!$F$5:$F$105,MATCH(K871,Catalogo_TIMSS!$A$5:$A$105,0)),"Pendiente de clasificar")))</f>
        <v>Fuera del marco</v>
      </c>
      <c r="O871" s="8" t="str">
        <f aca="false">IF(L871="","",IFERROR(INDEX(Catalogo_TIMSS!$C$5:$C$105,MATCH(L871,Catalogo_TIMSS!$A$5:$A$105,0)),"?"))</f>
        <v/>
      </c>
      <c r="P871" s="8" t="s">
        <v>418</v>
      </c>
      <c r="Q871" s="27" t="s">
        <v>4060</v>
      </c>
      <c r="R871" s="27" t="s">
        <v>4061</v>
      </c>
      <c r="S871" s="28" t="n">
        <f aca="false">IFERROR(ISNUMBER(SEARCH("Conocer",$R871))/(ISNUMBER(SEARCH("Conocer",$R871))+ISNUMBER(SEARCH("Aplicar",$R871))+ISNUMBER(SEARCH("Razonar",$R871))),0)</f>
        <v>0</v>
      </c>
      <c r="T871" s="28" t="n">
        <f aca="false">IFERROR(ISNUMBER(SEARCH("Aplicar",$R871))/(ISNUMBER(SEARCH("Conocer",$R871))+ISNUMBER(SEARCH("Aplicar",$R871))+ISNUMBER(SEARCH("Razonar",$R871))),0)</f>
        <v>0.5</v>
      </c>
      <c r="U871" s="28" t="n">
        <f aca="false">IFERROR(ISNUMBER(SEARCH("Razonar",$R871))/(ISNUMBER(SEARCH("Conocer",$R871))+ISNUMBER(SEARCH("Aplicar",$R871))+ISNUMBER(SEARCH("Razonar",$R871))),0)</f>
        <v>0.5</v>
      </c>
      <c r="V871" s="8" t="s">
        <v>56</v>
      </c>
      <c r="W871" s="8" t="s">
        <v>69</v>
      </c>
    </row>
    <row r="872" customFormat="false" ht="15" hidden="false" customHeight="false" outlineLevel="0" collapsed="false">
      <c r="A872" s="8" t="s">
        <v>4062</v>
      </c>
      <c r="B872" s="8" t="n">
        <v>11</v>
      </c>
      <c r="C872" s="8" t="s">
        <v>91</v>
      </c>
      <c r="D872" s="8" t="s">
        <v>2909</v>
      </c>
      <c r="E872" s="8" t="s">
        <v>3473</v>
      </c>
      <c r="F872" s="8" t="n">
        <v>127</v>
      </c>
      <c r="G872" s="8" t="s">
        <v>4063</v>
      </c>
      <c r="H872" s="8" t="s">
        <v>4064</v>
      </c>
      <c r="I872" s="27" t="s">
        <v>4065</v>
      </c>
      <c r="J872" s="8" t="s">
        <v>291</v>
      </c>
      <c r="K872" s="8" t="s">
        <v>339</v>
      </c>
      <c r="L872" s="8"/>
      <c r="M872" s="8" t="str">
        <f aca="false">IF(K872="FUERA","Fuera del marco",IF(K872="N/A","Sin marco",IFERROR(INDEX(Catalogo_TIMSS!$C$5:$C$105,MATCH(K872,Catalogo_TIMSS!$A$5:$A$105,0)),"Pendiente de clasificar")))</f>
        <v>Ondas y física atómica/nuclear</v>
      </c>
      <c r="N872" s="8" t="str">
        <f aca="false">IF(K872="FUERA","Fuera del marco",IF(K872="N/A","Sin marco",IFERROR(INDEX(Catalogo_TIMSS!$F$5:$F$105,MATCH(K872,Catalogo_TIMSS!$A$5:$A$105,0)),"Pendiente de clasificar")))</f>
        <v>Física atómica y nuclear</v>
      </c>
      <c r="O872" s="8" t="str">
        <f aca="false">IF(L872="","",IFERROR(INDEX(Catalogo_TIMSS!$C$5:$C$105,MATCH(L872,Catalogo_TIMSS!$A$5:$A$105,0)),"?"))</f>
        <v/>
      </c>
      <c r="P872" s="8" t="s">
        <v>418</v>
      </c>
      <c r="Q872" s="27" t="s">
        <v>4066</v>
      </c>
      <c r="R872" s="27" t="s">
        <v>4067</v>
      </c>
      <c r="S872" s="28" t="n">
        <f aca="false">IFERROR(ISNUMBER(SEARCH("Conocer",$R872))/(ISNUMBER(SEARCH("Conocer",$R872))+ISNUMBER(SEARCH("Aplicar",$R872))+ISNUMBER(SEARCH("Razonar",$R872))),0)</f>
        <v>0</v>
      </c>
      <c r="T872" s="28" t="n">
        <f aca="false">IFERROR(ISNUMBER(SEARCH("Aplicar",$R872))/(ISNUMBER(SEARCH("Conocer",$R872))+ISNUMBER(SEARCH("Aplicar",$R872))+ISNUMBER(SEARCH("Razonar",$R872))),0)</f>
        <v>0.5</v>
      </c>
      <c r="U872" s="28" t="n">
        <f aca="false">IFERROR(ISNUMBER(SEARCH("Razonar",$R872))/(ISNUMBER(SEARCH("Conocer",$R872))+ISNUMBER(SEARCH("Aplicar",$R872))+ISNUMBER(SEARCH("Razonar",$R872))),0)</f>
        <v>0.5</v>
      </c>
      <c r="V872" s="8" t="s">
        <v>56</v>
      </c>
      <c r="W872" s="8" t="s">
        <v>69</v>
      </c>
    </row>
    <row r="873" customFormat="false" ht="15" hidden="false" customHeight="false" outlineLevel="0" collapsed="false">
      <c r="A873" s="8" t="s">
        <v>4068</v>
      </c>
      <c r="B873" s="8" t="n">
        <v>11</v>
      </c>
      <c r="C873" s="8" t="s">
        <v>91</v>
      </c>
      <c r="D873" s="8" t="s">
        <v>2909</v>
      </c>
      <c r="E873" s="8" t="s">
        <v>3473</v>
      </c>
      <c r="F873" s="8" t="n">
        <v>128</v>
      </c>
      <c r="G873" s="8" t="s">
        <v>4063</v>
      </c>
      <c r="H873" s="8" t="s">
        <v>4069</v>
      </c>
      <c r="I873" s="27" t="s">
        <v>4070</v>
      </c>
      <c r="J873" s="8" t="s">
        <v>291</v>
      </c>
      <c r="K873" s="8" t="s">
        <v>339</v>
      </c>
      <c r="L873" s="8"/>
      <c r="M873" s="8" t="str">
        <f aca="false">IF(K873="FUERA","Fuera del marco",IF(K873="N/A","Sin marco",IFERROR(INDEX(Catalogo_TIMSS!$C$5:$C$105,MATCH(K873,Catalogo_TIMSS!$A$5:$A$105,0)),"Pendiente de clasificar")))</f>
        <v>Ondas y física atómica/nuclear</v>
      </c>
      <c r="N873" s="8" t="str">
        <f aca="false">IF(K873="FUERA","Fuera del marco",IF(K873="N/A","Sin marco",IFERROR(INDEX(Catalogo_TIMSS!$F$5:$F$105,MATCH(K873,Catalogo_TIMSS!$A$5:$A$105,0)),"Pendiente de clasificar")))</f>
        <v>Física atómica y nuclear</v>
      </c>
      <c r="O873" s="8" t="str">
        <f aca="false">IF(L873="","",IFERROR(INDEX(Catalogo_TIMSS!$C$5:$C$105,MATCH(L873,Catalogo_TIMSS!$A$5:$A$105,0)),"?"))</f>
        <v/>
      </c>
      <c r="P873" s="8" t="s">
        <v>418</v>
      </c>
      <c r="Q873" s="27" t="s">
        <v>4071</v>
      </c>
      <c r="R873" s="27" t="s">
        <v>4072</v>
      </c>
      <c r="S873" s="28" t="n">
        <f aca="false">IFERROR(ISNUMBER(SEARCH("Conocer",$R873))/(ISNUMBER(SEARCH("Conocer",$R873))+ISNUMBER(SEARCH("Aplicar",$R873))+ISNUMBER(SEARCH("Razonar",$R873))),0)</f>
        <v>0</v>
      </c>
      <c r="T873" s="28" t="n">
        <f aca="false">IFERROR(ISNUMBER(SEARCH("Aplicar",$R873))/(ISNUMBER(SEARCH("Conocer",$R873))+ISNUMBER(SEARCH("Aplicar",$R873))+ISNUMBER(SEARCH("Razonar",$R873))),0)</f>
        <v>0.5</v>
      </c>
      <c r="U873" s="28" t="n">
        <f aca="false">IFERROR(ISNUMBER(SEARCH("Razonar",$R873))/(ISNUMBER(SEARCH("Conocer",$R873))+ISNUMBER(SEARCH("Aplicar",$R873))+ISNUMBER(SEARCH("Razonar",$R873))),0)</f>
        <v>0.5</v>
      </c>
      <c r="V873" s="8" t="s">
        <v>56</v>
      </c>
      <c r="W873" s="8" t="s">
        <v>69</v>
      </c>
    </row>
    <row r="874" customFormat="false" ht="15" hidden="false" customHeight="false" outlineLevel="0" collapsed="false">
      <c r="A874" s="8" t="s">
        <v>4073</v>
      </c>
      <c r="B874" s="8" t="n">
        <v>11</v>
      </c>
      <c r="C874" s="8" t="s">
        <v>91</v>
      </c>
      <c r="D874" s="8" t="s">
        <v>2909</v>
      </c>
      <c r="E874" s="8" t="s">
        <v>3473</v>
      </c>
      <c r="F874" s="8" t="n">
        <v>129</v>
      </c>
      <c r="G874" s="8" t="s">
        <v>4063</v>
      </c>
      <c r="H874" s="8" t="s">
        <v>4074</v>
      </c>
      <c r="I874" s="27" t="s">
        <v>4075</v>
      </c>
      <c r="J874" s="8" t="s">
        <v>291</v>
      </c>
      <c r="K874" s="8" t="s">
        <v>339</v>
      </c>
      <c r="L874" s="8"/>
      <c r="M874" s="8" t="str">
        <f aca="false">IF(K874="FUERA","Fuera del marco",IF(K874="N/A","Sin marco",IFERROR(INDEX(Catalogo_TIMSS!$C$5:$C$105,MATCH(K874,Catalogo_TIMSS!$A$5:$A$105,0)),"Pendiente de clasificar")))</f>
        <v>Ondas y física atómica/nuclear</v>
      </c>
      <c r="N874" s="8" t="str">
        <f aca="false">IF(K874="FUERA","Fuera del marco",IF(K874="N/A","Sin marco",IFERROR(INDEX(Catalogo_TIMSS!$F$5:$F$105,MATCH(K874,Catalogo_TIMSS!$A$5:$A$105,0)),"Pendiente de clasificar")))</f>
        <v>Física atómica y nuclear</v>
      </c>
      <c r="O874" s="8" t="str">
        <f aca="false">IF(L874="","",IFERROR(INDEX(Catalogo_TIMSS!$C$5:$C$105,MATCH(L874,Catalogo_TIMSS!$A$5:$A$105,0)),"?"))</f>
        <v/>
      </c>
      <c r="P874" s="8" t="s">
        <v>418</v>
      </c>
      <c r="Q874" s="27" t="s">
        <v>4076</v>
      </c>
      <c r="R874" s="27" t="s">
        <v>4077</v>
      </c>
      <c r="S874" s="28" t="n">
        <f aca="false">IFERROR(ISNUMBER(SEARCH("Conocer",$R874))/(ISNUMBER(SEARCH("Conocer",$R874))+ISNUMBER(SEARCH("Aplicar",$R874))+ISNUMBER(SEARCH("Razonar",$R874))),0)</f>
        <v>0</v>
      </c>
      <c r="T874" s="28" t="n">
        <f aca="false">IFERROR(ISNUMBER(SEARCH("Aplicar",$R874))/(ISNUMBER(SEARCH("Conocer",$R874))+ISNUMBER(SEARCH("Aplicar",$R874))+ISNUMBER(SEARCH("Razonar",$R874))),0)</f>
        <v>0.5</v>
      </c>
      <c r="U874" s="28" t="n">
        <f aca="false">IFERROR(ISNUMBER(SEARCH("Razonar",$R874))/(ISNUMBER(SEARCH("Conocer",$R874))+ISNUMBER(SEARCH("Aplicar",$R874))+ISNUMBER(SEARCH("Razonar",$R874))),0)</f>
        <v>0.5</v>
      </c>
      <c r="V874" s="8" t="s">
        <v>56</v>
      </c>
      <c r="W874" s="8" t="s">
        <v>69</v>
      </c>
    </row>
    <row r="875" customFormat="false" ht="15" hidden="false" customHeight="false" outlineLevel="0" collapsed="false">
      <c r="A875" s="8" t="s">
        <v>4078</v>
      </c>
      <c r="B875" s="8" t="n">
        <v>11</v>
      </c>
      <c r="C875" s="8" t="s">
        <v>91</v>
      </c>
      <c r="D875" s="8" t="s">
        <v>2909</v>
      </c>
      <c r="E875" s="8" t="s">
        <v>3473</v>
      </c>
      <c r="F875" s="8" t="n">
        <v>130</v>
      </c>
      <c r="G875" s="8" t="s">
        <v>4063</v>
      </c>
      <c r="H875" s="8" t="s">
        <v>4079</v>
      </c>
      <c r="I875" s="27" t="s">
        <v>4080</v>
      </c>
      <c r="J875" s="8" t="s">
        <v>291</v>
      </c>
      <c r="K875" s="8" t="s">
        <v>339</v>
      </c>
      <c r="L875" s="8"/>
      <c r="M875" s="8" t="str">
        <f aca="false">IF(K875="FUERA","Fuera del marco",IF(K875="N/A","Sin marco",IFERROR(INDEX(Catalogo_TIMSS!$C$5:$C$105,MATCH(K875,Catalogo_TIMSS!$A$5:$A$105,0)),"Pendiente de clasificar")))</f>
        <v>Ondas y física atómica/nuclear</v>
      </c>
      <c r="N875" s="8" t="str">
        <f aca="false">IF(K875="FUERA","Fuera del marco",IF(K875="N/A","Sin marco",IFERROR(INDEX(Catalogo_TIMSS!$F$5:$F$105,MATCH(K875,Catalogo_TIMSS!$A$5:$A$105,0)),"Pendiente de clasificar")))</f>
        <v>Física atómica y nuclear</v>
      </c>
      <c r="O875" s="8" t="str">
        <f aca="false">IF(L875="","",IFERROR(INDEX(Catalogo_TIMSS!$C$5:$C$105,MATCH(L875,Catalogo_TIMSS!$A$5:$A$105,0)),"?"))</f>
        <v/>
      </c>
      <c r="P875" s="8" t="s">
        <v>460</v>
      </c>
      <c r="Q875" s="27" t="s">
        <v>4081</v>
      </c>
      <c r="R875" s="27" t="s">
        <v>4082</v>
      </c>
      <c r="S875" s="28" t="n">
        <f aca="false">IFERROR(ISNUMBER(SEARCH("Conocer",$R875))/(ISNUMBER(SEARCH("Conocer",$R875))+ISNUMBER(SEARCH("Aplicar",$R875))+ISNUMBER(SEARCH("Razonar",$R875))),0)</f>
        <v>0.5</v>
      </c>
      <c r="T875" s="28" t="n">
        <f aca="false">IFERROR(ISNUMBER(SEARCH("Aplicar",$R875))/(ISNUMBER(SEARCH("Conocer",$R875))+ISNUMBER(SEARCH("Aplicar",$R875))+ISNUMBER(SEARCH("Razonar",$R875))),0)</f>
        <v>0</v>
      </c>
      <c r="U875" s="28" t="n">
        <f aca="false">IFERROR(ISNUMBER(SEARCH("Razonar",$R875))/(ISNUMBER(SEARCH("Conocer",$R875))+ISNUMBER(SEARCH("Aplicar",$R875))+ISNUMBER(SEARCH("Razonar",$R875))),0)</f>
        <v>0.5</v>
      </c>
      <c r="V875" s="8" t="s">
        <v>56</v>
      </c>
      <c r="W875" s="8" t="s">
        <v>69</v>
      </c>
    </row>
    <row r="876" customFormat="false" ht="15" hidden="false" customHeight="false" outlineLevel="0" collapsed="false">
      <c r="A876" s="8" t="s">
        <v>4083</v>
      </c>
      <c r="B876" s="8" t="n">
        <v>11</v>
      </c>
      <c r="C876" s="8" t="s">
        <v>91</v>
      </c>
      <c r="D876" s="8" t="s">
        <v>2909</v>
      </c>
      <c r="E876" s="8" t="s">
        <v>3473</v>
      </c>
      <c r="F876" s="8" t="n">
        <v>131</v>
      </c>
      <c r="G876" s="8" t="s">
        <v>4084</v>
      </c>
      <c r="H876" s="8" t="s">
        <v>4085</v>
      </c>
      <c r="I876" s="27" t="s">
        <v>4086</v>
      </c>
      <c r="J876" s="8" t="s">
        <v>291</v>
      </c>
      <c r="K876" s="8" t="s">
        <v>417</v>
      </c>
      <c r="L876" s="8"/>
      <c r="M876" s="8" t="str">
        <f aca="false">IF(K876="FUERA","Fuera del marco",IF(K876="N/A","Sin marco",IFERROR(INDEX(Catalogo_TIMSS!$C$5:$C$105,MATCH(K876,Catalogo_TIMSS!$A$5:$A$105,0)),"Pendiente de clasificar")))</f>
        <v>Fuera del marco</v>
      </c>
      <c r="N876" s="8" t="str">
        <f aca="false">IF(K876="FUERA","Fuera del marco",IF(K876="N/A","Sin marco",IFERROR(INDEX(Catalogo_TIMSS!$F$5:$F$105,MATCH(K876,Catalogo_TIMSS!$A$5:$A$105,0)),"Pendiente de clasificar")))</f>
        <v>Fuera del marco</v>
      </c>
      <c r="O876" s="8" t="str">
        <f aca="false">IF(L876="","",IFERROR(INDEX(Catalogo_TIMSS!$C$5:$C$105,MATCH(L876,Catalogo_TIMSS!$A$5:$A$105,0)),"?"))</f>
        <v/>
      </c>
      <c r="P876" s="8" t="s">
        <v>460</v>
      </c>
      <c r="Q876" s="27" t="s">
        <v>4087</v>
      </c>
      <c r="R876" s="27" t="s">
        <v>4088</v>
      </c>
      <c r="S876" s="28" t="n">
        <f aca="false">IFERROR(ISNUMBER(SEARCH("Conocer",$R876))/(ISNUMBER(SEARCH("Conocer",$R876))+ISNUMBER(SEARCH("Aplicar",$R876))+ISNUMBER(SEARCH("Razonar",$R876))),0)</f>
        <v>0.5</v>
      </c>
      <c r="T876" s="28" t="n">
        <f aca="false">IFERROR(ISNUMBER(SEARCH("Aplicar",$R876))/(ISNUMBER(SEARCH("Conocer",$R876))+ISNUMBER(SEARCH("Aplicar",$R876))+ISNUMBER(SEARCH("Razonar",$R876))),0)</f>
        <v>0</v>
      </c>
      <c r="U876" s="28" t="n">
        <f aca="false">IFERROR(ISNUMBER(SEARCH("Razonar",$R876))/(ISNUMBER(SEARCH("Conocer",$R876))+ISNUMBER(SEARCH("Aplicar",$R876))+ISNUMBER(SEARCH("Razonar",$R876))),0)</f>
        <v>0.5</v>
      </c>
      <c r="V876" s="8" t="s">
        <v>56</v>
      </c>
      <c r="W876" s="8" t="s">
        <v>69</v>
      </c>
    </row>
    <row r="877" customFormat="false" ht="15" hidden="false" customHeight="false" outlineLevel="0" collapsed="false">
      <c r="A877" s="8" t="s">
        <v>4089</v>
      </c>
      <c r="B877" s="8" t="n">
        <v>11</v>
      </c>
      <c r="C877" s="8" t="s">
        <v>91</v>
      </c>
      <c r="D877" s="8" t="s">
        <v>2909</v>
      </c>
      <c r="E877" s="8" t="s">
        <v>3473</v>
      </c>
      <c r="F877" s="8" t="n">
        <v>132</v>
      </c>
      <c r="G877" s="8" t="s">
        <v>4084</v>
      </c>
      <c r="H877" s="8" t="s">
        <v>4085</v>
      </c>
      <c r="I877" s="27" t="s">
        <v>4090</v>
      </c>
      <c r="J877" s="8" t="s">
        <v>291</v>
      </c>
      <c r="K877" s="8" t="s">
        <v>297</v>
      </c>
      <c r="L877" s="8"/>
      <c r="M877" s="8" t="str">
        <f aca="false">IF(K877="FUERA","Fuera del marco",IF(K877="N/A","Sin marco",IFERROR(INDEX(Catalogo_TIMSS!$C$5:$C$105,MATCH(K877,Catalogo_TIMSS!$A$5:$A$105,0)),"Pendiente de clasificar")))</f>
        <v>Mecánica y termodinámica</v>
      </c>
      <c r="N877" s="8" t="str">
        <f aca="false">IF(K877="FUERA","Fuera del marco",IF(K877="N/A","Sin marco",IFERROR(INDEX(Catalogo_TIMSS!$F$5:$F$105,MATCH(K877,Catalogo_TIMSS!$A$5:$A$105,0)),"Pendiente de clasificar")))</f>
        <v>Fuerzas y movimiento</v>
      </c>
      <c r="O877" s="8" t="str">
        <f aca="false">IF(L877="","",IFERROR(INDEX(Catalogo_TIMSS!$C$5:$C$105,MATCH(L877,Catalogo_TIMSS!$A$5:$A$105,0)),"?"))</f>
        <v/>
      </c>
      <c r="P877" s="8" t="s">
        <v>418</v>
      </c>
      <c r="Q877" s="27" t="s">
        <v>4091</v>
      </c>
      <c r="R877" s="27" t="s">
        <v>4092</v>
      </c>
      <c r="S877" s="28" t="n">
        <f aca="false">IFERROR(ISNUMBER(SEARCH("Conocer",$R877))/(ISNUMBER(SEARCH("Conocer",$R877))+ISNUMBER(SEARCH("Aplicar",$R877))+ISNUMBER(SEARCH("Razonar",$R877))),0)</f>
        <v>0</v>
      </c>
      <c r="T877" s="28" t="n">
        <f aca="false">IFERROR(ISNUMBER(SEARCH("Aplicar",$R877))/(ISNUMBER(SEARCH("Conocer",$R877))+ISNUMBER(SEARCH("Aplicar",$R877))+ISNUMBER(SEARCH("Razonar",$R877))),0)</f>
        <v>0.5</v>
      </c>
      <c r="U877" s="28" t="n">
        <f aca="false">IFERROR(ISNUMBER(SEARCH("Razonar",$R877))/(ISNUMBER(SEARCH("Conocer",$R877))+ISNUMBER(SEARCH("Aplicar",$R877))+ISNUMBER(SEARCH("Razonar",$R877))),0)</f>
        <v>0.5</v>
      </c>
      <c r="V877" s="8" t="s">
        <v>56</v>
      </c>
      <c r="W877" s="8" t="s">
        <v>69</v>
      </c>
    </row>
    <row r="878" customFormat="false" ht="15" hidden="false" customHeight="false" outlineLevel="0" collapsed="false">
      <c r="A878" s="8" t="s">
        <v>4093</v>
      </c>
      <c r="B878" s="8" t="n">
        <v>11</v>
      </c>
      <c r="C878" s="8" t="s">
        <v>91</v>
      </c>
      <c r="D878" s="8" t="s">
        <v>2909</v>
      </c>
      <c r="E878" s="8" t="s">
        <v>3473</v>
      </c>
      <c r="F878" s="8" t="n">
        <v>133</v>
      </c>
      <c r="G878" s="8" t="s">
        <v>4084</v>
      </c>
      <c r="H878" s="8" t="s">
        <v>4085</v>
      </c>
      <c r="I878" s="27" t="s">
        <v>4094</v>
      </c>
      <c r="J878" s="8" t="s">
        <v>291</v>
      </c>
      <c r="K878" s="8" t="s">
        <v>297</v>
      </c>
      <c r="L878" s="8"/>
      <c r="M878" s="8" t="str">
        <f aca="false">IF(K878="FUERA","Fuera del marco",IF(K878="N/A","Sin marco",IFERROR(INDEX(Catalogo_TIMSS!$C$5:$C$105,MATCH(K878,Catalogo_TIMSS!$A$5:$A$105,0)),"Pendiente de clasificar")))</f>
        <v>Mecánica y termodinámica</v>
      </c>
      <c r="N878" s="8" t="str">
        <f aca="false">IF(K878="FUERA","Fuera del marco",IF(K878="N/A","Sin marco",IFERROR(INDEX(Catalogo_TIMSS!$F$5:$F$105,MATCH(K878,Catalogo_TIMSS!$A$5:$A$105,0)),"Pendiente de clasificar")))</f>
        <v>Fuerzas y movimiento</v>
      </c>
      <c r="O878" s="8" t="str">
        <f aca="false">IF(L878="","",IFERROR(INDEX(Catalogo_TIMSS!$C$5:$C$105,MATCH(L878,Catalogo_TIMSS!$A$5:$A$105,0)),"?"))</f>
        <v/>
      </c>
      <c r="P878" s="8" t="s">
        <v>418</v>
      </c>
      <c r="Q878" s="27" t="s">
        <v>4095</v>
      </c>
      <c r="R878" s="27" t="s">
        <v>4096</v>
      </c>
      <c r="S878" s="28" t="n">
        <f aca="false">IFERROR(ISNUMBER(SEARCH("Conocer",$R878))/(ISNUMBER(SEARCH("Conocer",$R878))+ISNUMBER(SEARCH("Aplicar",$R878))+ISNUMBER(SEARCH("Razonar",$R878))),0)</f>
        <v>0</v>
      </c>
      <c r="T878" s="28" t="n">
        <f aca="false">IFERROR(ISNUMBER(SEARCH("Aplicar",$R878))/(ISNUMBER(SEARCH("Conocer",$R878))+ISNUMBER(SEARCH("Aplicar",$R878))+ISNUMBER(SEARCH("Razonar",$R878))),0)</f>
        <v>0.5</v>
      </c>
      <c r="U878" s="28" t="n">
        <f aca="false">IFERROR(ISNUMBER(SEARCH("Razonar",$R878))/(ISNUMBER(SEARCH("Conocer",$R878))+ISNUMBER(SEARCH("Aplicar",$R878))+ISNUMBER(SEARCH("Razonar",$R878))),0)</f>
        <v>0.5</v>
      </c>
      <c r="V878" s="8" t="s">
        <v>56</v>
      </c>
      <c r="W878" s="8" t="s">
        <v>69</v>
      </c>
    </row>
    <row r="879" customFormat="false" ht="15" hidden="false" customHeight="false" outlineLevel="0" collapsed="false">
      <c r="A879" s="8" t="s">
        <v>4097</v>
      </c>
      <c r="B879" s="8" t="n">
        <v>11</v>
      </c>
      <c r="C879" s="8" t="s">
        <v>91</v>
      </c>
      <c r="D879" s="8" t="s">
        <v>2909</v>
      </c>
      <c r="E879" s="8" t="s">
        <v>3473</v>
      </c>
      <c r="F879" s="8" t="n">
        <v>134</v>
      </c>
      <c r="G879" s="8" t="s">
        <v>4084</v>
      </c>
      <c r="H879" s="8" t="s">
        <v>4098</v>
      </c>
      <c r="I879" s="27" t="s">
        <v>4099</v>
      </c>
      <c r="J879" s="8" t="s">
        <v>291</v>
      </c>
      <c r="K879" s="8" t="s">
        <v>330</v>
      </c>
      <c r="L879" s="8"/>
      <c r="M879" s="8" t="str">
        <f aca="false">IF(K879="FUERA","Fuera del marco",IF(K879="N/A","Sin marco",IFERROR(INDEX(Catalogo_TIMSS!$C$5:$C$105,MATCH(K879,Catalogo_TIMSS!$A$5:$A$105,0)),"Pendiente de clasificar")))</f>
        <v>Ondas y física atómica/nuclear</v>
      </c>
      <c r="N879" s="8" t="str">
        <f aca="false">IF(K879="FUERA","Fuera del marco",IF(K879="N/A","Sin marco",IFERROR(INDEX(Catalogo_TIMSS!$F$5:$F$105,MATCH(K879,Catalogo_TIMSS!$A$5:$A$105,0)),"Pendiente de clasificar")))</f>
        <v>Fenómenos ondulatorios</v>
      </c>
      <c r="O879" s="8" t="str">
        <f aca="false">IF(L879="","",IFERROR(INDEX(Catalogo_TIMSS!$C$5:$C$105,MATCH(L879,Catalogo_TIMSS!$A$5:$A$105,0)),"?"))</f>
        <v/>
      </c>
      <c r="P879" s="8" t="s">
        <v>418</v>
      </c>
      <c r="Q879" s="27" t="s">
        <v>4100</v>
      </c>
      <c r="R879" s="27" t="s">
        <v>4101</v>
      </c>
      <c r="S879" s="28" t="n">
        <f aca="false">IFERROR(ISNUMBER(SEARCH("Conocer",$R879))/(ISNUMBER(SEARCH("Conocer",$R879))+ISNUMBER(SEARCH("Aplicar",$R879))+ISNUMBER(SEARCH("Razonar",$R879))),0)</f>
        <v>0</v>
      </c>
      <c r="T879" s="28" t="n">
        <f aca="false">IFERROR(ISNUMBER(SEARCH("Aplicar",$R879))/(ISNUMBER(SEARCH("Conocer",$R879))+ISNUMBER(SEARCH("Aplicar",$R879))+ISNUMBER(SEARCH("Razonar",$R879))),0)</f>
        <v>0.5</v>
      </c>
      <c r="U879" s="28" t="n">
        <f aca="false">IFERROR(ISNUMBER(SEARCH("Razonar",$R879))/(ISNUMBER(SEARCH("Conocer",$R879))+ISNUMBER(SEARCH("Aplicar",$R879))+ISNUMBER(SEARCH("Razonar",$R879))),0)</f>
        <v>0.5</v>
      </c>
      <c r="V879" s="8" t="s">
        <v>56</v>
      </c>
      <c r="W879" s="8" t="s">
        <v>69</v>
      </c>
    </row>
    <row r="880" customFormat="false" ht="15" hidden="false" customHeight="false" outlineLevel="0" collapsed="false">
      <c r="A880" s="8" t="s">
        <v>4102</v>
      </c>
      <c r="B880" s="8" t="n">
        <v>11</v>
      </c>
      <c r="C880" s="8" t="s">
        <v>91</v>
      </c>
      <c r="D880" s="8" t="s">
        <v>2909</v>
      </c>
      <c r="E880" s="8" t="s">
        <v>3473</v>
      </c>
      <c r="F880" s="8" t="n">
        <v>135</v>
      </c>
      <c r="G880" s="8" t="s">
        <v>4084</v>
      </c>
      <c r="H880" s="8" t="s">
        <v>4098</v>
      </c>
      <c r="I880" s="27" t="s">
        <v>4103</v>
      </c>
      <c r="J880" s="8" t="s">
        <v>291</v>
      </c>
      <c r="K880" s="8" t="s">
        <v>332</v>
      </c>
      <c r="L880" s="8"/>
      <c r="M880" s="8" t="str">
        <f aca="false">IF(K880="FUERA","Fuera del marco",IF(K880="N/A","Sin marco",IFERROR(INDEX(Catalogo_TIMSS!$C$5:$C$105,MATCH(K880,Catalogo_TIMSS!$A$5:$A$105,0)),"Pendiente de clasificar")))</f>
        <v>Ondas y física atómica/nuclear</v>
      </c>
      <c r="N880" s="8" t="str">
        <f aca="false">IF(K880="FUERA","Fuera del marco",IF(K880="N/A","Sin marco",IFERROR(INDEX(Catalogo_TIMSS!$F$5:$F$105,MATCH(K880,Catalogo_TIMSS!$A$5:$A$105,0)),"Pendiente de clasificar")))</f>
        <v>Fenómenos ondulatorios</v>
      </c>
      <c r="O880" s="8" t="str">
        <f aca="false">IF(L880="","",IFERROR(INDEX(Catalogo_TIMSS!$C$5:$C$105,MATCH(L880,Catalogo_TIMSS!$A$5:$A$105,0)),"?"))</f>
        <v/>
      </c>
      <c r="P880" s="8" t="s">
        <v>513</v>
      </c>
      <c r="Q880" s="27" t="s">
        <v>4104</v>
      </c>
      <c r="R880" s="27" t="s">
        <v>4105</v>
      </c>
      <c r="S880" s="28" t="n">
        <f aca="false">IFERROR(ISNUMBER(SEARCH("Conocer",$R880))/(ISNUMBER(SEARCH("Conocer",$R880))+ISNUMBER(SEARCH("Aplicar",$R880))+ISNUMBER(SEARCH("Razonar",$R880))),0)</f>
        <v>0</v>
      </c>
      <c r="T880" s="28" t="n">
        <f aca="false">IFERROR(ISNUMBER(SEARCH("Aplicar",$R880))/(ISNUMBER(SEARCH("Conocer",$R880))+ISNUMBER(SEARCH("Aplicar",$R880))+ISNUMBER(SEARCH("Razonar",$R880))),0)</f>
        <v>0.5</v>
      </c>
      <c r="U880" s="28" t="n">
        <f aca="false">IFERROR(ISNUMBER(SEARCH("Razonar",$R880))/(ISNUMBER(SEARCH("Conocer",$R880))+ISNUMBER(SEARCH("Aplicar",$R880))+ISNUMBER(SEARCH("Razonar",$R880))),0)</f>
        <v>0.5</v>
      </c>
      <c r="V880" s="8" t="s">
        <v>56</v>
      </c>
      <c r="W880" s="8" t="s">
        <v>69</v>
      </c>
    </row>
    <row r="881" customFormat="false" ht="15" hidden="false" customHeight="false" outlineLevel="0" collapsed="false">
      <c r="A881" s="8" t="s">
        <v>4106</v>
      </c>
      <c r="B881" s="8" t="n">
        <v>11</v>
      </c>
      <c r="C881" s="8" t="s">
        <v>91</v>
      </c>
      <c r="D881" s="8" t="s">
        <v>2909</v>
      </c>
      <c r="E881" s="8" t="s">
        <v>3473</v>
      </c>
      <c r="F881" s="8" t="n">
        <v>136</v>
      </c>
      <c r="G881" s="8" t="s">
        <v>4084</v>
      </c>
      <c r="H881" s="8" t="s">
        <v>4098</v>
      </c>
      <c r="I881" s="27" t="s">
        <v>4107</v>
      </c>
      <c r="J881" s="8" t="s">
        <v>291</v>
      </c>
      <c r="K881" s="8" t="s">
        <v>417</v>
      </c>
      <c r="L881" s="8"/>
      <c r="M881" s="8" t="str">
        <f aca="false">IF(K881="FUERA","Fuera del marco",IF(K881="N/A","Sin marco",IFERROR(INDEX(Catalogo_TIMSS!$C$5:$C$105,MATCH(K881,Catalogo_TIMSS!$A$5:$A$105,0)),"Pendiente de clasificar")))</f>
        <v>Fuera del marco</v>
      </c>
      <c r="N881" s="8" t="str">
        <f aca="false">IF(K881="FUERA","Fuera del marco",IF(K881="N/A","Sin marco",IFERROR(INDEX(Catalogo_TIMSS!$F$5:$F$105,MATCH(K881,Catalogo_TIMSS!$A$5:$A$105,0)),"Pendiente de clasificar")))</f>
        <v>Fuera del marco</v>
      </c>
      <c r="O881" s="8" t="str">
        <f aca="false">IF(L881="","",IFERROR(INDEX(Catalogo_TIMSS!$C$5:$C$105,MATCH(L881,Catalogo_TIMSS!$A$5:$A$105,0)),"?"))</f>
        <v/>
      </c>
      <c r="P881" s="8" t="s">
        <v>460</v>
      </c>
      <c r="Q881" s="27" t="s">
        <v>4108</v>
      </c>
      <c r="R881" s="27" t="s">
        <v>4109</v>
      </c>
      <c r="S881" s="28" t="n">
        <f aca="false">IFERROR(ISNUMBER(SEARCH("Conocer",$R881))/(ISNUMBER(SEARCH("Conocer",$R881))+ISNUMBER(SEARCH("Aplicar",$R881))+ISNUMBER(SEARCH("Razonar",$R881))),0)</f>
        <v>0.5</v>
      </c>
      <c r="T881" s="28" t="n">
        <f aca="false">IFERROR(ISNUMBER(SEARCH("Aplicar",$R881))/(ISNUMBER(SEARCH("Conocer",$R881))+ISNUMBER(SEARCH("Aplicar",$R881))+ISNUMBER(SEARCH("Razonar",$R881))),0)</f>
        <v>0.5</v>
      </c>
      <c r="U881" s="28" t="n">
        <f aca="false">IFERROR(ISNUMBER(SEARCH("Razonar",$R881))/(ISNUMBER(SEARCH("Conocer",$R881))+ISNUMBER(SEARCH("Aplicar",$R881))+ISNUMBER(SEARCH("Razonar",$R881))),0)</f>
        <v>0</v>
      </c>
      <c r="V881" s="8" t="s">
        <v>56</v>
      </c>
      <c r="W881" s="8" t="s">
        <v>69</v>
      </c>
    </row>
    <row r="882" customFormat="false" ht="15" hidden="false" customHeight="false" outlineLevel="0" collapsed="false">
      <c r="A882" s="8" t="s">
        <v>4110</v>
      </c>
      <c r="B882" s="8" t="n">
        <v>11</v>
      </c>
      <c r="C882" s="8" t="s">
        <v>91</v>
      </c>
      <c r="D882" s="8" t="s">
        <v>2909</v>
      </c>
      <c r="E882" s="8" t="s">
        <v>3473</v>
      </c>
      <c r="F882" s="8" t="n">
        <v>137</v>
      </c>
      <c r="G882" s="8" t="s">
        <v>4084</v>
      </c>
      <c r="H882" s="8" t="s">
        <v>4111</v>
      </c>
      <c r="I882" s="27" t="s">
        <v>4112</v>
      </c>
      <c r="J882" s="8" t="s">
        <v>291</v>
      </c>
      <c r="K882" s="8" t="s">
        <v>417</v>
      </c>
      <c r="L882" s="8"/>
      <c r="M882" s="8" t="str">
        <f aca="false">IF(K882="FUERA","Fuera del marco",IF(K882="N/A","Sin marco",IFERROR(INDEX(Catalogo_TIMSS!$C$5:$C$105,MATCH(K882,Catalogo_TIMSS!$A$5:$A$105,0)),"Pendiente de clasificar")))</f>
        <v>Fuera del marco</v>
      </c>
      <c r="N882" s="8" t="str">
        <f aca="false">IF(K882="FUERA","Fuera del marco",IF(K882="N/A","Sin marco",IFERROR(INDEX(Catalogo_TIMSS!$F$5:$F$105,MATCH(K882,Catalogo_TIMSS!$A$5:$A$105,0)),"Pendiente de clasificar")))</f>
        <v>Fuera del marco</v>
      </c>
      <c r="O882" s="8" t="str">
        <f aca="false">IF(L882="","",IFERROR(INDEX(Catalogo_TIMSS!$C$5:$C$105,MATCH(L882,Catalogo_TIMSS!$A$5:$A$105,0)),"?"))</f>
        <v/>
      </c>
      <c r="P882" s="8" t="s">
        <v>460</v>
      </c>
      <c r="Q882" s="27" t="s">
        <v>4113</v>
      </c>
      <c r="R882" s="27" t="s">
        <v>4114</v>
      </c>
      <c r="S882" s="28" t="n">
        <f aca="false">IFERROR(ISNUMBER(SEARCH("Conocer",$R882))/(ISNUMBER(SEARCH("Conocer",$R882))+ISNUMBER(SEARCH("Aplicar",$R882))+ISNUMBER(SEARCH("Razonar",$R882))),0)</f>
        <v>0</v>
      </c>
      <c r="T882" s="28" t="n">
        <f aca="false">IFERROR(ISNUMBER(SEARCH("Aplicar",$R882))/(ISNUMBER(SEARCH("Conocer",$R882))+ISNUMBER(SEARCH("Aplicar",$R882))+ISNUMBER(SEARCH("Razonar",$R882))),0)</f>
        <v>0.5</v>
      </c>
      <c r="U882" s="28" t="n">
        <f aca="false">IFERROR(ISNUMBER(SEARCH("Razonar",$R882))/(ISNUMBER(SEARCH("Conocer",$R882))+ISNUMBER(SEARCH("Aplicar",$R882))+ISNUMBER(SEARCH("Razonar",$R882))),0)</f>
        <v>0.5</v>
      </c>
      <c r="V882" s="8" t="s">
        <v>56</v>
      </c>
      <c r="W882" s="8" t="s">
        <v>69</v>
      </c>
    </row>
    <row r="883" customFormat="false" ht="15" hidden="false" customHeight="false" outlineLevel="0" collapsed="false">
      <c r="A883" s="8" t="s">
        <v>4115</v>
      </c>
      <c r="B883" s="8" t="n">
        <v>11</v>
      </c>
      <c r="C883" s="8" t="s">
        <v>91</v>
      </c>
      <c r="D883" s="8" t="s">
        <v>2909</v>
      </c>
      <c r="E883" s="8" t="s">
        <v>3473</v>
      </c>
      <c r="F883" s="8" t="n">
        <v>138</v>
      </c>
      <c r="G883" s="8" t="s">
        <v>4084</v>
      </c>
      <c r="H883" s="8" t="s">
        <v>4111</v>
      </c>
      <c r="I883" s="27" t="s">
        <v>4116</v>
      </c>
      <c r="J883" s="8" t="s">
        <v>291</v>
      </c>
      <c r="K883" s="8" t="s">
        <v>417</v>
      </c>
      <c r="L883" s="8"/>
      <c r="M883" s="8" t="str">
        <f aca="false">IF(K883="FUERA","Fuera del marco",IF(K883="N/A","Sin marco",IFERROR(INDEX(Catalogo_TIMSS!$C$5:$C$105,MATCH(K883,Catalogo_TIMSS!$A$5:$A$105,0)),"Pendiente de clasificar")))</f>
        <v>Fuera del marco</v>
      </c>
      <c r="N883" s="8" t="str">
        <f aca="false">IF(K883="FUERA","Fuera del marco",IF(K883="N/A","Sin marco",IFERROR(INDEX(Catalogo_TIMSS!$F$5:$F$105,MATCH(K883,Catalogo_TIMSS!$A$5:$A$105,0)),"Pendiente de clasificar")))</f>
        <v>Fuera del marco</v>
      </c>
      <c r="O883" s="8" t="str">
        <f aca="false">IF(L883="","",IFERROR(INDEX(Catalogo_TIMSS!$C$5:$C$105,MATCH(L883,Catalogo_TIMSS!$A$5:$A$105,0)),"?"))</f>
        <v/>
      </c>
      <c r="P883" s="8" t="s">
        <v>513</v>
      </c>
      <c r="Q883" s="27" t="s">
        <v>4117</v>
      </c>
      <c r="R883" s="27" t="s">
        <v>4118</v>
      </c>
      <c r="S883" s="28" t="n">
        <f aca="false">IFERROR(ISNUMBER(SEARCH("Conocer",$R883))/(ISNUMBER(SEARCH("Conocer",$R883))+ISNUMBER(SEARCH("Aplicar",$R883))+ISNUMBER(SEARCH("Razonar",$R883))),0)</f>
        <v>0</v>
      </c>
      <c r="T883" s="28" t="n">
        <f aca="false">IFERROR(ISNUMBER(SEARCH("Aplicar",$R883))/(ISNUMBER(SEARCH("Conocer",$R883))+ISNUMBER(SEARCH("Aplicar",$R883))+ISNUMBER(SEARCH("Razonar",$R883))),0)</f>
        <v>0.5</v>
      </c>
      <c r="U883" s="28" t="n">
        <f aca="false">IFERROR(ISNUMBER(SEARCH("Razonar",$R883))/(ISNUMBER(SEARCH("Conocer",$R883))+ISNUMBER(SEARCH("Aplicar",$R883))+ISNUMBER(SEARCH("Razonar",$R883))),0)</f>
        <v>0.5</v>
      </c>
      <c r="V883" s="8" t="s">
        <v>56</v>
      </c>
      <c r="W883" s="8" t="s">
        <v>69</v>
      </c>
    </row>
    <row r="884" customFormat="false" ht="15" hidden="false" customHeight="false" outlineLevel="0" collapsed="false">
      <c r="A884" s="8" t="s">
        <v>4119</v>
      </c>
      <c r="B884" s="8" t="n">
        <v>11</v>
      </c>
      <c r="C884" s="8" t="s">
        <v>91</v>
      </c>
      <c r="D884" s="8" t="s">
        <v>2909</v>
      </c>
      <c r="E884" s="8" t="s">
        <v>3473</v>
      </c>
      <c r="F884" s="8" t="n">
        <v>139</v>
      </c>
      <c r="G884" s="8" t="s">
        <v>4084</v>
      </c>
      <c r="H884" s="8" t="s">
        <v>4111</v>
      </c>
      <c r="I884" s="27" t="s">
        <v>4120</v>
      </c>
      <c r="J884" s="8" t="s">
        <v>291</v>
      </c>
      <c r="K884" s="8" t="s">
        <v>417</v>
      </c>
      <c r="L884" s="8"/>
      <c r="M884" s="8" t="str">
        <f aca="false">IF(K884="FUERA","Fuera del marco",IF(K884="N/A","Sin marco",IFERROR(INDEX(Catalogo_TIMSS!$C$5:$C$105,MATCH(K884,Catalogo_TIMSS!$A$5:$A$105,0)),"Pendiente de clasificar")))</f>
        <v>Fuera del marco</v>
      </c>
      <c r="N884" s="8" t="str">
        <f aca="false">IF(K884="FUERA","Fuera del marco",IF(K884="N/A","Sin marco",IFERROR(INDEX(Catalogo_TIMSS!$F$5:$F$105,MATCH(K884,Catalogo_TIMSS!$A$5:$A$105,0)),"Pendiente de clasificar")))</f>
        <v>Fuera del marco</v>
      </c>
      <c r="O884" s="8" t="str">
        <f aca="false">IF(L884="","",IFERROR(INDEX(Catalogo_TIMSS!$C$5:$C$105,MATCH(L884,Catalogo_TIMSS!$A$5:$A$105,0)),"?"))</f>
        <v/>
      </c>
      <c r="P884" s="8" t="s">
        <v>418</v>
      </c>
      <c r="Q884" s="27" t="s">
        <v>4121</v>
      </c>
      <c r="R884" s="27" t="s">
        <v>4122</v>
      </c>
      <c r="S884" s="28" t="n">
        <f aca="false">IFERROR(ISNUMBER(SEARCH("Conocer",$R884))/(ISNUMBER(SEARCH("Conocer",$R884))+ISNUMBER(SEARCH("Aplicar",$R884))+ISNUMBER(SEARCH("Razonar",$R884))),0)</f>
        <v>0</v>
      </c>
      <c r="T884" s="28" t="n">
        <f aca="false">IFERROR(ISNUMBER(SEARCH("Aplicar",$R884))/(ISNUMBER(SEARCH("Conocer",$R884))+ISNUMBER(SEARCH("Aplicar",$R884))+ISNUMBER(SEARCH("Razonar",$R884))),0)</f>
        <v>0</v>
      </c>
      <c r="U884" s="28" t="n">
        <f aca="false">IFERROR(ISNUMBER(SEARCH("Razonar",$R884))/(ISNUMBER(SEARCH("Conocer",$R884))+ISNUMBER(SEARCH("Aplicar",$R884))+ISNUMBER(SEARCH("Razonar",$R884))),0)</f>
        <v>1</v>
      </c>
      <c r="V884" s="8" t="s">
        <v>56</v>
      </c>
      <c r="W884" s="8" t="s">
        <v>69</v>
      </c>
    </row>
    <row r="885" customFormat="false" ht="15" hidden="false" customHeight="false" outlineLevel="0" collapsed="false">
      <c r="A885" s="8" t="s">
        <v>4123</v>
      </c>
      <c r="B885" s="8" t="n">
        <v>11</v>
      </c>
      <c r="C885" s="8" t="s">
        <v>91</v>
      </c>
      <c r="D885" s="8" t="s">
        <v>2909</v>
      </c>
      <c r="E885" s="8" t="s">
        <v>3473</v>
      </c>
      <c r="F885" s="8" t="n">
        <v>140</v>
      </c>
      <c r="G885" s="8" t="s">
        <v>4124</v>
      </c>
      <c r="H885" s="8" t="s">
        <v>4125</v>
      </c>
      <c r="I885" s="27" t="s">
        <v>4126</v>
      </c>
      <c r="J885" s="8" t="s">
        <v>291</v>
      </c>
      <c r="K885" s="8" t="s">
        <v>417</v>
      </c>
      <c r="L885" s="8"/>
      <c r="M885" s="8" t="str">
        <f aca="false">IF(K885="FUERA","Fuera del marco",IF(K885="N/A","Sin marco",IFERROR(INDEX(Catalogo_TIMSS!$C$5:$C$105,MATCH(K885,Catalogo_TIMSS!$A$5:$A$105,0)),"Pendiente de clasificar")))</f>
        <v>Fuera del marco</v>
      </c>
      <c r="N885" s="8" t="str">
        <f aca="false">IF(K885="FUERA","Fuera del marco",IF(K885="N/A","Sin marco",IFERROR(INDEX(Catalogo_TIMSS!$F$5:$F$105,MATCH(K885,Catalogo_TIMSS!$A$5:$A$105,0)),"Pendiente de clasificar")))</f>
        <v>Fuera del marco</v>
      </c>
      <c r="O885" s="8" t="str">
        <f aca="false">IF(L885="","",IFERROR(INDEX(Catalogo_TIMSS!$C$5:$C$105,MATCH(L885,Catalogo_TIMSS!$A$5:$A$105,0)),"?"))</f>
        <v/>
      </c>
      <c r="P885" s="8" t="s">
        <v>418</v>
      </c>
      <c r="Q885" s="27" t="s">
        <v>4127</v>
      </c>
      <c r="R885" s="27" t="s">
        <v>4128</v>
      </c>
      <c r="S885" s="28" t="n">
        <f aca="false">IFERROR(ISNUMBER(SEARCH("Conocer",$R885))/(ISNUMBER(SEARCH("Conocer",$R885))+ISNUMBER(SEARCH("Aplicar",$R885))+ISNUMBER(SEARCH("Razonar",$R885))),0)</f>
        <v>0</v>
      </c>
      <c r="T885" s="28" t="n">
        <f aca="false">IFERROR(ISNUMBER(SEARCH("Aplicar",$R885))/(ISNUMBER(SEARCH("Conocer",$R885))+ISNUMBER(SEARCH("Aplicar",$R885))+ISNUMBER(SEARCH("Razonar",$R885))),0)</f>
        <v>0.5</v>
      </c>
      <c r="U885" s="28" t="n">
        <f aca="false">IFERROR(ISNUMBER(SEARCH("Razonar",$R885))/(ISNUMBER(SEARCH("Conocer",$R885))+ISNUMBER(SEARCH("Aplicar",$R885))+ISNUMBER(SEARCH("Razonar",$R885))),0)</f>
        <v>0.5</v>
      </c>
      <c r="V885" s="8" t="s">
        <v>56</v>
      </c>
      <c r="W885" s="8" t="s">
        <v>69</v>
      </c>
    </row>
    <row r="886" customFormat="false" ht="15" hidden="false" customHeight="false" outlineLevel="0" collapsed="false">
      <c r="A886" s="8" t="s">
        <v>4129</v>
      </c>
      <c r="B886" s="8" t="n">
        <v>11</v>
      </c>
      <c r="C886" s="8" t="s">
        <v>91</v>
      </c>
      <c r="D886" s="8" t="s">
        <v>2909</v>
      </c>
      <c r="E886" s="8" t="s">
        <v>3473</v>
      </c>
      <c r="F886" s="8" t="n">
        <v>141</v>
      </c>
      <c r="G886" s="8" t="s">
        <v>4124</v>
      </c>
      <c r="H886" s="8" t="s">
        <v>4125</v>
      </c>
      <c r="I886" s="27" t="s">
        <v>4130</v>
      </c>
      <c r="J886" s="8" t="s">
        <v>291</v>
      </c>
      <c r="K886" s="8" t="s">
        <v>417</v>
      </c>
      <c r="L886" s="8"/>
      <c r="M886" s="8" t="str">
        <f aca="false">IF(K886="FUERA","Fuera del marco",IF(K886="N/A","Sin marco",IFERROR(INDEX(Catalogo_TIMSS!$C$5:$C$105,MATCH(K886,Catalogo_TIMSS!$A$5:$A$105,0)),"Pendiente de clasificar")))</f>
        <v>Fuera del marco</v>
      </c>
      <c r="N886" s="8" t="str">
        <f aca="false">IF(K886="FUERA","Fuera del marco",IF(K886="N/A","Sin marco",IFERROR(INDEX(Catalogo_TIMSS!$F$5:$F$105,MATCH(K886,Catalogo_TIMSS!$A$5:$A$105,0)),"Pendiente de clasificar")))</f>
        <v>Fuera del marco</v>
      </c>
      <c r="O886" s="8" t="str">
        <f aca="false">IF(L886="","",IFERROR(INDEX(Catalogo_TIMSS!$C$5:$C$105,MATCH(L886,Catalogo_TIMSS!$A$5:$A$105,0)),"?"))</f>
        <v/>
      </c>
      <c r="P886" s="8" t="s">
        <v>418</v>
      </c>
      <c r="Q886" s="27" t="s">
        <v>4131</v>
      </c>
      <c r="R886" s="27" t="s">
        <v>4132</v>
      </c>
      <c r="S886" s="28" t="n">
        <f aca="false">IFERROR(ISNUMBER(SEARCH("Conocer",$R886))/(ISNUMBER(SEARCH("Conocer",$R886))+ISNUMBER(SEARCH("Aplicar",$R886))+ISNUMBER(SEARCH("Razonar",$R886))),0)</f>
        <v>0</v>
      </c>
      <c r="T886" s="28" t="n">
        <f aca="false">IFERROR(ISNUMBER(SEARCH("Aplicar",$R886))/(ISNUMBER(SEARCH("Conocer",$R886))+ISNUMBER(SEARCH("Aplicar",$R886))+ISNUMBER(SEARCH("Razonar",$R886))),0)</f>
        <v>0</v>
      </c>
      <c r="U886" s="28" t="n">
        <f aca="false">IFERROR(ISNUMBER(SEARCH("Razonar",$R886))/(ISNUMBER(SEARCH("Conocer",$R886))+ISNUMBER(SEARCH("Aplicar",$R886))+ISNUMBER(SEARCH("Razonar",$R886))),0)</f>
        <v>1</v>
      </c>
      <c r="V886" s="8" t="s">
        <v>56</v>
      </c>
      <c r="W886" s="8" t="s">
        <v>69</v>
      </c>
    </row>
    <row r="887" customFormat="false" ht="15" hidden="false" customHeight="false" outlineLevel="0" collapsed="false">
      <c r="A887" s="8" t="s">
        <v>4133</v>
      </c>
      <c r="B887" s="8" t="n">
        <v>11</v>
      </c>
      <c r="C887" s="8" t="s">
        <v>91</v>
      </c>
      <c r="D887" s="8" t="s">
        <v>2909</v>
      </c>
      <c r="E887" s="8" t="s">
        <v>3473</v>
      </c>
      <c r="F887" s="8" t="n">
        <v>142</v>
      </c>
      <c r="G887" s="8" t="s">
        <v>4124</v>
      </c>
      <c r="H887" s="8" t="s">
        <v>4125</v>
      </c>
      <c r="I887" s="27" t="s">
        <v>4134</v>
      </c>
      <c r="J887" s="8" t="s">
        <v>291</v>
      </c>
      <c r="K887" s="8" t="s">
        <v>417</v>
      </c>
      <c r="L887" s="8"/>
      <c r="M887" s="8" t="str">
        <f aca="false">IF(K887="FUERA","Fuera del marco",IF(K887="N/A","Sin marco",IFERROR(INDEX(Catalogo_TIMSS!$C$5:$C$105,MATCH(K887,Catalogo_TIMSS!$A$5:$A$105,0)),"Pendiente de clasificar")))</f>
        <v>Fuera del marco</v>
      </c>
      <c r="N887" s="8" t="str">
        <f aca="false">IF(K887="FUERA","Fuera del marco",IF(K887="N/A","Sin marco",IFERROR(INDEX(Catalogo_TIMSS!$F$5:$F$105,MATCH(K887,Catalogo_TIMSS!$A$5:$A$105,0)),"Pendiente de clasificar")))</f>
        <v>Fuera del marco</v>
      </c>
      <c r="O887" s="8" t="str">
        <f aca="false">IF(L887="","",IFERROR(INDEX(Catalogo_TIMSS!$C$5:$C$105,MATCH(L887,Catalogo_TIMSS!$A$5:$A$105,0)),"?"))</f>
        <v/>
      </c>
      <c r="P887" s="8" t="s">
        <v>418</v>
      </c>
      <c r="Q887" s="27" t="s">
        <v>4135</v>
      </c>
      <c r="R887" s="27" t="s">
        <v>4136</v>
      </c>
      <c r="S887" s="28" t="n">
        <f aca="false">IFERROR(ISNUMBER(SEARCH("Conocer",$R887))/(ISNUMBER(SEARCH("Conocer",$R887))+ISNUMBER(SEARCH("Aplicar",$R887))+ISNUMBER(SEARCH("Razonar",$R887))),0)</f>
        <v>0</v>
      </c>
      <c r="T887" s="28" t="n">
        <f aca="false">IFERROR(ISNUMBER(SEARCH("Aplicar",$R887))/(ISNUMBER(SEARCH("Conocer",$R887))+ISNUMBER(SEARCH("Aplicar",$R887))+ISNUMBER(SEARCH("Razonar",$R887))),0)</f>
        <v>0.5</v>
      </c>
      <c r="U887" s="28" t="n">
        <f aca="false">IFERROR(ISNUMBER(SEARCH("Razonar",$R887))/(ISNUMBER(SEARCH("Conocer",$R887))+ISNUMBER(SEARCH("Aplicar",$R887))+ISNUMBER(SEARCH("Razonar",$R887))),0)</f>
        <v>0.5</v>
      </c>
      <c r="V887" s="8" t="s">
        <v>56</v>
      </c>
      <c r="W887" s="8" t="s">
        <v>69</v>
      </c>
    </row>
    <row r="888" customFormat="false" ht="15" hidden="false" customHeight="false" outlineLevel="0" collapsed="false">
      <c r="A888" s="8" t="s">
        <v>4137</v>
      </c>
      <c r="B888" s="8" t="n">
        <v>11</v>
      </c>
      <c r="C888" s="8" t="s">
        <v>91</v>
      </c>
      <c r="D888" s="8" t="s">
        <v>2909</v>
      </c>
      <c r="E888" s="8" t="s">
        <v>3473</v>
      </c>
      <c r="F888" s="8" t="n">
        <v>143</v>
      </c>
      <c r="G888" s="8" t="s">
        <v>4124</v>
      </c>
      <c r="H888" s="8" t="s">
        <v>4138</v>
      </c>
      <c r="I888" s="27" t="s">
        <v>4139</v>
      </c>
      <c r="J888" s="8" t="s">
        <v>291</v>
      </c>
      <c r="K888" s="8" t="s">
        <v>339</v>
      </c>
      <c r="L888" s="8"/>
      <c r="M888" s="8" t="str">
        <f aca="false">IF(K888="FUERA","Fuera del marco",IF(K888="N/A","Sin marco",IFERROR(INDEX(Catalogo_TIMSS!$C$5:$C$105,MATCH(K888,Catalogo_TIMSS!$A$5:$A$105,0)),"Pendiente de clasificar")))</f>
        <v>Ondas y física atómica/nuclear</v>
      </c>
      <c r="N888" s="8" t="str">
        <f aca="false">IF(K888="FUERA","Fuera del marco",IF(K888="N/A","Sin marco",IFERROR(INDEX(Catalogo_TIMSS!$F$5:$F$105,MATCH(K888,Catalogo_TIMSS!$A$5:$A$105,0)),"Pendiente de clasificar")))</f>
        <v>Física atómica y nuclear</v>
      </c>
      <c r="O888" s="8" t="str">
        <f aca="false">IF(L888="","",IFERROR(INDEX(Catalogo_TIMSS!$C$5:$C$105,MATCH(L888,Catalogo_TIMSS!$A$5:$A$105,0)),"?"))</f>
        <v/>
      </c>
      <c r="P888" s="8" t="s">
        <v>513</v>
      </c>
      <c r="Q888" s="27" t="s">
        <v>4140</v>
      </c>
      <c r="R888" s="27" t="s">
        <v>4141</v>
      </c>
      <c r="S888" s="28" t="n">
        <f aca="false">IFERROR(ISNUMBER(SEARCH("Conocer",$R888))/(ISNUMBER(SEARCH("Conocer",$R888))+ISNUMBER(SEARCH("Aplicar",$R888))+ISNUMBER(SEARCH("Razonar",$R888))),0)</f>
        <v>0.5</v>
      </c>
      <c r="T888" s="28" t="n">
        <f aca="false">IFERROR(ISNUMBER(SEARCH("Aplicar",$R888))/(ISNUMBER(SEARCH("Conocer",$R888))+ISNUMBER(SEARCH("Aplicar",$R888))+ISNUMBER(SEARCH("Razonar",$R888))),0)</f>
        <v>0</v>
      </c>
      <c r="U888" s="28" t="n">
        <f aca="false">IFERROR(ISNUMBER(SEARCH("Razonar",$R888))/(ISNUMBER(SEARCH("Conocer",$R888))+ISNUMBER(SEARCH("Aplicar",$R888))+ISNUMBER(SEARCH("Razonar",$R888))),0)</f>
        <v>0.5</v>
      </c>
      <c r="V888" s="8" t="s">
        <v>56</v>
      </c>
      <c r="W888" s="8" t="s">
        <v>69</v>
      </c>
    </row>
    <row r="889" customFormat="false" ht="15" hidden="false" customHeight="false" outlineLevel="0" collapsed="false">
      <c r="A889" s="8" t="s">
        <v>4142</v>
      </c>
      <c r="B889" s="8" t="n">
        <v>11</v>
      </c>
      <c r="C889" s="8" t="s">
        <v>91</v>
      </c>
      <c r="D889" s="8" t="s">
        <v>2909</v>
      </c>
      <c r="E889" s="8" t="s">
        <v>3473</v>
      </c>
      <c r="F889" s="8" t="n">
        <v>144</v>
      </c>
      <c r="G889" s="8" t="s">
        <v>4124</v>
      </c>
      <c r="H889" s="8" t="s">
        <v>4138</v>
      </c>
      <c r="I889" s="27" t="s">
        <v>4143</v>
      </c>
      <c r="J889" s="8" t="s">
        <v>291</v>
      </c>
      <c r="K889" s="8" t="s">
        <v>339</v>
      </c>
      <c r="L889" s="8" t="s">
        <v>328</v>
      </c>
      <c r="M889" s="8" t="str">
        <f aca="false">IF(K889="FUERA","Fuera del marco",IF(K889="N/A","Sin marco",IFERROR(INDEX(Catalogo_TIMSS!$C$5:$C$105,MATCH(K889,Catalogo_TIMSS!$A$5:$A$105,0)),"Pendiente de clasificar")))</f>
        <v>Ondas y física atómica/nuclear</v>
      </c>
      <c r="N889" s="8" t="str">
        <f aca="false">IF(K889="FUERA","Fuera del marco",IF(K889="N/A","Sin marco",IFERROR(INDEX(Catalogo_TIMSS!$F$5:$F$105,MATCH(K889,Catalogo_TIMSS!$A$5:$A$105,0)),"Pendiente de clasificar")))</f>
        <v>Física atómica y nuclear</v>
      </c>
      <c r="O889" s="8" t="str">
        <f aca="false">IF(L889="","",IFERROR(INDEX(Catalogo_TIMSS!$C$5:$C$105,MATCH(L889,Catalogo_TIMSS!$A$5:$A$105,0)),"?"))</f>
        <v>Ondas y física atómica/nuclear</v>
      </c>
      <c r="P889" s="8" t="s">
        <v>513</v>
      </c>
      <c r="Q889" s="27" t="s">
        <v>4144</v>
      </c>
      <c r="R889" s="27" t="s">
        <v>4145</v>
      </c>
      <c r="S889" s="28" t="n">
        <f aca="false">IFERROR(ISNUMBER(SEARCH("Conocer",$R889))/(ISNUMBER(SEARCH("Conocer",$R889))+ISNUMBER(SEARCH("Aplicar",$R889))+ISNUMBER(SEARCH("Razonar",$R889))),0)</f>
        <v>0</v>
      </c>
      <c r="T889" s="28" t="n">
        <f aca="false">IFERROR(ISNUMBER(SEARCH("Aplicar",$R889))/(ISNUMBER(SEARCH("Conocer",$R889))+ISNUMBER(SEARCH("Aplicar",$R889))+ISNUMBER(SEARCH("Razonar",$R889))),0)</f>
        <v>0.5</v>
      </c>
      <c r="U889" s="28" t="n">
        <f aca="false">IFERROR(ISNUMBER(SEARCH("Razonar",$R889))/(ISNUMBER(SEARCH("Conocer",$R889))+ISNUMBER(SEARCH("Aplicar",$R889))+ISNUMBER(SEARCH("Razonar",$R889))),0)</f>
        <v>0.5</v>
      </c>
      <c r="V889" s="8" t="s">
        <v>56</v>
      </c>
      <c r="W889" s="8" t="s">
        <v>69</v>
      </c>
    </row>
    <row r="890" customFormat="false" ht="15" hidden="false" customHeight="false" outlineLevel="0" collapsed="false">
      <c r="A890" s="8" t="s">
        <v>4146</v>
      </c>
      <c r="B890" s="8" t="n">
        <v>11</v>
      </c>
      <c r="C890" s="8" t="s">
        <v>91</v>
      </c>
      <c r="D890" s="8" t="s">
        <v>2909</v>
      </c>
      <c r="E890" s="8" t="s">
        <v>3473</v>
      </c>
      <c r="F890" s="8" t="n">
        <v>145</v>
      </c>
      <c r="G890" s="8" t="s">
        <v>4124</v>
      </c>
      <c r="H890" s="8" t="s">
        <v>4138</v>
      </c>
      <c r="I890" s="27" t="s">
        <v>4147</v>
      </c>
      <c r="J890" s="8" t="s">
        <v>291</v>
      </c>
      <c r="K890" s="8" t="s">
        <v>339</v>
      </c>
      <c r="L890" s="8"/>
      <c r="M890" s="8" t="str">
        <f aca="false">IF(K890="FUERA","Fuera del marco",IF(K890="N/A","Sin marco",IFERROR(INDEX(Catalogo_TIMSS!$C$5:$C$105,MATCH(K890,Catalogo_TIMSS!$A$5:$A$105,0)),"Pendiente de clasificar")))</f>
        <v>Ondas y física atómica/nuclear</v>
      </c>
      <c r="N890" s="8" t="str">
        <f aca="false">IF(K890="FUERA","Fuera del marco",IF(K890="N/A","Sin marco",IFERROR(INDEX(Catalogo_TIMSS!$F$5:$F$105,MATCH(K890,Catalogo_TIMSS!$A$5:$A$105,0)),"Pendiente de clasificar")))</f>
        <v>Física atómica y nuclear</v>
      </c>
      <c r="O890" s="8" t="str">
        <f aca="false">IF(L890="","",IFERROR(INDEX(Catalogo_TIMSS!$C$5:$C$105,MATCH(L890,Catalogo_TIMSS!$A$5:$A$105,0)),"?"))</f>
        <v/>
      </c>
      <c r="P890" s="8" t="s">
        <v>513</v>
      </c>
      <c r="Q890" s="27" t="s">
        <v>4148</v>
      </c>
      <c r="R890" s="27" t="s">
        <v>4149</v>
      </c>
      <c r="S890" s="28" t="n">
        <f aca="false">IFERROR(ISNUMBER(SEARCH("Conocer",$R890))/(ISNUMBER(SEARCH("Conocer",$R890))+ISNUMBER(SEARCH("Aplicar",$R890))+ISNUMBER(SEARCH("Razonar",$R890))),0)</f>
        <v>0.5</v>
      </c>
      <c r="T890" s="28" t="n">
        <f aca="false">IFERROR(ISNUMBER(SEARCH("Aplicar",$R890))/(ISNUMBER(SEARCH("Conocer",$R890))+ISNUMBER(SEARCH("Aplicar",$R890))+ISNUMBER(SEARCH("Razonar",$R890))),0)</f>
        <v>0</v>
      </c>
      <c r="U890" s="28" t="n">
        <f aca="false">IFERROR(ISNUMBER(SEARCH("Razonar",$R890))/(ISNUMBER(SEARCH("Conocer",$R890))+ISNUMBER(SEARCH("Aplicar",$R890))+ISNUMBER(SEARCH("Razonar",$R890))),0)</f>
        <v>0.5</v>
      </c>
      <c r="V890" s="8" t="s">
        <v>56</v>
      </c>
      <c r="W890" s="8" t="s">
        <v>69</v>
      </c>
    </row>
    <row r="891" customFormat="false" ht="15" hidden="false" customHeight="false" outlineLevel="0" collapsed="false">
      <c r="A891" s="8" t="s">
        <v>4150</v>
      </c>
      <c r="B891" s="8" t="n">
        <v>11</v>
      </c>
      <c r="C891" s="8" t="s">
        <v>91</v>
      </c>
      <c r="D891" s="8" t="s">
        <v>2909</v>
      </c>
      <c r="E891" s="8" t="s">
        <v>3473</v>
      </c>
      <c r="F891" s="8" t="n">
        <v>146</v>
      </c>
      <c r="G891" s="8" t="s">
        <v>4124</v>
      </c>
      <c r="H891" s="8" t="s">
        <v>4151</v>
      </c>
      <c r="I891" s="27" t="s">
        <v>4152</v>
      </c>
      <c r="J891" s="8" t="s">
        <v>291</v>
      </c>
      <c r="K891" s="8" t="s">
        <v>339</v>
      </c>
      <c r="L891" s="8" t="s">
        <v>341</v>
      </c>
      <c r="M891" s="8" t="str">
        <f aca="false">IF(K891="FUERA","Fuera del marco",IF(K891="N/A","Sin marco",IFERROR(INDEX(Catalogo_TIMSS!$C$5:$C$105,MATCH(K891,Catalogo_TIMSS!$A$5:$A$105,0)),"Pendiente de clasificar")))</f>
        <v>Ondas y física atómica/nuclear</v>
      </c>
      <c r="N891" s="8" t="str">
        <f aca="false">IF(K891="FUERA","Fuera del marco",IF(K891="N/A","Sin marco",IFERROR(INDEX(Catalogo_TIMSS!$F$5:$F$105,MATCH(K891,Catalogo_TIMSS!$A$5:$A$105,0)),"Pendiente de clasificar")))</f>
        <v>Física atómica y nuclear</v>
      </c>
      <c r="O891" s="8" t="str">
        <f aca="false">IF(L891="","",IFERROR(INDEX(Catalogo_TIMSS!$C$5:$C$105,MATCH(L891,Catalogo_TIMSS!$A$5:$A$105,0)),"?"))</f>
        <v>Ondas y física atómica/nuclear</v>
      </c>
      <c r="P891" s="8" t="s">
        <v>418</v>
      </c>
      <c r="Q891" s="27" t="s">
        <v>4153</v>
      </c>
      <c r="R891" s="27" t="s">
        <v>4154</v>
      </c>
      <c r="S891" s="28" t="n">
        <f aca="false">IFERROR(ISNUMBER(SEARCH("Conocer",$R891))/(ISNUMBER(SEARCH("Conocer",$R891))+ISNUMBER(SEARCH("Aplicar",$R891))+ISNUMBER(SEARCH("Razonar",$R891))),0)</f>
        <v>0</v>
      </c>
      <c r="T891" s="28" t="n">
        <f aca="false">IFERROR(ISNUMBER(SEARCH("Aplicar",$R891))/(ISNUMBER(SEARCH("Conocer",$R891))+ISNUMBER(SEARCH("Aplicar",$R891))+ISNUMBER(SEARCH("Razonar",$R891))),0)</f>
        <v>0.5</v>
      </c>
      <c r="U891" s="28" t="n">
        <f aca="false">IFERROR(ISNUMBER(SEARCH("Razonar",$R891))/(ISNUMBER(SEARCH("Conocer",$R891))+ISNUMBER(SEARCH("Aplicar",$R891))+ISNUMBER(SEARCH("Razonar",$R891))),0)</f>
        <v>0.5</v>
      </c>
      <c r="V891" s="8" t="s">
        <v>56</v>
      </c>
      <c r="W891" s="8" t="s">
        <v>69</v>
      </c>
    </row>
    <row r="892" customFormat="false" ht="15" hidden="false" customHeight="false" outlineLevel="0" collapsed="false">
      <c r="A892" s="8" t="s">
        <v>4155</v>
      </c>
      <c r="B892" s="8" t="n">
        <v>11</v>
      </c>
      <c r="C892" s="8" t="s">
        <v>91</v>
      </c>
      <c r="D892" s="8" t="s">
        <v>2909</v>
      </c>
      <c r="E892" s="8" t="s">
        <v>3473</v>
      </c>
      <c r="F892" s="8" t="n">
        <v>147</v>
      </c>
      <c r="G892" s="8" t="s">
        <v>4124</v>
      </c>
      <c r="H892" s="8" t="s">
        <v>4151</v>
      </c>
      <c r="I892" s="27" t="s">
        <v>4156</v>
      </c>
      <c r="J892" s="8" t="s">
        <v>291</v>
      </c>
      <c r="K892" s="8" t="s">
        <v>339</v>
      </c>
      <c r="L892" s="8" t="s">
        <v>341</v>
      </c>
      <c r="M892" s="8" t="str">
        <f aca="false">IF(K892="FUERA","Fuera del marco",IF(K892="N/A","Sin marco",IFERROR(INDEX(Catalogo_TIMSS!$C$5:$C$105,MATCH(K892,Catalogo_TIMSS!$A$5:$A$105,0)),"Pendiente de clasificar")))</f>
        <v>Ondas y física atómica/nuclear</v>
      </c>
      <c r="N892" s="8" t="str">
        <f aca="false">IF(K892="FUERA","Fuera del marco",IF(K892="N/A","Sin marco",IFERROR(INDEX(Catalogo_TIMSS!$F$5:$F$105,MATCH(K892,Catalogo_TIMSS!$A$5:$A$105,0)),"Pendiente de clasificar")))</f>
        <v>Física atómica y nuclear</v>
      </c>
      <c r="O892" s="8" t="str">
        <f aca="false">IF(L892="","",IFERROR(INDEX(Catalogo_TIMSS!$C$5:$C$105,MATCH(L892,Catalogo_TIMSS!$A$5:$A$105,0)),"?"))</f>
        <v>Ondas y física atómica/nuclear</v>
      </c>
      <c r="P892" s="8" t="s">
        <v>460</v>
      </c>
      <c r="Q892" s="27" t="s">
        <v>4157</v>
      </c>
      <c r="R892" s="27" t="s">
        <v>4158</v>
      </c>
      <c r="S892" s="28" t="n">
        <f aca="false">IFERROR(ISNUMBER(SEARCH("Conocer",$R892))/(ISNUMBER(SEARCH("Conocer",$R892))+ISNUMBER(SEARCH("Aplicar",$R892))+ISNUMBER(SEARCH("Razonar",$R892))),0)</f>
        <v>0.5</v>
      </c>
      <c r="T892" s="28" t="n">
        <f aca="false">IFERROR(ISNUMBER(SEARCH("Aplicar",$R892))/(ISNUMBER(SEARCH("Conocer",$R892))+ISNUMBER(SEARCH("Aplicar",$R892))+ISNUMBER(SEARCH("Razonar",$R892))),0)</f>
        <v>0.5</v>
      </c>
      <c r="U892" s="28" t="n">
        <f aca="false">IFERROR(ISNUMBER(SEARCH("Razonar",$R892))/(ISNUMBER(SEARCH("Conocer",$R892))+ISNUMBER(SEARCH("Aplicar",$R892))+ISNUMBER(SEARCH("Razonar",$R892))),0)</f>
        <v>0</v>
      </c>
      <c r="V892" s="8" t="s">
        <v>56</v>
      </c>
      <c r="W892" s="8" t="s">
        <v>69</v>
      </c>
    </row>
    <row r="893" customFormat="false" ht="15" hidden="false" customHeight="false" outlineLevel="0" collapsed="false">
      <c r="A893" s="8" t="s">
        <v>4159</v>
      </c>
      <c r="B893" s="8" t="n">
        <v>11</v>
      </c>
      <c r="C893" s="8" t="s">
        <v>91</v>
      </c>
      <c r="D893" s="8" t="s">
        <v>2909</v>
      </c>
      <c r="E893" s="8" t="s">
        <v>3473</v>
      </c>
      <c r="F893" s="8" t="n">
        <v>148</v>
      </c>
      <c r="G893" s="8" t="s">
        <v>4124</v>
      </c>
      <c r="H893" s="8" t="s">
        <v>4151</v>
      </c>
      <c r="I893" s="27" t="s">
        <v>4160</v>
      </c>
      <c r="J893" s="8" t="s">
        <v>291</v>
      </c>
      <c r="K893" s="8" t="s">
        <v>339</v>
      </c>
      <c r="L893" s="8"/>
      <c r="M893" s="8" t="str">
        <f aca="false">IF(K893="FUERA","Fuera del marco",IF(K893="N/A","Sin marco",IFERROR(INDEX(Catalogo_TIMSS!$C$5:$C$105,MATCH(K893,Catalogo_TIMSS!$A$5:$A$105,0)),"Pendiente de clasificar")))</f>
        <v>Ondas y física atómica/nuclear</v>
      </c>
      <c r="N893" s="8" t="str">
        <f aca="false">IF(K893="FUERA","Fuera del marco",IF(K893="N/A","Sin marco",IFERROR(INDEX(Catalogo_TIMSS!$F$5:$F$105,MATCH(K893,Catalogo_TIMSS!$A$5:$A$105,0)),"Pendiente de clasificar")))</f>
        <v>Física atómica y nuclear</v>
      </c>
      <c r="O893" s="8" t="str">
        <f aca="false">IF(L893="","",IFERROR(INDEX(Catalogo_TIMSS!$C$5:$C$105,MATCH(L893,Catalogo_TIMSS!$A$5:$A$105,0)),"?"))</f>
        <v/>
      </c>
      <c r="P893" s="8" t="s">
        <v>513</v>
      </c>
      <c r="Q893" s="27" t="s">
        <v>4161</v>
      </c>
      <c r="R893" s="27" t="s">
        <v>4162</v>
      </c>
      <c r="S893" s="28" t="n">
        <f aca="false">IFERROR(ISNUMBER(SEARCH("Conocer",$R893))/(ISNUMBER(SEARCH("Conocer",$R893))+ISNUMBER(SEARCH("Aplicar",$R893))+ISNUMBER(SEARCH("Razonar",$R893))),0)</f>
        <v>0.5</v>
      </c>
      <c r="T893" s="28" t="n">
        <f aca="false">IFERROR(ISNUMBER(SEARCH("Aplicar",$R893))/(ISNUMBER(SEARCH("Conocer",$R893))+ISNUMBER(SEARCH("Aplicar",$R893))+ISNUMBER(SEARCH("Razonar",$R893))),0)</f>
        <v>0</v>
      </c>
      <c r="U893" s="28" t="n">
        <f aca="false">IFERROR(ISNUMBER(SEARCH("Razonar",$R893))/(ISNUMBER(SEARCH("Conocer",$R893))+ISNUMBER(SEARCH("Aplicar",$R893))+ISNUMBER(SEARCH("Razonar",$R893))),0)</f>
        <v>0.5</v>
      </c>
      <c r="V893" s="8" t="s">
        <v>56</v>
      </c>
      <c r="W893" s="8" t="s">
        <v>69</v>
      </c>
    </row>
    <row r="894" customFormat="false" ht="15" hidden="false" customHeight="false" outlineLevel="0" collapsed="false">
      <c r="A894" s="8" t="s">
        <v>4163</v>
      </c>
      <c r="B894" s="8" t="n">
        <v>10</v>
      </c>
      <c r="C894" s="8" t="s">
        <v>90</v>
      </c>
      <c r="D894" s="8" t="s">
        <v>4164</v>
      </c>
      <c r="E894" s="8" t="s">
        <v>4165</v>
      </c>
      <c r="F894" s="8" t="n">
        <v>3</v>
      </c>
      <c r="G894" s="8" t="s">
        <v>4166</v>
      </c>
      <c r="H894" s="8" t="s">
        <v>4167</v>
      </c>
      <c r="I894" s="27" t="s">
        <v>4168</v>
      </c>
      <c r="J894" s="8" t="s">
        <v>4169</v>
      </c>
      <c r="K894" s="8" t="s">
        <v>4170</v>
      </c>
      <c r="L894" s="8"/>
      <c r="M894" s="8" t="str">
        <f aca="false">IF(K894="FUERA","Fuera del marco",IF(K894="N/A","Sin marco",IFERROR(INDEX(Catalogo_TIMSS!$C$5:$C$105,MATCH(K894,Catalogo_TIMSS!$A$5:$A$105,0)),"Pendiente de clasificar")))</f>
        <v>Sin marco</v>
      </c>
      <c r="N894" s="8" t="str">
        <f aca="false">IF(K894="FUERA","Fuera del marco",IF(K894="N/A","Sin marco",IFERROR(INDEX(Catalogo_TIMSS!$F$5:$F$105,MATCH(K894,Catalogo_TIMSS!$A$5:$A$105,0)),"Pendiente de clasificar")))</f>
        <v>Sin marco</v>
      </c>
      <c r="O894" s="8" t="str">
        <f aca="false">IF(L894="","",IFERROR(INDEX(Catalogo_TIMSS!$C$5:$C$105,MATCH(L894,Catalogo_TIMSS!$A$5:$A$105,0)),"?"))</f>
        <v/>
      </c>
      <c r="P894" s="8" t="s">
        <v>4170</v>
      </c>
      <c r="Q894" s="27" t="s">
        <v>4171</v>
      </c>
      <c r="R894" s="27" t="s">
        <v>4172</v>
      </c>
      <c r="S894" s="28" t="n">
        <f aca="false">IFERROR(ISNUMBER(SEARCH("Conocer",$R894))/(ISNUMBER(SEARCH("Conocer",$R894))+ISNUMBER(SEARCH("Aplicar",$R894))+ISNUMBER(SEARCH("Razonar",$R894))),0)</f>
        <v>0.5</v>
      </c>
      <c r="T894" s="28" t="n">
        <f aca="false">IFERROR(ISNUMBER(SEARCH("Aplicar",$R894))/(ISNUMBER(SEARCH("Conocer",$R894))+ISNUMBER(SEARCH("Aplicar",$R894))+ISNUMBER(SEARCH("Razonar",$R894))),0)</f>
        <v>0</v>
      </c>
      <c r="U894" s="28" t="n">
        <f aca="false">IFERROR(ISNUMBER(SEARCH("Razonar",$R894))/(ISNUMBER(SEARCH("Conocer",$R894))+ISNUMBER(SEARCH("Aplicar",$R894))+ISNUMBER(SEARCH("Razonar",$R894))),0)</f>
        <v>0.5</v>
      </c>
      <c r="V894" s="8" t="s">
        <v>383</v>
      </c>
      <c r="W894" s="8" t="s">
        <v>4173</v>
      </c>
    </row>
    <row r="895" customFormat="false" ht="15" hidden="false" customHeight="false" outlineLevel="0" collapsed="false">
      <c r="A895" s="8" t="s">
        <v>4174</v>
      </c>
      <c r="B895" s="8" t="n">
        <v>10</v>
      </c>
      <c r="C895" s="8" t="s">
        <v>90</v>
      </c>
      <c r="D895" s="8" t="s">
        <v>4164</v>
      </c>
      <c r="E895" s="8" t="s">
        <v>4165</v>
      </c>
      <c r="F895" s="8" t="n">
        <v>4</v>
      </c>
      <c r="G895" s="8" t="s">
        <v>4166</v>
      </c>
      <c r="H895" s="8" t="s">
        <v>4167</v>
      </c>
      <c r="I895" s="27" t="s">
        <v>4175</v>
      </c>
      <c r="J895" s="8" t="s">
        <v>4169</v>
      </c>
      <c r="K895" s="8" t="s">
        <v>4170</v>
      </c>
      <c r="L895" s="8"/>
      <c r="M895" s="8" t="str">
        <f aca="false">IF(K895="FUERA","Fuera del marco",IF(K895="N/A","Sin marco",IFERROR(INDEX(Catalogo_TIMSS!$C$5:$C$105,MATCH(K895,Catalogo_TIMSS!$A$5:$A$105,0)),"Pendiente de clasificar")))</f>
        <v>Sin marco</v>
      </c>
      <c r="N895" s="8" t="str">
        <f aca="false">IF(K895="FUERA","Fuera del marco",IF(K895="N/A","Sin marco",IFERROR(INDEX(Catalogo_TIMSS!$F$5:$F$105,MATCH(K895,Catalogo_TIMSS!$A$5:$A$105,0)),"Pendiente de clasificar")))</f>
        <v>Sin marco</v>
      </c>
      <c r="O895" s="8" t="str">
        <f aca="false">IF(L895="","",IFERROR(INDEX(Catalogo_TIMSS!$C$5:$C$105,MATCH(L895,Catalogo_TIMSS!$A$5:$A$105,0)),"?"))</f>
        <v/>
      </c>
      <c r="P895" s="8" t="s">
        <v>4170</v>
      </c>
      <c r="Q895" s="27" t="s">
        <v>4171</v>
      </c>
      <c r="R895" s="27" t="s">
        <v>4176</v>
      </c>
      <c r="S895" s="28" t="n">
        <f aca="false">IFERROR(ISNUMBER(SEARCH("Conocer",$R895))/(ISNUMBER(SEARCH("Conocer",$R895))+ISNUMBER(SEARCH("Aplicar",$R895))+ISNUMBER(SEARCH("Razonar",$R895))),0)</f>
        <v>0.333333333333333</v>
      </c>
      <c r="T895" s="28" t="n">
        <f aca="false">IFERROR(ISNUMBER(SEARCH("Aplicar",$R895))/(ISNUMBER(SEARCH("Conocer",$R895))+ISNUMBER(SEARCH("Aplicar",$R895))+ISNUMBER(SEARCH("Razonar",$R895))),0)</f>
        <v>0.333333333333333</v>
      </c>
      <c r="U895" s="28" t="n">
        <f aca="false">IFERROR(ISNUMBER(SEARCH("Razonar",$R895))/(ISNUMBER(SEARCH("Conocer",$R895))+ISNUMBER(SEARCH("Aplicar",$R895))+ISNUMBER(SEARCH("Razonar",$R895))),0)</f>
        <v>0.333333333333333</v>
      </c>
      <c r="V895" s="8" t="s">
        <v>383</v>
      </c>
      <c r="W895" s="8" t="s">
        <v>4173</v>
      </c>
    </row>
    <row r="896" customFormat="false" ht="15" hidden="false" customHeight="false" outlineLevel="0" collapsed="false">
      <c r="A896" s="8" t="s">
        <v>4177</v>
      </c>
      <c r="B896" s="8" t="n">
        <v>10</v>
      </c>
      <c r="C896" s="8" t="s">
        <v>90</v>
      </c>
      <c r="D896" s="8" t="s">
        <v>4164</v>
      </c>
      <c r="E896" s="8" t="s">
        <v>4165</v>
      </c>
      <c r="F896" s="8" t="n">
        <v>5</v>
      </c>
      <c r="G896" s="8" t="s">
        <v>4166</v>
      </c>
      <c r="H896" s="8" t="s">
        <v>4167</v>
      </c>
      <c r="I896" s="27" t="s">
        <v>4178</v>
      </c>
      <c r="J896" s="8" t="s">
        <v>4169</v>
      </c>
      <c r="K896" s="8" t="s">
        <v>4170</v>
      </c>
      <c r="L896" s="8"/>
      <c r="M896" s="8" t="str">
        <f aca="false">IF(K896="FUERA","Fuera del marco",IF(K896="N/A","Sin marco",IFERROR(INDEX(Catalogo_TIMSS!$C$5:$C$105,MATCH(K896,Catalogo_TIMSS!$A$5:$A$105,0)),"Pendiente de clasificar")))</f>
        <v>Sin marco</v>
      </c>
      <c r="N896" s="8" t="str">
        <f aca="false">IF(K896="FUERA","Fuera del marco",IF(K896="N/A","Sin marco",IFERROR(INDEX(Catalogo_TIMSS!$F$5:$F$105,MATCH(K896,Catalogo_TIMSS!$A$5:$A$105,0)),"Pendiente de clasificar")))</f>
        <v>Sin marco</v>
      </c>
      <c r="O896" s="8" t="str">
        <f aca="false">IF(L896="","",IFERROR(INDEX(Catalogo_TIMSS!$C$5:$C$105,MATCH(L896,Catalogo_TIMSS!$A$5:$A$105,0)),"?"))</f>
        <v/>
      </c>
      <c r="P896" s="8" t="s">
        <v>4170</v>
      </c>
      <c r="Q896" s="27" t="s">
        <v>4171</v>
      </c>
      <c r="R896" s="27" t="s">
        <v>4179</v>
      </c>
      <c r="S896" s="28" t="n">
        <f aca="false">IFERROR(ISNUMBER(SEARCH("Conocer",$R896))/(ISNUMBER(SEARCH("Conocer",$R896))+ISNUMBER(SEARCH("Aplicar",$R896))+ISNUMBER(SEARCH("Razonar",$R896))),0)</f>
        <v>0</v>
      </c>
      <c r="T896" s="28" t="n">
        <f aca="false">IFERROR(ISNUMBER(SEARCH("Aplicar",$R896))/(ISNUMBER(SEARCH("Conocer",$R896))+ISNUMBER(SEARCH("Aplicar",$R896))+ISNUMBER(SEARCH("Razonar",$R896))),0)</f>
        <v>0.5</v>
      </c>
      <c r="U896" s="28" t="n">
        <f aca="false">IFERROR(ISNUMBER(SEARCH("Razonar",$R896))/(ISNUMBER(SEARCH("Conocer",$R896))+ISNUMBER(SEARCH("Aplicar",$R896))+ISNUMBER(SEARCH("Razonar",$R896))),0)</f>
        <v>0.5</v>
      </c>
      <c r="V896" s="8" t="s">
        <v>383</v>
      </c>
      <c r="W896" s="8" t="s">
        <v>4173</v>
      </c>
    </row>
    <row r="897" customFormat="false" ht="15" hidden="false" customHeight="false" outlineLevel="0" collapsed="false">
      <c r="A897" s="8" t="s">
        <v>4180</v>
      </c>
      <c r="B897" s="8" t="n">
        <v>10</v>
      </c>
      <c r="C897" s="8" t="s">
        <v>90</v>
      </c>
      <c r="D897" s="8" t="s">
        <v>4164</v>
      </c>
      <c r="E897" s="8" t="s">
        <v>4165</v>
      </c>
      <c r="F897" s="8" t="n">
        <v>6</v>
      </c>
      <c r="G897" s="8" t="s">
        <v>4166</v>
      </c>
      <c r="H897" s="8" t="s">
        <v>4167</v>
      </c>
      <c r="I897" s="27" t="s">
        <v>4181</v>
      </c>
      <c r="J897" s="8" t="s">
        <v>4169</v>
      </c>
      <c r="K897" s="8" t="s">
        <v>4170</v>
      </c>
      <c r="L897" s="8"/>
      <c r="M897" s="8" t="str">
        <f aca="false">IF(K897="FUERA","Fuera del marco",IF(K897="N/A","Sin marco",IFERROR(INDEX(Catalogo_TIMSS!$C$5:$C$105,MATCH(K897,Catalogo_TIMSS!$A$5:$A$105,0)),"Pendiente de clasificar")))</f>
        <v>Sin marco</v>
      </c>
      <c r="N897" s="8" t="str">
        <f aca="false">IF(K897="FUERA","Fuera del marco",IF(K897="N/A","Sin marco",IFERROR(INDEX(Catalogo_TIMSS!$F$5:$F$105,MATCH(K897,Catalogo_TIMSS!$A$5:$A$105,0)),"Pendiente de clasificar")))</f>
        <v>Sin marco</v>
      </c>
      <c r="O897" s="8" t="str">
        <f aca="false">IF(L897="","",IFERROR(INDEX(Catalogo_TIMSS!$C$5:$C$105,MATCH(L897,Catalogo_TIMSS!$A$5:$A$105,0)),"?"))</f>
        <v/>
      </c>
      <c r="P897" s="8" t="s">
        <v>4170</v>
      </c>
      <c r="Q897" s="27" t="s">
        <v>4171</v>
      </c>
      <c r="R897" s="27" t="s">
        <v>4182</v>
      </c>
      <c r="S897" s="28" t="n">
        <f aca="false">IFERROR(ISNUMBER(SEARCH("Conocer",$R897))/(ISNUMBER(SEARCH("Conocer",$R897))+ISNUMBER(SEARCH("Aplicar",$R897))+ISNUMBER(SEARCH("Razonar",$R897))),0)</f>
        <v>0.5</v>
      </c>
      <c r="T897" s="28" t="n">
        <f aca="false">IFERROR(ISNUMBER(SEARCH("Aplicar",$R897))/(ISNUMBER(SEARCH("Conocer",$R897))+ISNUMBER(SEARCH("Aplicar",$R897))+ISNUMBER(SEARCH("Razonar",$R897))),0)</f>
        <v>0</v>
      </c>
      <c r="U897" s="28" t="n">
        <f aca="false">IFERROR(ISNUMBER(SEARCH("Razonar",$R897))/(ISNUMBER(SEARCH("Conocer",$R897))+ISNUMBER(SEARCH("Aplicar",$R897))+ISNUMBER(SEARCH("Razonar",$R897))),0)</f>
        <v>0.5</v>
      </c>
      <c r="V897" s="8" t="s">
        <v>383</v>
      </c>
      <c r="W897" s="8" t="s">
        <v>4173</v>
      </c>
    </row>
    <row r="898" customFormat="false" ht="15" hidden="false" customHeight="false" outlineLevel="0" collapsed="false">
      <c r="A898" s="8" t="s">
        <v>4183</v>
      </c>
      <c r="B898" s="8" t="n">
        <v>10</v>
      </c>
      <c r="C898" s="8" t="s">
        <v>90</v>
      </c>
      <c r="D898" s="8" t="s">
        <v>4164</v>
      </c>
      <c r="E898" s="8" t="s">
        <v>4165</v>
      </c>
      <c r="F898" s="8" t="n">
        <v>7</v>
      </c>
      <c r="G898" s="8" t="s">
        <v>4166</v>
      </c>
      <c r="H898" s="8" t="s">
        <v>4167</v>
      </c>
      <c r="I898" s="27" t="s">
        <v>4184</v>
      </c>
      <c r="J898" s="8" t="s">
        <v>4169</v>
      </c>
      <c r="K898" s="8" t="s">
        <v>4170</v>
      </c>
      <c r="L898" s="8"/>
      <c r="M898" s="8" t="str">
        <f aca="false">IF(K898="FUERA","Fuera del marco",IF(K898="N/A","Sin marco",IFERROR(INDEX(Catalogo_TIMSS!$C$5:$C$105,MATCH(K898,Catalogo_TIMSS!$A$5:$A$105,0)),"Pendiente de clasificar")))</f>
        <v>Sin marco</v>
      </c>
      <c r="N898" s="8" t="str">
        <f aca="false">IF(K898="FUERA","Fuera del marco",IF(K898="N/A","Sin marco",IFERROR(INDEX(Catalogo_TIMSS!$F$5:$F$105,MATCH(K898,Catalogo_TIMSS!$A$5:$A$105,0)),"Pendiente de clasificar")))</f>
        <v>Sin marco</v>
      </c>
      <c r="O898" s="8" t="str">
        <f aca="false">IF(L898="","",IFERROR(INDEX(Catalogo_TIMSS!$C$5:$C$105,MATCH(L898,Catalogo_TIMSS!$A$5:$A$105,0)),"?"))</f>
        <v/>
      </c>
      <c r="P898" s="8" t="s">
        <v>4170</v>
      </c>
      <c r="Q898" s="27" t="s">
        <v>4171</v>
      </c>
      <c r="R898" s="27" t="s">
        <v>4185</v>
      </c>
      <c r="S898" s="28" t="n">
        <f aca="false">IFERROR(ISNUMBER(SEARCH("Conocer",$R898))/(ISNUMBER(SEARCH("Conocer",$R898))+ISNUMBER(SEARCH("Aplicar",$R898))+ISNUMBER(SEARCH("Razonar",$R898))),0)</f>
        <v>0</v>
      </c>
      <c r="T898" s="28" t="n">
        <f aca="false">IFERROR(ISNUMBER(SEARCH("Aplicar",$R898))/(ISNUMBER(SEARCH("Conocer",$R898))+ISNUMBER(SEARCH("Aplicar",$R898))+ISNUMBER(SEARCH("Razonar",$R898))),0)</f>
        <v>0.5</v>
      </c>
      <c r="U898" s="28" t="n">
        <f aca="false">IFERROR(ISNUMBER(SEARCH("Razonar",$R898))/(ISNUMBER(SEARCH("Conocer",$R898))+ISNUMBER(SEARCH("Aplicar",$R898))+ISNUMBER(SEARCH("Razonar",$R898))),0)</f>
        <v>0.5</v>
      </c>
      <c r="V898" s="8" t="s">
        <v>383</v>
      </c>
      <c r="W898" s="8" t="s">
        <v>4173</v>
      </c>
    </row>
    <row r="899" customFormat="false" ht="15" hidden="false" customHeight="false" outlineLevel="0" collapsed="false">
      <c r="A899" s="8" t="s">
        <v>4186</v>
      </c>
      <c r="B899" s="8" t="n">
        <v>10</v>
      </c>
      <c r="C899" s="8" t="s">
        <v>90</v>
      </c>
      <c r="D899" s="8" t="s">
        <v>4164</v>
      </c>
      <c r="E899" s="8" t="s">
        <v>4165</v>
      </c>
      <c r="F899" s="8" t="n">
        <v>8</v>
      </c>
      <c r="G899" s="8" t="s">
        <v>4166</v>
      </c>
      <c r="H899" s="8" t="s">
        <v>4187</v>
      </c>
      <c r="I899" s="27" t="s">
        <v>4188</v>
      </c>
      <c r="J899" s="8" t="s">
        <v>4169</v>
      </c>
      <c r="K899" s="8" t="s">
        <v>4170</v>
      </c>
      <c r="L899" s="8"/>
      <c r="M899" s="8" t="str">
        <f aca="false">IF(K899="FUERA","Fuera del marco",IF(K899="N/A","Sin marco",IFERROR(INDEX(Catalogo_TIMSS!$C$5:$C$105,MATCH(K899,Catalogo_TIMSS!$A$5:$A$105,0)),"Pendiente de clasificar")))</f>
        <v>Sin marco</v>
      </c>
      <c r="N899" s="8" t="str">
        <f aca="false">IF(K899="FUERA","Fuera del marco",IF(K899="N/A","Sin marco",IFERROR(INDEX(Catalogo_TIMSS!$F$5:$F$105,MATCH(K899,Catalogo_TIMSS!$A$5:$A$105,0)),"Pendiente de clasificar")))</f>
        <v>Sin marco</v>
      </c>
      <c r="O899" s="8" t="str">
        <f aca="false">IF(L899="","",IFERROR(INDEX(Catalogo_TIMSS!$C$5:$C$105,MATCH(L899,Catalogo_TIMSS!$A$5:$A$105,0)),"?"))</f>
        <v/>
      </c>
      <c r="P899" s="8" t="s">
        <v>4170</v>
      </c>
      <c r="Q899" s="27" t="s">
        <v>4171</v>
      </c>
      <c r="R899" s="27" t="s">
        <v>4189</v>
      </c>
      <c r="S899" s="28" t="n">
        <f aca="false">IFERROR(ISNUMBER(SEARCH("Conocer",$R899))/(ISNUMBER(SEARCH("Conocer",$R899))+ISNUMBER(SEARCH("Aplicar",$R899))+ISNUMBER(SEARCH("Razonar",$R899))),0)</f>
        <v>0</v>
      </c>
      <c r="T899" s="28" t="n">
        <f aca="false">IFERROR(ISNUMBER(SEARCH("Aplicar",$R899))/(ISNUMBER(SEARCH("Conocer",$R899))+ISNUMBER(SEARCH("Aplicar",$R899))+ISNUMBER(SEARCH("Razonar",$R899))),0)</f>
        <v>0.5</v>
      </c>
      <c r="U899" s="28" t="n">
        <f aca="false">IFERROR(ISNUMBER(SEARCH("Razonar",$R899))/(ISNUMBER(SEARCH("Conocer",$R899))+ISNUMBER(SEARCH("Aplicar",$R899))+ISNUMBER(SEARCH("Razonar",$R899))),0)</f>
        <v>0.5</v>
      </c>
      <c r="V899" s="8" t="s">
        <v>383</v>
      </c>
      <c r="W899" s="8" t="s">
        <v>4173</v>
      </c>
    </row>
    <row r="900" customFormat="false" ht="15" hidden="false" customHeight="false" outlineLevel="0" collapsed="false">
      <c r="A900" s="8" t="s">
        <v>4190</v>
      </c>
      <c r="B900" s="8" t="n">
        <v>10</v>
      </c>
      <c r="C900" s="8" t="s">
        <v>90</v>
      </c>
      <c r="D900" s="8" t="s">
        <v>4164</v>
      </c>
      <c r="E900" s="8" t="s">
        <v>4165</v>
      </c>
      <c r="F900" s="8" t="n">
        <v>9</v>
      </c>
      <c r="G900" s="8" t="s">
        <v>4166</v>
      </c>
      <c r="H900" s="8" t="s">
        <v>4191</v>
      </c>
      <c r="I900" s="27" t="s">
        <v>4192</v>
      </c>
      <c r="J900" s="8" t="s">
        <v>4169</v>
      </c>
      <c r="K900" s="8" t="s">
        <v>4170</v>
      </c>
      <c r="L900" s="8"/>
      <c r="M900" s="8" t="str">
        <f aca="false">IF(K900="FUERA","Fuera del marco",IF(K900="N/A","Sin marco",IFERROR(INDEX(Catalogo_TIMSS!$C$5:$C$105,MATCH(K900,Catalogo_TIMSS!$A$5:$A$105,0)),"Pendiente de clasificar")))</f>
        <v>Sin marco</v>
      </c>
      <c r="N900" s="8" t="str">
        <f aca="false">IF(K900="FUERA","Fuera del marco",IF(K900="N/A","Sin marco",IFERROR(INDEX(Catalogo_TIMSS!$F$5:$F$105,MATCH(K900,Catalogo_TIMSS!$A$5:$A$105,0)),"Pendiente de clasificar")))</f>
        <v>Sin marco</v>
      </c>
      <c r="O900" s="8" t="str">
        <f aca="false">IF(L900="","",IFERROR(INDEX(Catalogo_TIMSS!$C$5:$C$105,MATCH(L900,Catalogo_TIMSS!$A$5:$A$105,0)),"?"))</f>
        <v/>
      </c>
      <c r="P900" s="8" t="s">
        <v>4170</v>
      </c>
      <c r="Q900" s="27" t="s">
        <v>4171</v>
      </c>
      <c r="R900" s="27" t="s">
        <v>4193</v>
      </c>
      <c r="S900" s="28" t="n">
        <f aca="false">IFERROR(ISNUMBER(SEARCH("Conocer",$R900))/(ISNUMBER(SEARCH("Conocer",$R900))+ISNUMBER(SEARCH("Aplicar",$R900))+ISNUMBER(SEARCH("Razonar",$R900))),0)</f>
        <v>0</v>
      </c>
      <c r="T900" s="28" t="n">
        <f aca="false">IFERROR(ISNUMBER(SEARCH("Aplicar",$R900))/(ISNUMBER(SEARCH("Conocer",$R900))+ISNUMBER(SEARCH("Aplicar",$R900))+ISNUMBER(SEARCH("Razonar",$R900))),0)</f>
        <v>0.5</v>
      </c>
      <c r="U900" s="28" t="n">
        <f aca="false">IFERROR(ISNUMBER(SEARCH("Razonar",$R900))/(ISNUMBER(SEARCH("Conocer",$R900))+ISNUMBER(SEARCH("Aplicar",$R900))+ISNUMBER(SEARCH("Razonar",$R900))),0)</f>
        <v>0.5</v>
      </c>
      <c r="V900" s="8" t="s">
        <v>383</v>
      </c>
      <c r="W900" s="8" t="s">
        <v>4173</v>
      </c>
    </row>
    <row r="901" customFormat="false" ht="15" hidden="false" customHeight="false" outlineLevel="0" collapsed="false">
      <c r="A901" s="8" t="s">
        <v>4194</v>
      </c>
      <c r="B901" s="8" t="n">
        <v>10</v>
      </c>
      <c r="C901" s="8" t="s">
        <v>90</v>
      </c>
      <c r="D901" s="8" t="s">
        <v>4164</v>
      </c>
      <c r="E901" s="8" t="s">
        <v>4165</v>
      </c>
      <c r="F901" s="8" t="n">
        <v>10</v>
      </c>
      <c r="G901" s="8" t="s">
        <v>4166</v>
      </c>
      <c r="H901" s="8" t="s">
        <v>4191</v>
      </c>
      <c r="I901" s="27" t="s">
        <v>4195</v>
      </c>
      <c r="J901" s="8" t="s">
        <v>4169</v>
      </c>
      <c r="K901" s="8" t="s">
        <v>4170</v>
      </c>
      <c r="L901" s="8"/>
      <c r="M901" s="8" t="str">
        <f aca="false">IF(K901="FUERA","Fuera del marco",IF(K901="N/A","Sin marco",IFERROR(INDEX(Catalogo_TIMSS!$C$5:$C$105,MATCH(K901,Catalogo_TIMSS!$A$5:$A$105,0)),"Pendiente de clasificar")))</f>
        <v>Sin marco</v>
      </c>
      <c r="N901" s="8" t="str">
        <f aca="false">IF(K901="FUERA","Fuera del marco",IF(K901="N/A","Sin marco",IFERROR(INDEX(Catalogo_TIMSS!$F$5:$F$105,MATCH(K901,Catalogo_TIMSS!$A$5:$A$105,0)),"Pendiente de clasificar")))</f>
        <v>Sin marco</v>
      </c>
      <c r="O901" s="8" t="str">
        <f aca="false">IF(L901="","",IFERROR(INDEX(Catalogo_TIMSS!$C$5:$C$105,MATCH(L901,Catalogo_TIMSS!$A$5:$A$105,0)),"?"))</f>
        <v/>
      </c>
      <c r="P901" s="8" t="s">
        <v>4170</v>
      </c>
      <c r="Q901" s="27" t="s">
        <v>4171</v>
      </c>
      <c r="R901" s="27" t="s">
        <v>4196</v>
      </c>
      <c r="S901" s="28" t="n">
        <f aca="false">IFERROR(ISNUMBER(SEARCH("Conocer",$R901))/(ISNUMBER(SEARCH("Conocer",$R901))+ISNUMBER(SEARCH("Aplicar",$R901))+ISNUMBER(SEARCH("Razonar",$R901))),0)</f>
        <v>0</v>
      </c>
      <c r="T901" s="28" t="n">
        <f aca="false">IFERROR(ISNUMBER(SEARCH("Aplicar",$R901))/(ISNUMBER(SEARCH("Conocer",$R901))+ISNUMBER(SEARCH("Aplicar",$R901))+ISNUMBER(SEARCH("Razonar",$R901))),0)</f>
        <v>0.5</v>
      </c>
      <c r="U901" s="28" t="n">
        <f aca="false">IFERROR(ISNUMBER(SEARCH("Razonar",$R901))/(ISNUMBER(SEARCH("Conocer",$R901))+ISNUMBER(SEARCH("Aplicar",$R901))+ISNUMBER(SEARCH("Razonar",$R901))),0)</f>
        <v>0.5</v>
      </c>
      <c r="V901" s="8" t="s">
        <v>383</v>
      </c>
      <c r="W901" s="8" t="s">
        <v>4173</v>
      </c>
    </row>
    <row r="902" customFormat="false" ht="15" hidden="false" customHeight="false" outlineLevel="0" collapsed="false">
      <c r="A902" s="8" t="s">
        <v>4197</v>
      </c>
      <c r="B902" s="8" t="n">
        <v>10</v>
      </c>
      <c r="C902" s="8" t="s">
        <v>90</v>
      </c>
      <c r="D902" s="8" t="s">
        <v>4164</v>
      </c>
      <c r="E902" s="8" t="s">
        <v>4165</v>
      </c>
      <c r="F902" s="8" t="n">
        <v>11</v>
      </c>
      <c r="G902" s="8" t="s">
        <v>4166</v>
      </c>
      <c r="H902" s="8" t="s">
        <v>4191</v>
      </c>
      <c r="I902" s="27" t="s">
        <v>4198</v>
      </c>
      <c r="J902" s="8" t="s">
        <v>4169</v>
      </c>
      <c r="K902" s="8" t="s">
        <v>4170</v>
      </c>
      <c r="L902" s="8"/>
      <c r="M902" s="8" t="str">
        <f aca="false">IF(K902="FUERA","Fuera del marco",IF(K902="N/A","Sin marco",IFERROR(INDEX(Catalogo_TIMSS!$C$5:$C$105,MATCH(K902,Catalogo_TIMSS!$A$5:$A$105,0)),"Pendiente de clasificar")))</f>
        <v>Sin marco</v>
      </c>
      <c r="N902" s="8" t="str">
        <f aca="false">IF(K902="FUERA","Fuera del marco",IF(K902="N/A","Sin marco",IFERROR(INDEX(Catalogo_TIMSS!$F$5:$F$105,MATCH(K902,Catalogo_TIMSS!$A$5:$A$105,0)),"Pendiente de clasificar")))</f>
        <v>Sin marco</v>
      </c>
      <c r="O902" s="8" t="str">
        <f aca="false">IF(L902="","",IFERROR(INDEX(Catalogo_TIMSS!$C$5:$C$105,MATCH(L902,Catalogo_TIMSS!$A$5:$A$105,0)),"?"))</f>
        <v/>
      </c>
      <c r="P902" s="8" t="s">
        <v>4170</v>
      </c>
      <c r="Q902" s="27" t="s">
        <v>4171</v>
      </c>
      <c r="R902" s="27" t="s">
        <v>4199</v>
      </c>
      <c r="S902" s="28" t="n">
        <f aca="false">IFERROR(ISNUMBER(SEARCH("Conocer",$R902))/(ISNUMBER(SEARCH("Conocer",$R902))+ISNUMBER(SEARCH("Aplicar",$R902))+ISNUMBER(SEARCH("Razonar",$R902))),0)</f>
        <v>0</v>
      </c>
      <c r="T902" s="28" t="n">
        <f aca="false">IFERROR(ISNUMBER(SEARCH("Aplicar",$R902))/(ISNUMBER(SEARCH("Conocer",$R902))+ISNUMBER(SEARCH("Aplicar",$R902))+ISNUMBER(SEARCH("Razonar",$R902))),0)</f>
        <v>0.5</v>
      </c>
      <c r="U902" s="28" t="n">
        <f aca="false">IFERROR(ISNUMBER(SEARCH("Razonar",$R902))/(ISNUMBER(SEARCH("Conocer",$R902))+ISNUMBER(SEARCH("Aplicar",$R902))+ISNUMBER(SEARCH("Razonar",$R902))),0)</f>
        <v>0.5</v>
      </c>
      <c r="V902" s="8" t="s">
        <v>383</v>
      </c>
      <c r="W902" s="8" t="s">
        <v>4173</v>
      </c>
    </row>
    <row r="903" customFormat="false" ht="15" hidden="false" customHeight="false" outlineLevel="0" collapsed="false">
      <c r="A903" s="8" t="s">
        <v>4200</v>
      </c>
      <c r="B903" s="8" t="n">
        <v>10</v>
      </c>
      <c r="C903" s="8" t="s">
        <v>90</v>
      </c>
      <c r="D903" s="8" t="s">
        <v>4164</v>
      </c>
      <c r="E903" s="8" t="s">
        <v>4165</v>
      </c>
      <c r="F903" s="8" t="n">
        <v>12</v>
      </c>
      <c r="G903" s="8" t="s">
        <v>4166</v>
      </c>
      <c r="H903" s="8" t="s">
        <v>4191</v>
      </c>
      <c r="I903" s="27" t="s">
        <v>4201</v>
      </c>
      <c r="J903" s="8" t="s">
        <v>4169</v>
      </c>
      <c r="K903" s="8" t="s">
        <v>4170</v>
      </c>
      <c r="L903" s="8"/>
      <c r="M903" s="8" t="str">
        <f aca="false">IF(K903="FUERA","Fuera del marco",IF(K903="N/A","Sin marco",IFERROR(INDEX(Catalogo_TIMSS!$C$5:$C$105,MATCH(K903,Catalogo_TIMSS!$A$5:$A$105,0)),"Pendiente de clasificar")))</f>
        <v>Sin marco</v>
      </c>
      <c r="N903" s="8" t="str">
        <f aca="false">IF(K903="FUERA","Fuera del marco",IF(K903="N/A","Sin marco",IFERROR(INDEX(Catalogo_TIMSS!$F$5:$F$105,MATCH(K903,Catalogo_TIMSS!$A$5:$A$105,0)),"Pendiente de clasificar")))</f>
        <v>Sin marco</v>
      </c>
      <c r="O903" s="8" t="str">
        <f aca="false">IF(L903="","",IFERROR(INDEX(Catalogo_TIMSS!$C$5:$C$105,MATCH(L903,Catalogo_TIMSS!$A$5:$A$105,0)),"?"))</f>
        <v/>
      </c>
      <c r="P903" s="8" t="s">
        <v>4170</v>
      </c>
      <c r="Q903" s="27" t="s">
        <v>4171</v>
      </c>
      <c r="R903" s="27" t="s">
        <v>4202</v>
      </c>
      <c r="S903" s="28" t="n">
        <f aca="false">IFERROR(ISNUMBER(SEARCH("Conocer",$R903))/(ISNUMBER(SEARCH("Conocer",$R903))+ISNUMBER(SEARCH("Aplicar",$R903))+ISNUMBER(SEARCH("Razonar",$R903))),0)</f>
        <v>0</v>
      </c>
      <c r="T903" s="28" t="n">
        <f aca="false">IFERROR(ISNUMBER(SEARCH("Aplicar",$R903))/(ISNUMBER(SEARCH("Conocer",$R903))+ISNUMBER(SEARCH("Aplicar",$R903))+ISNUMBER(SEARCH("Razonar",$R903))),0)</f>
        <v>0.5</v>
      </c>
      <c r="U903" s="28" t="n">
        <f aca="false">IFERROR(ISNUMBER(SEARCH("Razonar",$R903))/(ISNUMBER(SEARCH("Conocer",$R903))+ISNUMBER(SEARCH("Aplicar",$R903))+ISNUMBER(SEARCH("Razonar",$R903))),0)</f>
        <v>0.5</v>
      </c>
      <c r="V903" s="8" t="s">
        <v>383</v>
      </c>
      <c r="W903" s="8" t="s">
        <v>4173</v>
      </c>
    </row>
    <row r="904" customFormat="false" ht="15" hidden="false" customHeight="false" outlineLevel="0" collapsed="false">
      <c r="A904" s="8" t="s">
        <v>4203</v>
      </c>
      <c r="B904" s="8" t="n">
        <v>10</v>
      </c>
      <c r="C904" s="8" t="s">
        <v>90</v>
      </c>
      <c r="D904" s="8" t="s">
        <v>4164</v>
      </c>
      <c r="E904" s="8" t="s">
        <v>4165</v>
      </c>
      <c r="F904" s="8" t="n">
        <v>13</v>
      </c>
      <c r="G904" s="8" t="s">
        <v>4166</v>
      </c>
      <c r="H904" s="8" t="s">
        <v>4204</v>
      </c>
      <c r="I904" s="27" t="s">
        <v>4205</v>
      </c>
      <c r="J904" s="8" t="s">
        <v>4169</v>
      </c>
      <c r="K904" s="8" t="s">
        <v>4170</v>
      </c>
      <c r="L904" s="8"/>
      <c r="M904" s="8" t="str">
        <f aca="false">IF(K904="FUERA","Fuera del marco",IF(K904="N/A","Sin marco",IFERROR(INDEX(Catalogo_TIMSS!$C$5:$C$105,MATCH(K904,Catalogo_TIMSS!$A$5:$A$105,0)),"Pendiente de clasificar")))</f>
        <v>Sin marco</v>
      </c>
      <c r="N904" s="8" t="str">
        <f aca="false">IF(K904="FUERA","Fuera del marco",IF(K904="N/A","Sin marco",IFERROR(INDEX(Catalogo_TIMSS!$F$5:$F$105,MATCH(K904,Catalogo_TIMSS!$A$5:$A$105,0)),"Pendiente de clasificar")))</f>
        <v>Sin marco</v>
      </c>
      <c r="O904" s="8" t="str">
        <f aca="false">IF(L904="","",IFERROR(INDEX(Catalogo_TIMSS!$C$5:$C$105,MATCH(L904,Catalogo_TIMSS!$A$5:$A$105,0)),"?"))</f>
        <v/>
      </c>
      <c r="P904" s="8" t="s">
        <v>4170</v>
      </c>
      <c r="Q904" s="27" t="s">
        <v>4171</v>
      </c>
      <c r="R904" s="27" t="s">
        <v>4206</v>
      </c>
      <c r="S904" s="28" t="n">
        <f aca="false">IFERROR(ISNUMBER(SEARCH("Conocer",$R904))/(ISNUMBER(SEARCH("Conocer",$R904))+ISNUMBER(SEARCH("Aplicar",$R904))+ISNUMBER(SEARCH("Razonar",$R904))),0)</f>
        <v>0.5</v>
      </c>
      <c r="T904" s="28" t="n">
        <f aca="false">IFERROR(ISNUMBER(SEARCH("Aplicar",$R904))/(ISNUMBER(SEARCH("Conocer",$R904))+ISNUMBER(SEARCH("Aplicar",$R904))+ISNUMBER(SEARCH("Razonar",$R904))),0)</f>
        <v>0</v>
      </c>
      <c r="U904" s="28" t="n">
        <f aca="false">IFERROR(ISNUMBER(SEARCH("Razonar",$R904))/(ISNUMBER(SEARCH("Conocer",$R904))+ISNUMBER(SEARCH("Aplicar",$R904))+ISNUMBER(SEARCH("Razonar",$R904))),0)</f>
        <v>0.5</v>
      </c>
      <c r="V904" s="8" t="s">
        <v>383</v>
      </c>
      <c r="W904" s="8" t="s">
        <v>4173</v>
      </c>
    </row>
    <row r="905" customFormat="false" ht="15" hidden="false" customHeight="false" outlineLevel="0" collapsed="false">
      <c r="A905" s="8" t="s">
        <v>4207</v>
      </c>
      <c r="B905" s="8" t="n">
        <v>10</v>
      </c>
      <c r="C905" s="8" t="s">
        <v>90</v>
      </c>
      <c r="D905" s="8" t="s">
        <v>4164</v>
      </c>
      <c r="E905" s="8" t="s">
        <v>4165</v>
      </c>
      <c r="F905" s="8" t="n">
        <v>14</v>
      </c>
      <c r="G905" s="8" t="s">
        <v>4166</v>
      </c>
      <c r="H905" s="8" t="s">
        <v>4204</v>
      </c>
      <c r="I905" s="27" t="s">
        <v>4208</v>
      </c>
      <c r="J905" s="8" t="s">
        <v>4169</v>
      </c>
      <c r="K905" s="8" t="s">
        <v>4170</v>
      </c>
      <c r="L905" s="8"/>
      <c r="M905" s="8" t="str">
        <f aca="false">IF(K905="FUERA","Fuera del marco",IF(K905="N/A","Sin marco",IFERROR(INDEX(Catalogo_TIMSS!$C$5:$C$105,MATCH(K905,Catalogo_TIMSS!$A$5:$A$105,0)),"Pendiente de clasificar")))</f>
        <v>Sin marco</v>
      </c>
      <c r="N905" s="8" t="str">
        <f aca="false">IF(K905="FUERA","Fuera del marco",IF(K905="N/A","Sin marco",IFERROR(INDEX(Catalogo_TIMSS!$F$5:$F$105,MATCH(K905,Catalogo_TIMSS!$A$5:$A$105,0)),"Pendiente de clasificar")))</f>
        <v>Sin marco</v>
      </c>
      <c r="O905" s="8" t="str">
        <f aca="false">IF(L905="","",IFERROR(INDEX(Catalogo_TIMSS!$C$5:$C$105,MATCH(L905,Catalogo_TIMSS!$A$5:$A$105,0)),"?"))</f>
        <v/>
      </c>
      <c r="P905" s="8" t="s">
        <v>4170</v>
      </c>
      <c r="Q905" s="27" t="s">
        <v>4171</v>
      </c>
      <c r="R905" s="27" t="s">
        <v>4209</v>
      </c>
      <c r="S905" s="28" t="n">
        <f aca="false">IFERROR(ISNUMBER(SEARCH("Conocer",$R905))/(ISNUMBER(SEARCH("Conocer",$R905))+ISNUMBER(SEARCH("Aplicar",$R905))+ISNUMBER(SEARCH("Razonar",$R905))),0)</f>
        <v>0</v>
      </c>
      <c r="T905" s="28" t="n">
        <f aca="false">IFERROR(ISNUMBER(SEARCH("Aplicar",$R905))/(ISNUMBER(SEARCH("Conocer",$R905))+ISNUMBER(SEARCH("Aplicar",$R905))+ISNUMBER(SEARCH("Razonar",$R905))),0)</f>
        <v>0.5</v>
      </c>
      <c r="U905" s="28" t="n">
        <f aca="false">IFERROR(ISNUMBER(SEARCH("Razonar",$R905))/(ISNUMBER(SEARCH("Conocer",$R905))+ISNUMBER(SEARCH("Aplicar",$R905))+ISNUMBER(SEARCH("Razonar",$R905))),0)</f>
        <v>0.5</v>
      </c>
      <c r="V905" s="8" t="s">
        <v>383</v>
      </c>
      <c r="W905" s="8" t="s">
        <v>4173</v>
      </c>
    </row>
    <row r="906" customFormat="false" ht="15" hidden="false" customHeight="false" outlineLevel="0" collapsed="false">
      <c r="A906" s="8" t="s">
        <v>4210</v>
      </c>
      <c r="B906" s="8" t="n">
        <v>10</v>
      </c>
      <c r="C906" s="8" t="s">
        <v>90</v>
      </c>
      <c r="D906" s="8" t="s">
        <v>4164</v>
      </c>
      <c r="E906" s="8" t="s">
        <v>4165</v>
      </c>
      <c r="F906" s="8" t="n">
        <v>15</v>
      </c>
      <c r="G906" s="8" t="s">
        <v>4166</v>
      </c>
      <c r="H906" s="8" t="s">
        <v>4204</v>
      </c>
      <c r="I906" s="27" t="s">
        <v>4211</v>
      </c>
      <c r="J906" s="8" t="s">
        <v>4169</v>
      </c>
      <c r="K906" s="8" t="s">
        <v>4170</v>
      </c>
      <c r="L906" s="8"/>
      <c r="M906" s="8" t="str">
        <f aca="false">IF(K906="FUERA","Fuera del marco",IF(K906="N/A","Sin marco",IFERROR(INDEX(Catalogo_TIMSS!$C$5:$C$105,MATCH(K906,Catalogo_TIMSS!$A$5:$A$105,0)),"Pendiente de clasificar")))</f>
        <v>Sin marco</v>
      </c>
      <c r="N906" s="8" t="str">
        <f aca="false">IF(K906="FUERA","Fuera del marco",IF(K906="N/A","Sin marco",IFERROR(INDEX(Catalogo_TIMSS!$F$5:$F$105,MATCH(K906,Catalogo_TIMSS!$A$5:$A$105,0)),"Pendiente de clasificar")))</f>
        <v>Sin marco</v>
      </c>
      <c r="O906" s="8" t="str">
        <f aca="false">IF(L906="","",IFERROR(INDEX(Catalogo_TIMSS!$C$5:$C$105,MATCH(L906,Catalogo_TIMSS!$A$5:$A$105,0)),"?"))</f>
        <v/>
      </c>
      <c r="P906" s="8" t="s">
        <v>4170</v>
      </c>
      <c r="Q906" s="27" t="s">
        <v>4171</v>
      </c>
      <c r="R906" s="27" t="s">
        <v>4212</v>
      </c>
      <c r="S906" s="28" t="n">
        <f aca="false">IFERROR(ISNUMBER(SEARCH("Conocer",$R906))/(ISNUMBER(SEARCH("Conocer",$R906))+ISNUMBER(SEARCH("Aplicar",$R906))+ISNUMBER(SEARCH("Razonar",$R906))),0)</f>
        <v>0.333333333333333</v>
      </c>
      <c r="T906" s="28" t="n">
        <f aca="false">IFERROR(ISNUMBER(SEARCH("Aplicar",$R906))/(ISNUMBER(SEARCH("Conocer",$R906))+ISNUMBER(SEARCH("Aplicar",$R906))+ISNUMBER(SEARCH("Razonar",$R906))),0)</f>
        <v>0.333333333333333</v>
      </c>
      <c r="U906" s="28" t="n">
        <f aca="false">IFERROR(ISNUMBER(SEARCH("Razonar",$R906))/(ISNUMBER(SEARCH("Conocer",$R906))+ISNUMBER(SEARCH("Aplicar",$R906))+ISNUMBER(SEARCH("Razonar",$R906))),0)</f>
        <v>0.333333333333333</v>
      </c>
      <c r="V906" s="8" t="s">
        <v>383</v>
      </c>
      <c r="W906" s="8" t="s">
        <v>4173</v>
      </c>
    </row>
    <row r="907" customFormat="false" ht="15" hidden="false" customHeight="false" outlineLevel="0" collapsed="false">
      <c r="A907" s="8" t="s">
        <v>4213</v>
      </c>
      <c r="B907" s="8" t="n">
        <v>10</v>
      </c>
      <c r="C907" s="8" t="s">
        <v>90</v>
      </c>
      <c r="D907" s="8" t="s">
        <v>4164</v>
      </c>
      <c r="E907" s="8" t="s">
        <v>4165</v>
      </c>
      <c r="F907" s="8" t="n">
        <v>16</v>
      </c>
      <c r="G907" s="8" t="s">
        <v>4166</v>
      </c>
      <c r="H907" s="8" t="s">
        <v>4204</v>
      </c>
      <c r="I907" s="27" t="s">
        <v>4214</v>
      </c>
      <c r="J907" s="8" t="s">
        <v>4169</v>
      </c>
      <c r="K907" s="8" t="s">
        <v>4170</v>
      </c>
      <c r="L907" s="8"/>
      <c r="M907" s="8" t="str">
        <f aca="false">IF(K907="FUERA","Fuera del marco",IF(K907="N/A","Sin marco",IFERROR(INDEX(Catalogo_TIMSS!$C$5:$C$105,MATCH(K907,Catalogo_TIMSS!$A$5:$A$105,0)),"Pendiente de clasificar")))</f>
        <v>Sin marco</v>
      </c>
      <c r="N907" s="8" t="str">
        <f aca="false">IF(K907="FUERA","Fuera del marco",IF(K907="N/A","Sin marco",IFERROR(INDEX(Catalogo_TIMSS!$F$5:$F$105,MATCH(K907,Catalogo_TIMSS!$A$5:$A$105,0)),"Pendiente de clasificar")))</f>
        <v>Sin marco</v>
      </c>
      <c r="O907" s="8" t="str">
        <f aca="false">IF(L907="","",IFERROR(INDEX(Catalogo_TIMSS!$C$5:$C$105,MATCH(L907,Catalogo_TIMSS!$A$5:$A$105,0)),"?"))</f>
        <v/>
      </c>
      <c r="P907" s="8" t="s">
        <v>4170</v>
      </c>
      <c r="Q907" s="27" t="s">
        <v>4171</v>
      </c>
      <c r="R907" s="27" t="s">
        <v>4215</v>
      </c>
      <c r="S907" s="28" t="n">
        <f aca="false">IFERROR(ISNUMBER(SEARCH("Conocer",$R907))/(ISNUMBER(SEARCH("Conocer",$R907))+ISNUMBER(SEARCH("Aplicar",$R907))+ISNUMBER(SEARCH("Razonar",$R907))),0)</f>
        <v>0</v>
      </c>
      <c r="T907" s="28" t="n">
        <f aca="false">IFERROR(ISNUMBER(SEARCH("Aplicar",$R907))/(ISNUMBER(SEARCH("Conocer",$R907))+ISNUMBER(SEARCH("Aplicar",$R907))+ISNUMBER(SEARCH("Razonar",$R907))),0)</f>
        <v>0.5</v>
      </c>
      <c r="U907" s="28" t="n">
        <f aca="false">IFERROR(ISNUMBER(SEARCH("Razonar",$R907))/(ISNUMBER(SEARCH("Conocer",$R907))+ISNUMBER(SEARCH("Aplicar",$R907))+ISNUMBER(SEARCH("Razonar",$R907))),0)</f>
        <v>0.5</v>
      </c>
      <c r="V907" s="8" t="s">
        <v>383</v>
      </c>
      <c r="W907" s="8" t="s">
        <v>4173</v>
      </c>
    </row>
    <row r="908" customFormat="false" ht="15" hidden="false" customHeight="false" outlineLevel="0" collapsed="false">
      <c r="A908" s="8" t="s">
        <v>4216</v>
      </c>
      <c r="B908" s="8" t="n">
        <v>10</v>
      </c>
      <c r="C908" s="8" t="s">
        <v>90</v>
      </c>
      <c r="D908" s="8" t="s">
        <v>4164</v>
      </c>
      <c r="E908" s="8" t="s">
        <v>4165</v>
      </c>
      <c r="F908" s="8" t="n">
        <v>17</v>
      </c>
      <c r="G908" s="8" t="s">
        <v>4217</v>
      </c>
      <c r="H908" s="8" t="s">
        <v>4218</v>
      </c>
      <c r="I908" s="27" t="s">
        <v>4219</v>
      </c>
      <c r="J908" s="8" t="s">
        <v>4169</v>
      </c>
      <c r="K908" s="8" t="s">
        <v>4170</v>
      </c>
      <c r="L908" s="8"/>
      <c r="M908" s="8" t="str">
        <f aca="false">IF(K908="FUERA","Fuera del marco",IF(K908="N/A","Sin marco",IFERROR(INDEX(Catalogo_TIMSS!$C$5:$C$105,MATCH(K908,Catalogo_TIMSS!$A$5:$A$105,0)),"Pendiente de clasificar")))</f>
        <v>Sin marco</v>
      </c>
      <c r="N908" s="8" t="str">
        <f aca="false">IF(K908="FUERA","Fuera del marco",IF(K908="N/A","Sin marco",IFERROR(INDEX(Catalogo_TIMSS!$F$5:$F$105,MATCH(K908,Catalogo_TIMSS!$A$5:$A$105,0)),"Pendiente de clasificar")))</f>
        <v>Sin marco</v>
      </c>
      <c r="O908" s="8" t="str">
        <f aca="false">IF(L908="","",IFERROR(INDEX(Catalogo_TIMSS!$C$5:$C$105,MATCH(L908,Catalogo_TIMSS!$A$5:$A$105,0)),"?"))</f>
        <v/>
      </c>
      <c r="P908" s="8" t="s">
        <v>4170</v>
      </c>
      <c r="Q908" s="27" t="s">
        <v>4171</v>
      </c>
      <c r="R908" s="27" t="s">
        <v>4220</v>
      </c>
      <c r="S908" s="28" t="n">
        <f aca="false">IFERROR(ISNUMBER(SEARCH("Conocer",$R908))/(ISNUMBER(SEARCH("Conocer",$R908))+ISNUMBER(SEARCH("Aplicar",$R908))+ISNUMBER(SEARCH("Razonar",$R908))),0)</f>
        <v>0</v>
      </c>
      <c r="T908" s="28" t="n">
        <f aca="false">IFERROR(ISNUMBER(SEARCH("Aplicar",$R908))/(ISNUMBER(SEARCH("Conocer",$R908))+ISNUMBER(SEARCH("Aplicar",$R908))+ISNUMBER(SEARCH("Razonar",$R908))),0)</f>
        <v>0.5</v>
      </c>
      <c r="U908" s="28" t="n">
        <f aca="false">IFERROR(ISNUMBER(SEARCH("Razonar",$R908))/(ISNUMBER(SEARCH("Conocer",$R908))+ISNUMBER(SEARCH("Aplicar",$R908))+ISNUMBER(SEARCH("Razonar",$R908))),0)</f>
        <v>0.5</v>
      </c>
      <c r="V908" s="8" t="s">
        <v>383</v>
      </c>
      <c r="W908" s="8" t="s">
        <v>4173</v>
      </c>
    </row>
    <row r="909" customFormat="false" ht="15" hidden="false" customHeight="false" outlineLevel="0" collapsed="false">
      <c r="A909" s="8" t="s">
        <v>4221</v>
      </c>
      <c r="B909" s="8" t="n">
        <v>10</v>
      </c>
      <c r="C909" s="8" t="s">
        <v>90</v>
      </c>
      <c r="D909" s="8" t="s">
        <v>4164</v>
      </c>
      <c r="E909" s="8" t="s">
        <v>4165</v>
      </c>
      <c r="F909" s="8" t="n">
        <v>18</v>
      </c>
      <c r="G909" s="8" t="s">
        <v>4217</v>
      </c>
      <c r="H909" s="8" t="s">
        <v>4218</v>
      </c>
      <c r="I909" s="27" t="s">
        <v>4222</v>
      </c>
      <c r="J909" s="8" t="s">
        <v>4169</v>
      </c>
      <c r="K909" s="8" t="s">
        <v>4170</v>
      </c>
      <c r="L909" s="8"/>
      <c r="M909" s="8" t="str">
        <f aca="false">IF(K909="FUERA","Fuera del marco",IF(K909="N/A","Sin marco",IFERROR(INDEX(Catalogo_TIMSS!$C$5:$C$105,MATCH(K909,Catalogo_TIMSS!$A$5:$A$105,0)),"Pendiente de clasificar")))</f>
        <v>Sin marco</v>
      </c>
      <c r="N909" s="8" t="str">
        <f aca="false">IF(K909="FUERA","Fuera del marco",IF(K909="N/A","Sin marco",IFERROR(INDEX(Catalogo_TIMSS!$F$5:$F$105,MATCH(K909,Catalogo_TIMSS!$A$5:$A$105,0)),"Pendiente de clasificar")))</f>
        <v>Sin marco</v>
      </c>
      <c r="O909" s="8" t="str">
        <f aca="false">IF(L909="","",IFERROR(INDEX(Catalogo_TIMSS!$C$5:$C$105,MATCH(L909,Catalogo_TIMSS!$A$5:$A$105,0)),"?"))</f>
        <v/>
      </c>
      <c r="P909" s="8" t="s">
        <v>4170</v>
      </c>
      <c r="Q909" s="27" t="s">
        <v>4171</v>
      </c>
      <c r="R909" s="27" t="s">
        <v>4223</v>
      </c>
      <c r="S909" s="28" t="n">
        <f aca="false">IFERROR(ISNUMBER(SEARCH("Conocer",$R909))/(ISNUMBER(SEARCH("Conocer",$R909))+ISNUMBER(SEARCH("Aplicar",$R909))+ISNUMBER(SEARCH("Razonar",$R909))),0)</f>
        <v>0.5</v>
      </c>
      <c r="T909" s="28" t="n">
        <f aca="false">IFERROR(ISNUMBER(SEARCH("Aplicar",$R909))/(ISNUMBER(SEARCH("Conocer",$R909))+ISNUMBER(SEARCH("Aplicar",$R909))+ISNUMBER(SEARCH("Razonar",$R909))),0)</f>
        <v>0</v>
      </c>
      <c r="U909" s="28" t="n">
        <f aca="false">IFERROR(ISNUMBER(SEARCH("Razonar",$R909))/(ISNUMBER(SEARCH("Conocer",$R909))+ISNUMBER(SEARCH("Aplicar",$R909))+ISNUMBER(SEARCH("Razonar",$R909))),0)</f>
        <v>0.5</v>
      </c>
      <c r="V909" s="8" t="s">
        <v>383</v>
      </c>
      <c r="W909" s="8" t="s">
        <v>4173</v>
      </c>
    </row>
    <row r="910" customFormat="false" ht="15" hidden="false" customHeight="false" outlineLevel="0" collapsed="false">
      <c r="A910" s="8" t="s">
        <v>4224</v>
      </c>
      <c r="B910" s="8" t="n">
        <v>10</v>
      </c>
      <c r="C910" s="8" t="s">
        <v>90</v>
      </c>
      <c r="D910" s="8" t="s">
        <v>4164</v>
      </c>
      <c r="E910" s="8" t="s">
        <v>4165</v>
      </c>
      <c r="F910" s="8" t="n">
        <v>19</v>
      </c>
      <c r="G910" s="8" t="s">
        <v>4217</v>
      </c>
      <c r="H910" s="8" t="s">
        <v>4218</v>
      </c>
      <c r="I910" s="27" t="s">
        <v>4225</v>
      </c>
      <c r="J910" s="8" t="s">
        <v>4169</v>
      </c>
      <c r="K910" s="8" t="s">
        <v>4170</v>
      </c>
      <c r="L910" s="8"/>
      <c r="M910" s="8" t="str">
        <f aca="false">IF(K910="FUERA","Fuera del marco",IF(K910="N/A","Sin marco",IFERROR(INDEX(Catalogo_TIMSS!$C$5:$C$105,MATCH(K910,Catalogo_TIMSS!$A$5:$A$105,0)),"Pendiente de clasificar")))</f>
        <v>Sin marco</v>
      </c>
      <c r="N910" s="8" t="str">
        <f aca="false">IF(K910="FUERA","Fuera del marco",IF(K910="N/A","Sin marco",IFERROR(INDEX(Catalogo_TIMSS!$F$5:$F$105,MATCH(K910,Catalogo_TIMSS!$A$5:$A$105,0)),"Pendiente de clasificar")))</f>
        <v>Sin marco</v>
      </c>
      <c r="O910" s="8" t="str">
        <f aca="false">IF(L910="","",IFERROR(INDEX(Catalogo_TIMSS!$C$5:$C$105,MATCH(L910,Catalogo_TIMSS!$A$5:$A$105,0)),"?"))</f>
        <v/>
      </c>
      <c r="P910" s="8" t="s">
        <v>4170</v>
      </c>
      <c r="Q910" s="27" t="s">
        <v>4171</v>
      </c>
      <c r="R910" s="27" t="s">
        <v>4226</v>
      </c>
      <c r="S910" s="28" t="n">
        <f aca="false">IFERROR(ISNUMBER(SEARCH("Conocer",$R910))/(ISNUMBER(SEARCH("Conocer",$R910))+ISNUMBER(SEARCH("Aplicar",$R910))+ISNUMBER(SEARCH("Razonar",$R910))),0)</f>
        <v>0</v>
      </c>
      <c r="T910" s="28" t="n">
        <f aca="false">IFERROR(ISNUMBER(SEARCH("Aplicar",$R910))/(ISNUMBER(SEARCH("Conocer",$R910))+ISNUMBER(SEARCH("Aplicar",$R910))+ISNUMBER(SEARCH("Razonar",$R910))),0)</f>
        <v>0.5</v>
      </c>
      <c r="U910" s="28" t="n">
        <f aca="false">IFERROR(ISNUMBER(SEARCH("Razonar",$R910))/(ISNUMBER(SEARCH("Conocer",$R910))+ISNUMBER(SEARCH("Aplicar",$R910))+ISNUMBER(SEARCH("Razonar",$R910))),0)</f>
        <v>0.5</v>
      </c>
      <c r="V910" s="8" t="s">
        <v>383</v>
      </c>
      <c r="W910" s="8" t="s">
        <v>4173</v>
      </c>
    </row>
    <row r="911" customFormat="false" ht="15" hidden="false" customHeight="false" outlineLevel="0" collapsed="false">
      <c r="A911" s="8" t="s">
        <v>4227</v>
      </c>
      <c r="B911" s="8" t="n">
        <v>10</v>
      </c>
      <c r="C911" s="8" t="s">
        <v>90</v>
      </c>
      <c r="D911" s="8" t="s">
        <v>4164</v>
      </c>
      <c r="E911" s="8" t="s">
        <v>4165</v>
      </c>
      <c r="F911" s="8" t="n">
        <v>20</v>
      </c>
      <c r="G911" s="8" t="s">
        <v>4217</v>
      </c>
      <c r="H911" s="8" t="s">
        <v>4228</v>
      </c>
      <c r="I911" s="27" t="s">
        <v>4229</v>
      </c>
      <c r="J911" s="8" t="s">
        <v>4169</v>
      </c>
      <c r="K911" s="8" t="s">
        <v>4170</v>
      </c>
      <c r="L911" s="8"/>
      <c r="M911" s="8" t="str">
        <f aca="false">IF(K911="FUERA","Fuera del marco",IF(K911="N/A","Sin marco",IFERROR(INDEX(Catalogo_TIMSS!$C$5:$C$105,MATCH(K911,Catalogo_TIMSS!$A$5:$A$105,0)),"Pendiente de clasificar")))</f>
        <v>Sin marco</v>
      </c>
      <c r="N911" s="8" t="str">
        <f aca="false">IF(K911="FUERA","Fuera del marco",IF(K911="N/A","Sin marco",IFERROR(INDEX(Catalogo_TIMSS!$F$5:$F$105,MATCH(K911,Catalogo_TIMSS!$A$5:$A$105,0)),"Pendiente de clasificar")))</f>
        <v>Sin marco</v>
      </c>
      <c r="O911" s="8" t="str">
        <f aca="false">IF(L911="","",IFERROR(INDEX(Catalogo_TIMSS!$C$5:$C$105,MATCH(L911,Catalogo_TIMSS!$A$5:$A$105,0)),"?"))</f>
        <v/>
      </c>
      <c r="P911" s="8" t="s">
        <v>4170</v>
      </c>
      <c r="Q911" s="27" t="s">
        <v>4171</v>
      </c>
      <c r="R911" s="27" t="s">
        <v>4230</v>
      </c>
      <c r="S911" s="28" t="n">
        <f aca="false">IFERROR(ISNUMBER(SEARCH("Conocer",$R911))/(ISNUMBER(SEARCH("Conocer",$R911))+ISNUMBER(SEARCH("Aplicar",$R911))+ISNUMBER(SEARCH("Razonar",$R911))),0)</f>
        <v>0</v>
      </c>
      <c r="T911" s="28" t="n">
        <f aca="false">IFERROR(ISNUMBER(SEARCH("Aplicar",$R911))/(ISNUMBER(SEARCH("Conocer",$R911))+ISNUMBER(SEARCH("Aplicar",$R911))+ISNUMBER(SEARCH("Razonar",$R911))),0)</f>
        <v>0.5</v>
      </c>
      <c r="U911" s="28" t="n">
        <f aca="false">IFERROR(ISNUMBER(SEARCH("Razonar",$R911))/(ISNUMBER(SEARCH("Conocer",$R911))+ISNUMBER(SEARCH("Aplicar",$R911))+ISNUMBER(SEARCH("Razonar",$R911))),0)</f>
        <v>0.5</v>
      </c>
      <c r="V911" s="8" t="s">
        <v>383</v>
      </c>
      <c r="W911" s="8" t="s">
        <v>4173</v>
      </c>
    </row>
    <row r="912" customFormat="false" ht="15" hidden="false" customHeight="false" outlineLevel="0" collapsed="false">
      <c r="A912" s="8" t="s">
        <v>4231</v>
      </c>
      <c r="B912" s="8" t="n">
        <v>10</v>
      </c>
      <c r="C912" s="8" t="s">
        <v>90</v>
      </c>
      <c r="D912" s="8" t="s">
        <v>4164</v>
      </c>
      <c r="E912" s="8" t="s">
        <v>4165</v>
      </c>
      <c r="F912" s="8" t="n">
        <v>21</v>
      </c>
      <c r="G912" s="8" t="s">
        <v>4217</v>
      </c>
      <c r="H912" s="8" t="s">
        <v>4228</v>
      </c>
      <c r="I912" s="27" t="s">
        <v>4232</v>
      </c>
      <c r="J912" s="8" t="s">
        <v>4169</v>
      </c>
      <c r="K912" s="8" t="s">
        <v>4170</v>
      </c>
      <c r="L912" s="8"/>
      <c r="M912" s="8" t="str">
        <f aca="false">IF(K912="FUERA","Fuera del marco",IF(K912="N/A","Sin marco",IFERROR(INDEX(Catalogo_TIMSS!$C$5:$C$105,MATCH(K912,Catalogo_TIMSS!$A$5:$A$105,0)),"Pendiente de clasificar")))</f>
        <v>Sin marco</v>
      </c>
      <c r="N912" s="8" t="str">
        <f aca="false">IF(K912="FUERA","Fuera del marco",IF(K912="N/A","Sin marco",IFERROR(INDEX(Catalogo_TIMSS!$F$5:$F$105,MATCH(K912,Catalogo_TIMSS!$A$5:$A$105,0)),"Pendiente de clasificar")))</f>
        <v>Sin marco</v>
      </c>
      <c r="O912" s="8" t="str">
        <f aca="false">IF(L912="","",IFERROR(INDEX(Catalogo_TIMSS!$C$5:$C$105,MATCH(L912,Catalogo_TIMSS!$A$5:$A$105,0)),"?"))</f>
        <v/>
      </c>
      <c r="P912" s="8" t="s">
        <v>4170</v>
      </c>
      <c r="Q912" s="27" t="s">
        <v>4171</v>
      </c>
      <c r="R912" s="27" t="s">
        <v>4233</v>
      </c>
      <c r="S912" s="28" t="n">
        <f aca="false">IFERROR(ISNUMBER(SEARCH("Conocer",$R912))/(ISNUMBER(SEARCH("Conocer",$R912))+ISNUMBER(SEARCH("Aplicar",$R912))+ISNUMBER(SEARCH("Razonar",$R912))),0)</f>
        <v>0</v>
      </c>
      <c r="T912" s="28" t="n">
        <f aca="false">IFERROR(ISNUMBER(SEARCH("Aplicar",$R912))/(ISNUMBER(SEARCH("Conocer",$R912))+ISNUMBER(SEARCH("Aplicar",$R912))+ISNUMBER(SEARCH("Razonar",$R912))),0)</f>
        <v>0.5</v>
      </c>
      <c r="U912" s="28" t="n">
        <f aca="false">IFERROR(ISNUMBER(SEARCH("Razonar",$R912))/(ISNUMBER(SEARCH("Conocer",$R912))+ISNUMBER(SEARCH("Aplicar",$R912))+ISNUMBER(SEARCH("Razonar",$R912))),0)</f>
        <v>0.5</v>
      </c>
      <c r="V912" s="8" t="s">
        <v>383</v>
      </c>
      <c r="W912" s="8" t="s">
        <v>4173</v>
      </c>
    </row>
    <row r="913" customFormat="false" ht="15" hidden="false" customHeight="false" outlineLevel="0" collapsed="false">
      <c r="A913" s="8" t="s">
        <v>4234</v>
      </c>
      <c r="B913" s="8" t="n">
        <v>10</v>
      </c>
      <c r="C913" s="8" t="s">
        <v>90</v>
      </c>
      <c r="D913" s="8" t="s">
        <v>4164</v>
      </c>
      <c r="E913" s="8" t="s">
        <v>4165</v>
      </c>
      <c r="F913" s="8" t="n">
        <v>22</v>
      </c>
      <c r="G913" s="8" t="s">
        <v>4217</v>
      </c>
      <c r="H913" s="8" t="s">
        <v>4228</v>
      </c>
      <c r="I913" s="27" t="s">
        <v>4235</v>
      </c>
      <c r="J913" s="8" t="s">
        <v>4169</v>
      </c>
      <c r="K913" s="8" t="s">
        <v>4170</v>
      </c>
      <c r="L913" s="8"/>
      <c r="M913" s="8" t="str">
        <f aca="false">IF(K913="FUERA","Fuera del marco",IF(K913="N/A","Sin marco",IFERROR(INDEX(Catalogo_TIMSS!$C$5:$C$105,MATCH(K913,Catalogo_TIMSS!$A$5:$A$105,0)),"Pendiente de clasificar")))</f>
        <v>Sin marco</v>
      </c>
      <c r="N913" s="8" t="str">
        <f aca="false">IF(K913="FUERA","Fuera del marco",IF(K913="N/A","Sin marco",IFERROR(INDEX(Catalogo_TIMSS!$F$5:$F$105,MATCH(K913,Catalogo_TIMSS!$A$5:$A$105,0)),"Pendiente de clasificar")))</f>
        <v>Sin marco</v>
      </c>
      <c r="O913" s="8" t="str">
        <f aca="false">IF(L913="","",IFERROR(INDEX(Catalogo_TIMSS!$C$5:$C$105,MATCH(L913,Catalogo_TIMSS!$A$5:$A$105,0)),"?"))</f>
        <v/>
      </c>
      <c r="P913" s="8" t="s">
        <v>4170</v>
      </c>
      <c r="Q913" s="27" t="s">
        <v>4171</v>
      </c>
      <c r="R913" s="27" t="s">
        <v>4236</v>
      </c>
      <c r="S913" s="28" t="n">
        <f aca="false">IFERROR(ISNUMBER(SEARCH("Conocer",$R913))/(ISNUMBER(SEARCH("Conocer",$R913))+ISNUMBER(SEARCH("Aplicar",$R913))+ISNUMBER(SEARCH("Razonar",$R913))),0)</f>
        <v>0</v>
      </c>
      <c r="T913" s="28" t="n">
        <f aca="false">IFERROR(ISNUMBER(SEARCH("Aplicar",$R913))/(ISNUMBER(SEARCH("Conocer",$R913))+ISNUMBER(SEARCH("Aplicar",$R913))+ISNUMBER(SEARCH("Razonar",$R913))),0)</f>
        <v>0.5</v>
      </c>
      <c r="U913" s="28" t="n">
        <f aca="false">IFERROR(ISNUMBER(SEARCH("Razonar",$R913))/(ISNUMBER(SEARCH("Conocer",$R913))+ISNUMBER(SEARCH("Aplicar",$R913))+ISNUMBER(SEARCH("Razonar",$R913))),0)</f>
        <v>0.5</v>
      </c>
      <c r="V913" s="8" t="s">
        <v>383</v>
      </c>
      <c r="W913" s="8" t="s">
        <v>4173</v>
      </c>
    </row>
    <row r="914" customFormat="false" ht="15" hidden="false" customHeight="false" outlineLevel="0" collapsed="false">
      <c r="A914" s="8" t="s">
        <v>4237</v>
      </c>
      <c r="B914" s="8" t="n">
        <v>10</v>
      </c>
      <c r="C914" s="8" t="s">
        <v>90</v>
      </c>
      <c r="D914" s="8" t="s">
        <v>4164</v>
      </c>
      <c r="E914" s="8" t="s">
        <v>4165</v>
      </c>
      <c r="F914" s="8" t="n">
        <v>23</v>
      </c>
      <c r="G914" s="8" t="s">
        <v>4238</v>
      </c>
      <c r="H914" s="8" t="s">
        <v>4239</v>
      </c>
      <c r="I914" s="27" t="s">
        <v>4240</v>
      </c>
      <c r="J914" s="8" t="s">
        <v>4169</v>
      </c>
      <c r="K914" s="8" t="s">
        <v>4170</v>
      </c>
      <c r="L914" s="8"/>
      <c r="M914" s="8" t="str">
        <f aca="false">IF(K914="FUERA","Fuera del marco",IF(K914="N/A","Sin marco",IFERROR(INDEX(Catalogo_TIMSS!$C$5:$C$105,MATCH(K914,Catalogo_TIMSS!$A$5:$A$105,0)),"Pendiente de clasificar")))</f>
        <v>Sin marco</v>
      </c>
      <c r="N914" s="8" t="str">
        <f aca="false">IF(K914="FUERA","Fuera del marco",IF(K914="N/A","Sin marco",IFERROR(INDEX(Catalogo_TIMSS!$F$5:$F$105,MATCH(K914,Catalogo_TIMSS!$A$5:$A$105,0)),"Pendiente de clasificar")))</f>
        <v>Sin marco</v>
      </c>
      <c r="O914" s="8" t="str">
        <f aca="false">IF(L914="","",IFERROR(INDEX(Catalogo_TIMSS!$C$5:$C$105,MATCH(L914,Catalogo_TIMSS!$A$5:$A$105,0)),"?"))</f>
        <v/>
      </c>
      <c r="P914" s="8" t="s">
        <v>4170</v>
      </c>
      <c r="Q914" s="27" t="s">
        <v>4171</v>
      </c>
      <c r="R914" s="27" t="s">
        <v>4241</v>
      </c>
      <c r="S914" s="28" t="n">
        <f aca="false">IFERROR(ISNUMBER(SEARCH("Conocer",$R914))/(ISNUMBER(SEARCH("Conocer",$R914))+ISNUMBER(SEARCH("Aplicar",$R914))+ISNUMBER(SEARCH("Razonar",$R914))),0)</f>
        <v>0.333333333333333</v>
      </c>
      <c r="T914" s="28" t="n">
        <f aca="false">IFERROR(ISNUMBER(SEARCH("Aplicar",$R914))/(ISNUMBER(SEARCH("Conocer",$R914))+ISNUMBER(SEARCH("Aplicar",$R914))+ISNUMBER(SEARCH("Razonar",$R914))),0)</f>
        <v>0.333333333333333</v>
      </c>
      <c r="U914" s="28" t="n">
        <f aca="false">IFERROR(ISNUMBER(SEARCH("Razonar",$R914))/(ISNUMBER(SEARCH("Conocer",$R914))+ISNUMBER(SEARCH("Aplicar",$R914))+ISNUMBER(SEARCH("Razonar",$R914))),0)</f>
        <v>0.333333333333333</v>
      </c>
      <c r="V914" s="8" t="s">
        <v>383</v>
      </c>
      <c r="W914" s="8" t="s">
        <v>4173</v>
      </c>
    </row>
    <row r="915" customFormat="false" ht="15" hidden="false" customHeight="false" outlineLevel="0" collapsed="false">
      <c r="A915" s="8" t="s">
        <v>4242</v>
      </c>
      <c r="B915" s="8" t="n">
        <v>10</v>
      </c>
      <c r="C915" s="8" t="s">
        <v>90</v>
      </c>
      <c r="D915" s="8" t="s">
        <v>4164</v>
      </c>
      <c r="E915" s="8" t="s">
        <v>4165</v>
      </c>
      <c r="F915" s="8" t="n">
        <v>24</v>
      </c>
      <c r="G915" s="8" t="s">
        <v>4238</v>
      </c>
      <c r="H915" s="8" t="s">
        <v>4239</v>
      </c>
      <c r="I915" s="27" t="s">
        <v>4243</v>
      </c>
      <c r="J915" s="8" t="s">
        <v>4169</v>
      </c>
      <c r="K915" s="8" t="s">
        <v>4170</v>
      </c>
      <c r="L915" s="8"/>
      <c r="M915" s="8" t="str">
        <f aca="false">IF(K915="FUERA","Fuera del marco",IF(K915="N/A","Sin marco",IFERROR(INDEX(Catalogo_TIMSS!$C$5:$C$105,MATCH(K915,Catalogo_TIMSS!$A$5:$A$105,0)),"Pendiente de clasificar")))</f>
        <v>Sin marco</v>
      </c>
      <c r="N915" s="8" t="str">
        <f aca="false">IF(K915="FUERA","Fuera del marco",IF(K915="N/A","Sin marco",IFERROR(INDEX(Catalogo_TIMSS!$F$5:$F$105,MATCH(K915,Catalogo_TIMSS!$A$5:$A$105,0)),"Pendiente de clasificar")))</f>
        <v>Sin marco</v>
      </c>
      <c r="O915" s="8" t="str">
        <f aca="false">IF(L915="","",IFERROR(INDEX(Catalogo_TIMSS!$C$5:$C$105,MATCH(L915,Catalogo_TIMSS!$A$5:$A$105,0)),"?"))</f>
        <v/>
      </c>
      <c r="P915" s="8" t="s">
        <v>4170</v>
      </c>
      <c r="Q915" s="27" t="s">
        <v>4171</v>
      </c>
      <c r="R915" s="27" t="s">
        <v>4244</v>
      </c>
      <c r="S915" s="28" t="n">
        <f aca="false">IFERROR(ISNUMBER(SEARCH("Conocer",$R915))/(ISNUMBER(SEARCH("Conocer",$R915))+ISNUMBER(SEARCH("Aplicar",$R915))+ISNUMBER(SEARCH("Razonar",$R915))),0)</f>
        <v>0</v>
      </c>
      <c r="T915" s="28" t="n">
        <f aca="false">IFERROR(ISNUMBER(SEARCH("Aplicar",$R915))/(ISNUMBER(SEARCH("Conocer",$R915))+ISNUMBER(SEARCH("Aplicar",$R915))+ISNUMBER(SEARCH("Razonar",$R915))),0)</f>
        <v>0.5</v>
      </c>
      <c r="U915" s="28" t="n">
        <f aca="false">IFERROR(ISNUMBER(SEARCH("Razonar",$R915))/(ISNUMBER(SEARCH("Conocer",$R915))+ISNUMBER(SEARCH("Aplicar",$R915))+ISNUMBER(SEARCH("Razonar",$R915))),0)</f>
        <v>0.5</v>
      </c>
      <c r="V915" s="8" t="s">
        <v>383</v>
      </c>
      <c r="W915" s="8" t="s">
        <v>4173</v>
      </c>
    </row>
    <row r="916" customFormat="false" ht="15" hidden="false" customHeight="false" outlineLevel="0" collapsed="false">
      <c r="A916" s="8" t="s">
        <v>4245</v>
      </c>
      <c r="B916" s="8" t="n">
        <v>10</v>
      </c>
      <c r="C916" s="8" t="s">
        <v>90</v>
      </c>
      <c r="D916" s="8" t="s">
        <v>4164</v>
      </c>
      <c r="E916" s="8" t="s">
        <v>4165</v>
      </c>
      <c r="F916" s="8" t="n">
        <v>25</v>
      </c>
      <c r="G916" s="8" t="s">
        <v>4238</v>
      </c>
      <c r="H916" s="8" t="s">
        <v>4239</v>
      </c>
      <c r="I916" s="27" t="s">
        <v>4246</v>
      </c>
      <c r="J916" s="8" t="s">
        <v>4169</v>
      </c>
      <c r="K916" s="8" t="s">
        <v>4170</v>
      </c>
      <c r="L916" s="8"/>
      <c r="M916" s="8" t="str">
        <f aca="false">IF(K916="FUERA","Fuera del marco",IF(K916="N/A","Sin marco",IFERROR(INDEX(Catalogo_TIMSS!$C$5:$C$105,MATCH(K916,Catalogo_TIMSS!$A$5:$A$105,0)),"Pendiente de clasificar")))</f>
        <v>Sin marco</v>
      </c>
      <c r="N916" s="8" t="str">
        <f aca="false">IF(K916="FUERA","Fuera del marco",IF(K916="N/A","Sin marco",IFERROR(INDEX(Catalogo_TIMSS!$F$5:$F$105,MATCH(K916,Catalogo_TIMSS!$A$5:$A$105,0)),"Pendiente de clasificar")))</f>
        <v>Sin marco</v>
      </c>
      <c r="O916" s="8" t="str">
        <f aca="false">IF(L916="","",IFERROR(INDEX(Catalogo_TIMSS!$C$5:$C$105,MATCH(L916,Catalogo_TIMSS!$A$5:$A$105,0)),"?"))</f>
        <v/>
      </c>
      <c r="P916" s="8" t="s">
        <v>4170</v>
      </c>
      <c r="Q916" s="27" t="s">
        <v>4171</v>
      </c>
      <c r="R916" s="27" t="s">
        <v>4247</v>
      </c>
      <c r="S916" s="28" t="n">
        <f aca="false">IFERROR(ISNUMBER(SEARCH("Conocer",$R916))/(ISNUMBER(SEARCH("Conocer",$R916))+ISNUMBER(SEARCH("Aplicar",$R916))+ISNUMBER(SEARCH("Razonar",$R916))),0)</f>
        <v>0.5</v>
      </c>
      <c r="T916" s="28" t="n">
        <f aca="false">IFERROR(ISNUMBER(SEARCH("Aplicar",$R916))/(ISNUMBER(SEARCH("Conocer",$R916))+ISNUMBER(SEARCH("Aplicar",$R916))+ISNUMBER(SEARCH("Razonar",$R916))),0)</f>
        <v>0</v>
      </c>
      <c r="U916" s="28" t="n">
        <f aca="false">IFERROR(ISNUMBER(SEARCH("Razonar",$R916))/(ISNUMBER(SEARCH("Conocer",$R916))+ISNUMBER(SEARCH("Aplicar",$R916))+ISNUMBER(SEARCH("Razonar",$R916))),0)</f>
        <v>0.5</v>
      </c>
      <c r="V916" s="8" t="s">
        <v>383</v>
      </c>
      <c r="W916" s="8" t="s">
        <v>4173</v>
      </c>
    </row>
    <row r="917" customFormat="false" ht="15" hidden="false" customHeight="false" outlineLevel="0" collapsed="false">
      <c r="A917" s="8" t="s">
        <v>4248</v>
      </c>
      <c r="B917" s="8" t="n">
        <v>10</v>
      </c>
      <c r="C917" s="8" t="s">
        <v>90</v>
      </c>
      <c r="D917" s="8" t="s">
        <v>4164</v>
      </c>
      <c r="E917" s="8" t="s">
        <v>4165</v>
      </c>
      <c r="F917" s="8" t="n">
        <v>26</v>
      </c>
      <c r="G917" s="8" t="s">
        <v>4238</v>
      </c>
      <c r="H917" s="8" t="s">
        <v>4249</v>
      </c>
      <c r="I917" s="27" t="s">
        <v>4250</v>
      </c>
      <c r="J917" s="8" t="s">
        <v>4169</v>
      </c>
      <c r="K917" s="8" t="s">
        <v>4170</v>
      </c>
      <c r="L917" s="8"/>
      <c r="M917" s="8" t="str">
        <f aca="false">IF(K917="FUERA","Fuera del marco",IF(K917="N/A","Sin marco",IFERROR(INDEX(Catalogo_TIMSS!$C$5:$C$105,MATCH(K917,Catalogo_TIMSS!$A$5:$A$105,0)),"Pendiente de clasificar")))</f>
        <v>Sin marco</v>
      </c>
      <c r="N917" s="8" t="str">
        <f aca="false">IF(K917="FUERA","Fuera del marco",IF(K917="N/A","Sin marco",IFERROR(INDEX(Catalogo_TIMSS!$F$5:$F$105,MATCH(K917,Catalogo_TIMSS!$A$5:$A$105,0)),"Pendiente de clasificar")))</f>
        <v>Sin marco</v>
      </c>
      <c r="O917" s="8" t="str">
        <f aca="false">IF(L917="","",IFERROR(INDEX(Catalogo_TIMSS!$C$5:$C$105,MATCH(L917,Catalogo_TIMSS!$A$5:$A$105,0)),"?"))</f>
        <v/>
      </c>
      <c r="P917" s="8" t="s">
        <v>4170</v>
      </c>
      <c r="Q917" s="27" t="s">
        <v>4171</v>
      </c>
      <c r="R917" s="27" t="s">
        <v>4251</v>
      </c>
      <c r="S917" s="28" t="n">
        <f aca="false">IFERROR(ISNUMBER(SEARCH("Conocer",$R917))/(ISNUMBER(SEARCH("Conocer",$R917))+ISNUMBER(SEARCH("Aplicar",$R917))+ISNUMBER(SEARCH("Razonar",$R917))),0)</f>
        <v>0</v>
      </c>
      <c r="T917" s="28" t="n">
        <f aca="false">IFERROR(ISNUMBER(SEARCH("Aplicar",$R917))/(ISNUMBER(SEARCH("Conocer",$R917))+ISNUMBER(SEARCH("Aplicar",$R917))+ISNUMBER(SEARCH("Razonar",$R917))),0)</f>
        <v>0.5</v>
      </c>
      <c r="U917" s="28" t="n">
        <f aca="false">IFERROR(ISNUMBER(SEARCH("Razonar",$R917))/(ISNUMBER(SEARCH("Conocer",$R917))+ISNUMBER(SEARCH("Aplicar",$R917))+ISNUMBER(SEARCH("Razonar",$R917))),0)</f>
        <v>0.5</v>
      </c>
      <c r="V917" s="8" t="s">
        <v>383</v>
      </c>
      <c r="W917" s="8" t="s">
        <v>4173</v>
      </c>
    </row>
    <row r="918" customFormat="false" ht="15" hidden="false" customHeight="false" outlineLevel="0" collapsed="false">
      <c r="A918" s="8" t="s">
        <v>4252</v>
      </c>
      <c r="B918" s="8" t="n">
        <v>10</v>
      </c>
      <c r="C918" s="8" t="s">
        <v>90</v>
      </c>
      <c r="D918" s="8" t="s">
        <v>4164</v>
      </c>
      <c r="E918" s="8" t="s">
        <v>4165</v>
      </c>
      <c r="F918" s="8" t="n">
        <v>27</v>
      </c>
      <c r="G918" s="8" t="s">
        <v>4238</v>
      </c>
      <c r="H918" s="8" t="s">
        <v>4249</v>
      </c>
      <c r="I918" s="27" t="s">
        <v>4253</v>
      </c>
      <c r="J918" s="8" t="s">
        <v>4169</v>
      </c>
      <c r="K918" s="8" t="s">
        <v>4170</v>
      </c>
      <c r="L918" s="8"/>
      <c r="M918" s="8" t="str">
        <f aca="false">IF(K918="FUERA","Fuera del marco",IF(K918="N/A","Sin marco",IFERROR(INDEX(Catalogo_TIMSS!$C$5:$C$105,MATCH(K918,Catalogo_TIMSS!$A$5:$A$105,0)),"Pendiente de clasificar")))</f>
        <v>Sin marco</v>
      </c>
      <c r="N918" s="8" t="str">
        <f aca="false">IF(K918="FUERA","Fuera del marco",IF(K918="N/A","Sin marco",IFERROR(INDEX(Catalogo_TIMSS!$F$5:$F$105,MATCH(K918,Catalogo_TIMSS!$A$5:$A$105,0)),"Pendiente de clasificar")))</f>
        <v>Sin marco</v>
      </c>
      <c r="O918" s="8" t="str">
        <f aca="false">IF(L918="","",IFERROR(INDEX(Catalogo_TIMSS!$C$5:$C$105,MATCH(L918,Catalogo_TIMSS!$A$5:$A$105,0)),"?"))</f>
        <v/>
      </c>
      <c r="P918" s="8" t="s">
        <v>4170</v>
      </c>
      <c r="Q918" s="27" t="s">
        <v>4171</v>
      </c>
      <c r="R918" s="27" t="s">
        <v>4254</v>
      </c>
      <c r="S918" s="28" t="n">
        <f aca="false">IFERROR(ISNUMBER(SEARCH("Conocer",$R918))/(ISNUMBER(SEARCH("Conocer",$R918))+ISNUMBER(SEARCH("Aplicar",$R918))+ISNUMBER(SEARCH("Razonar",$R918))),0)</f>
        <v>0</v>
      </c>
      <c r="T918" s="28" t="n">
        <f aca="false">IFERROR(ISNUMBER(SEARCH("Aplicar",$R918))/(ISNUMBER(SEARCH("Conocer",$R918))+ISNUMBER(SEARCH("Aplicar",$R918))+ISNUMBER(SEARCH("Razonar",$R918))),0)</f>
        <v>0.5</v>
      </c>
      <c r="U918" s="28" t="n">
        <f aca="false">IFERROR(ISNUMBER(SEARCH("Razonar",$R918))/(ISNUMBER(SEARCH("Conocer",$R918))+ISNUMBER(SEARCH("Aplicar",$R918))+ISNUMBER(SEARCH("Razonar",$R918))),0)</f>
        <v>0.5</v>
      </c>
      <c r="V918" s="8" t="s">
        <v>383</v>
      </c>
      <c r="W918" s="8" t="s">
        <v>4173</v>
      </c>
    </row>
    <row r="919" customFormat="false" ht="15" hidden="false" customHeight="false" outlineLevel="0" collapsed="false">
      <c r="A919" s="8" t="s">
        <v>4255</v>
      </c>
      <c r="B919" s="8" t="n">
        <v>10</v>
      </c>
      <c r="C919" s="8" t="s">
        <v>90</v>
      </c>
      <c r="D919" s="8" t="s">
        <v>4164</v>
      </c>
      <c r="E919" s="8" t="s">
        <v>4165</v>
      </c>
      <c r="F919" s="8" t="n">
        <v>28</v>
      </c>
      <c r="G919" s="8" t="s">
        <v>4238</v>
      </c>
      <c r="H919" s="8" t="s">
        <v>4249</v>
      </c>
      <c r="I919" s="27" t="s">
        <v>4256</v>
      </c>
      <c r="J919" s="8" t="s">
        <v>4169</v>
      </c>
      <c r="K919" s="8" t="s">
        <v>4170</v>
      </c>
      <c r="L919" s="8"/>
      <c r="M919" s="8" t="str">
        <f aca="false">IF(K919="FUERA","Fuera del marco",IF(K919="N/A","Sin marco",IFERROR(INDEX(Catalogo_TIMSS!$C$5:$C$105,MATCH(K919,Catalogo_TIMSS!$A$5:$A$105,0)),"Pendiente de clasificar")))</f>
        <v>Sin marco</v>
      </c>
      <c r="N919" s="8" t="str">
        <f aca="false">IF(K919="FUERA","Fuera del marco",IF(K919="N/A","Sin marco",IFERROR(INDEX(Catalogo_TIMSS!$F$5:$F$105,MATCH(K919,Catalogo_TIMSS!$A$5:$A$105,0)),"Pendiente de clasificar")))</f>
        <v>Sin marco</v>
      </c>
      <c r="O919" s="8" t="str">
        <f aca="false">IF(L919="","",IFERROR(INDEX(Catalogo_TIMSS!$C$5:$C$105,MATCH(L919,Catalogo_TIMSS!$A$5:$A$105,0)),"?"))</f>
        <v/>
      </c>
      <c r="P919" s="8" t="s">
        <v>4170</v>
      </c>
      <c r="Q919" s="27" t="s">
        <v>4171</v>
      </c>
      <c r="R919" s="27" t="s">
        <v>4257</v>
      </c>
      <c r="S919" s="28" t="n">
        <f aca="false">IFERROR(ISNUMBER(SEARCH("Conocer",$R919))/(ISNUMBER(SEARCH("Conocer",$R919))+ISNUMBER(SEARCH("Aplicar",$R919))+ISNUMBER(SEARCH("Razonar",$R919))),0)</f>
        <v>0</v>
      </c>
      <c r="T919" s="28" t="n">
        <f aca="false">IFERROR(ISNUMBER(SEARCH("Aplicar",$R919))/(ISNUMBER(SEARCH("Conocer",$R919))+ISNUMBER(SEARCH("Aplicar",$R919))+ISNUMBER(SEARCH("Razonar",$R919))),0)</f>
        <v>0.5</v>
      </c>
      <c r="U919" s="28" t="n">
        <f aca="false">IFERROR(ISNUMBER(SEARCH("Razonar",$R919))/(ISNUMBER(SEARCH("Conocer",$R919))+ISNUMBER(SEARCH("Aplicar",$R919))+ISNUMBER(SEARCH("Razonar",$R919))),0)</f>
        <v>0.5</v>
      </c>
      <c r="V919" s="8" t="s">
        <v>383</v>
      </c>
      <c r="W919" s="8" t="s">
        <v>4173</v>
      </c>
    </row>
    <row r="920" customFormat="false" ht="15" hidden="false" customHeight="false" outlineLevel="0" collapsed="false">
      <c r="A920" s="8" t="s">
        <v>4258</v>
      </c>
      <c r="B920" s="8" t="n">
        <v>10</v>
      </c>
      <c r="C920" s="8" t="s">
        <v>90</v>
      </c>
      <c r="D920" s="8" t="s">
        <v>4164</v>
      </c>
      <c r="E920" s="8" t="s">
        <v>4165</v>
      </c>
      <c r="F920" s="8" t="n">
        <v>29</v>
      </c>
      <c r="G920" s="8" t="s">
        <v>4238</v>
      </c>
      <c r="H920" s="8" t="s">
        <v>4259</v>
      </c>
      <c r="I920" s="27" t="s">
        <v>4260</v>
      </c>
      <c r="J920" s="8" t="s">
        <v>4169</v>
      </c>
      <c r="K920" s="8" t="s">
        <v>4170</v>
      </c>
      <c r="L920" s="8"/>
      <c r="M920" s="8" t="str">
        <f aca="false">IF(K920="FUERA","Fuera del marco",IF(K920="N/A","Sin marco",IFERROR(INDEX(Catalogo_TIMSS!$C$5:$C$105,MATCH(K920,Catalogo_TIMSS!$A$5:$A$105,0)),"Pendiente de clasificar")))</f>
        <v>Sin marco</v>
      </c>
      <c r="N920" s="8" t="str">
        <f aca="false">IF(K920="FUERA","Fuera del marco",IF(K920="N/A","Sin marco",IFERROR(INDEX(Catalogo_TIMSS!$F$5:$F$105,MATCH(K920,Catalogo_TIMSS!$A$5:$A$105,0)),"Pendiente de clasificar")))</f>
        <v>Sin marco</v>
      </c>
      <c r="O920" s="8" t="str">
        <f aca="false">IF(L920="","",IFERROR(INDEX(Catalogo_TIMSS!$C$5:$C$105,MATCH(L920,Catalogo_TIMSS!$A$5:$A$105,0)),"?"))</f>
        <v/>
      </c>
      <c r="P920" s="8" t="s">
        <v>4170</v>
      </c>
      <c r="Q920" s="27" t="s">
        <v>4171</v>
      </c>
      <c r="R920" s="27" t="s">
        <v>4261</v>
      </c>
      <c r="S920" s="28" t="n">
        <f aca="false">IFERROR(ISNUMBER(SEARCH("Conocer",$R920))/(ISNUMBER(SEARCH("Conocer",$R920))+ISNUMBER(SEARCH("Aplicar",$R920))+ISNUMBER(SEARCH("Razonar",$R920))),0)</f>
        <v>0</v>
      </c>
      <c r="T920" s="28" t="n">
        <f aca="false">IFERROR(ISNUMBER(SEARCH("Aplicar",$R920))/(ISNUMBER(SEARCH("Conocer",$R920))+ISNUMBER(SEARCH("Aplicar",$R920))+ISNUMBER(SEARCH("Razonar",$R920))),0)</f>
        <v>0.5</v>
      </c>
      <c r="U920" s="28" t="n">
        <f aca="false">IFERROR(ISNUMBER(SEARCH("Razonar",$R920))/(ISNUMBER(SEARCH("Conocer",$R920))+ISNUMBER(SEARCH("Aplicar",$R920))+ISNUMBER(SEARCH("Razonar",$R920))),0)</f>
        <v>0.5</v>
      </c>
      <c r="V920" s="8" t="s">
        <v>383</v>
      </c>
      <c r="W920" s="8" t="s">
        <v>4173</v>
      </c>
    </row>
    <row r="921" customFormat="false" ht="15" hidden="false" customHeight="false" outlineLevel="0" collapsed="false">
      <c r="A921" s="8" t="s">
        <v>4262</v>
      </c>
      <c r="B921" s="8" t="n">
        <v>10</v>
      </c>
      <c r="C921" s="8" t="s">
        <v>90</v>
      </c>
      <c r="D921" s="8" t="s">
        <v>4164</v>
      </c>
      <c r="E921" s="8" t="s">
        <v>4165</v>
      </c>
      <c r="F921" s="8" t="n">
        <v>30</v>
      </c>
      <c r="G921" s="8" t="s">
        <v>4238</v>
      </c>
      <c r="H921" s="8" t="s">
        <v>4259</v>
      </c>
      <c r="I921" s="27" t="s">
        <v>4263</v>
      </c>
      <c r="J921" s="8" t="s">
        <v>4169</v>
      </c>
      <c r="K921" s="8" t="s">
        <v>4170</v>
      </c>
      <c r="L921" s="8"/>
      <c r="M921" s="8" t="str">
        <f aca="false">IF(K921="FUERA","Fuera del marco",IF(K921="N/A","Sin marco",IFERROR(INDEX(Catalogo_TIMSS!$C$5:$C$105,MATCH(K921,Catalogo_TIMSS!$A$5:$A$105,0)),"Pendiente de clasificar")))</f>
        <v>Sin marco</v>
      </c>
      <c r="N921" s="8" t="str">
        <f aca="false">IF(K921="FUERA","Fuera del marco",IF(K921="N/A","Sin marco",IFERROR(INDEX(Catalogo_TIMSS!$F$5:$F$105,MATCH(K921,Catalogo_TIMSS!$A$5:$A$105,0)),"Pendiente de clasificar")))</f>
        <v>Sin marco</v>
      </c>
      <c r="O921" s="8" t="str">
        <f aca="false">IF(L921="","",IFERROR(INDEX(Catalogo_TIMSS!$C$5:$C$105,MATCH(L921,Catalogo_TIMSS!$A$5:$A$105,0)),"?"))</f>
        <v/>
      </c>
      <c r="P921" s="8" t="s">
        <v>4170</v>
      </c>
      <c r="Q921" s="27" t="s">
        <v>4171</v>
      </c>
      <c r="R921" s="27" t="s">
        <v>4264</v>
      </c>
      <c r="S921" s="28" t="n">
        <f aca="false">IFERROR(ISNUMBER(SEARCH("Conocer",$R921))/(ISNUMBER(SEARCH("Conocer",$R921))+ISNUMBER(SEARCH("Aplicar",$R921))+ISNUMBER(SEARCH("Razonar",$R921))),0)</f>
        <v>0</v>
      </c>
      <c r="T921" s="28" t="n">
        <f aca="false">IFERROR(ISNUMBER(SEARCH("Aplicar",$R921))/(ISNUMBER(SEARCH("Conocer",$R921))+ISNUMBER(SEARCH("Aplicar",$R921))+ISNUMBER(SEARCH("Razonar",$R921))),0)</f>
        <v>0.5</v>
      </c>
      <c r="U921" s="28" t="n">
        <f aca="false">IFERROR(ISNUMBER(SEARCH("Razonar",$R921))/(ISNUMBER(SEARCH("Conocer",$R921))+ISNUMBER(SEARCH("Aplicar",$R921))+ISNUMBER(SEARCH("Razonar",$R921))),0)</f>
        <v>0.5</v>
      </c>
      <c r="V921" s="8" t="s">
        <v>383</v>
      </c>
      <c r="W921" s="8" t="s">
        <v>4173</v>
      </c>
    </row>
    <row r="922" customFormat="false" ht="15" hidden="false" customHeight="false" outlineLevel="0" collapsed="false">
      <c r="A922" s="8" t="s">
        <v>4265</v>
      </c>
      <c r="B922" s="8" t="n">
        <v>10</v>
      </c>
      <c r="C922" s="8" t="s">
        <v>90</v>
      </c>
      <c r="D922" s="8" t="s">
        <v>4164</v>
      </c>
      <c r="E922" s="8" t="s">
        <v>4165</v>
      </c>
      <c r="F922" s="8" t="n">
        <v>31</v>
      </c>
      <c r="G922" s="8" t="s">
        <v>4238</v>
      </c>
      <c r="H922" s="8" t="s">
        <v>4259</v>
      </c>
      <c r="I922" s="27" t="s">
        <v>4266</v>
      </c>
      <c r="J922" s="8" t="s">
        <v>4169</v>
      </c>
      <c r="K922" s="8" t="s">
        <v>4170</v>
      </c>
      <c r="L922" s="8"/>
      <c r="M922" s="8" t="str">
        <f aca="false">IF(K922="FUERA","Fuera del marco",IF(K922="N/A","Sin marco",IFERROR(INDEX(Catalogo_TIMSS!$C$5:$C$105,MATCH(K922,Catalogo_TIMSS!$A$5:$A$105,0)),"Pendiente de clasificar")))</f>
        <v>Sin marco</v>
      </c>
      <c r="N922" s="8" t="str">
        <f aca="false">IF(K922="FUERA","Fuera del marco",IF(K922="N/A","Sin marco",IFERROR(INDEX(Catalogo_TIMSS!$F$5:$F$105,MATCH(K922,Catalogo_TIMSS!$A$5:$A$105,0)),"Pendiente de clasificar")))</f>
        <v>Sin marco</v>
      </c>
      <c r="O922" s="8" t="str">
        <f aca="false">IF(L922="","",IFERROR(INDEX(Catalogo_TIMSS!$C$5:$C$105,MATCH(L922,Catalogo_TIMSS!$A$5:$A$105,0)),"?"))</f>
        <v/>
      </c>
      <c r="P922" s="8" t="s">
        <v>4170</v>
      </c>
      <c r="Q922" s="27" t="s">
        <v>4171</v>
      </c>
      <c r="R922" s="27" t="s">
        <v>4267</v>
      </c>
      <c r="S922" s="28" t="n">
        <f aca="false">IFERROR(ISNUMBER(SEARCH("Conocer",$R922))/(ISNUMBER(SEARCH("Conocer",$R922))+ISNUMBER(SEARCH("Aplicar",$R922))+ISNUMBER(SEARCH("Razonar",$R922))),0)</f>
        <v>0.333333333333333</v>
      </c>
      <c r="T922" s="28" t="n">
        <f aca="false">IFERROR(ISNUMBER(SEARCH("Aplicar",$R922))/(ISNUMBER(SEARCH("Conocer",$R922))+ISNUMBER(SEARCH("Aplicar",$R922))+ISNUMBER(SEARCH("Razonar",$R922))),0)</f>
        <v>0.333333333333333</v>
      </c>
      <c r="U922" s="28" t="n">
        <f aca="false">IFERROR(ISNUMBER(SEARCH("Razonar",$R922))/(ISNUMBER(SEARCH("Conocer",$R922))+ISNUMBER(SEARCH("Aplicar",$R922))+ISNUMBER(SEARCH("Razonar",$R922))),0)</f>
        <v>0.333333333333333</v>
      </c>
      <c r="V922" s="8" t="s">
        <v>383</v>
      </c>
      <c r="W922" s="8" t="s">
        <v>4173</v>
      </c>
    </row>
    <row r="923" customFormat="false" ht="15" hidden="false" customHeight="false" outlineLevel="0" collapsed="false">
      <c r="A923" s="8" t="s">
        <v>4268</v>
      </c>
      <c r="B923" s="8" t="n">
        <v>10</v>
      </c>
      <c r="C923" s="8" t="s">
        <v>90</v>
      </c>
      <c r="D923" s="8" t="s">
        <v>4164</v>
      </c>
      <c r="E923" s="8" t="s">
        <v>4165</v>
      </c>
      <c r="F923" s="8" t="n">
        <v>32</v>
      </c>
      <c r="G923" s="8" t="s">
        <v>4238</v>
      </c>
      <c r="H923" s="8" t="s">
        <v>4259</v>
      </c>
      <c r="I923" s="27" t="s">
        <v>4269</v>
      </c>
      <c r="J923" s="8" t="s">
        <v>4169</v>
      </c>
      <c r="K923" s="8" t="s">
        <v>4170</v>
      </c>
      <c r="L923" s="8"/>
      <c r="M923" s="8" t="str">
        <f aca="false">IF(K923="FUERA","Fuera del marco",IF(K923="N/A","Sin marco",IFERROR(INDEX(Catalogo_TIMSS!$C$5:$C$105,MATCH(K923,Catalogo_TIMSS!$A$5:$A$105,0)),"Pendiente de clasificar")))</f>
        <v>Sin marco</v>
      </c>
      <c r="N923" s="8" t="str">
        <f aca="false">IF(K923="FUERA","Fuera del marco",IF(K923="N/A","Sin marco",IFERROR(INDEX(Catalogo_TIMSS!$F$5:$F$105,MATCH(K923,Catalogo_TIMSS!$A$5:$A$105,0)),"Pendiente de clasificar")))</f>
        <v>Sin marco</v>
      </c>
      <c r="O923" s="8" t="str">
        <f aca="false">IF(L923="","",IFERROR(INDEX(Catalogo_TIMSS!$C$5:$C$105,MATCH(L923,Catalogo_TIMSS!$A$5:$A$105,0)),"?"))</f>
        <v/>
      </c>
      <c r="P923" s="8" t="s">
        <v>4170</v>
      </c>
      <c r="Q923" s="27" t="s">
        <v>4171</v>
      </c>
      <c r="R923" s="27" t="s">
        <v>4270</v>
      </c>
      <c r="S923" s="28" t="n">
        <f aca="false">IFERROR(ISNUMBER(SEARCH("Conocer",$R923))/(ISNUMBER(SEARCH("Conocer",$R923))+ISNUMBER(SEARCH("Aplicar",$R923))+ISNUMBER(SEARCH("Razonar",$R923))),0)</f>
        <v>0</v>
      </c>
      <c r="T923" s="28" t="n">
        <f aca="false">IFERROR(ISNUMBER(SEARCH("Aplicar",$R923))/(ISNUMBER(SEARCH("Conocer",$R923))+ISNUMBER(SEARCH("Aplicar",$R923))+ISNUMBER(SEARCH("Razonar",$R923))),0)</f>
        <v>0.5</v>
      </c>
      <c r="U923" s="28" t="n">
        <f aca="false">IFERROR(ISNUMBER(SEARCH("Razonar",$R923))/(ISNUMBER(SEARCH("Conocer",$R923))+ISNUMBER(SEARCH("Aplicar",$R923))+ISNUMBER(SEARCH("Razonar",$R923))),0)</f>
        <v>0.5</v>
      </c>
      <c r="V923" s="8" t="s">
        <v>383</v>
      </c>
      <c r="W923" s="8" t="s">
        <v>4173</v>
      </c>
    </row>
    <row r="924" customFormat="false" ht="15" hidden="false" customHeight="false" outlineLevel="0" collapsed="false">
      <c r="A924" s="8" t="s">
        <v>4271</v>
      </c>
      <c r="B924" s="8" t="n">
        <v>10</v>
      </c>
      <c r="C924" s="8" t="s">
        <v>90</v>
      </c>
      <c r="D924" s="8" t="s">
        <v>4164</v>
      </c>
      <c r="E924" s="8" t="s">
        <v>4165</v>
      </c>
      <c r="F924" s="8" t="n">
        <v>33</v>
      </c>
      <c r="G924" s="8" t="s">
        <v>4272</v>
      </c>
      <c r="H924" s="8" t="s">
        <v>4273</v>
      </c>
      <c r="I924" s="27" t="s">
        <v>4274</v>
      </c>
      <c r="J924" s="8" t="s">
        <v>4169</v>
      </c>
      <c r="K924" s="8" t="s">
        <v>4170</v>
      </c>
      <c r="L924" s="8"/>
      <c r="M924" s="8" t="str">
        <f aca="false">IF(K924="FUERA","Fuera del marco",IF(K924="N/A","Sin marco",IFERROR(INDEX(Catalogo_TIMSS!$C$5:$C$105,MATCH(K924,Catalogo_TIMSS!$A$5:$A$105,0)),"Pendiente de clasificar")))</f>
        <v>Sin marco</v>
      </c>
      <c r="N924" s="8" t="str">
        <f aca="false">IF(K924="FUERA","Fuera del marco",IF(K924="N/A","Sin marco",IFERROR(INDEX(Catalogo_TIMSS!$F$5:$F$105,MATCH(K924,Catalogo_TIMSS!$A$5:$A$105,0)),"Pendiente de clasificar")))</f>
        <v>Sin marco</v>
      </c>
      <c r="O924" s="8" t="str">
        <f aca="false">IF(L924="","",IFERROR(INDEX(Catalogo_TIMSS!$C$5:$C$105,MATCH(L924,Catalogo_TIMSS!$A$5:$A$105,0)),"?"))</f>
        <v/>
      </c>
      <c r="P924" s="8" t="s">
        <v>4170</v>
      </c>
      <c r="Q924" s="27" t="s">
        <v>4171</v>
      </c>
      <c r="R924" s="27" t="s">
        <v>4275</v>
      </c>
      <c r="S924" s="28" t="n">
        <f aca="false">IFERROR(ISNUMBER(SEARCH("Conocer",$R924))/(ISNUMBER(SEARCH("Conocer",$R924))+ISNUMBER(SEARCH("Aplicar",$R924))+ISNUMBER(SEARCH("Razonar",$R924))),0)</f>
        <v>0.5</v>
      </c>
      <c r="T924" s="28" t="n">
        <f aca="false">IFERROR(ISNUMBER(SEARCH("Aplicar",$R924))/(ISNUMBER(SEARCH("Conocer",$R924))+ISNUMBER(SEARCH("Aplicar",$R924))+ISNUMBER(SEARCH("Razonar",$R924))),0)</f>
        <v>0</v>
      </c>
      <c r="U924" s="28" t="n">
        <f aca="false">IFERROR(ISNUMBER(SEARCH("Razonar",$R924))/(ISNUMBER(SEARCH("Conocer",$R924))+ISNUMBER(SEARCH("Aplicar",$R924))+ISNUMBER(SEARCH("Razonar",$R924))),0)</f>
        <v>0.5</v>
      </c>
      <c r="V924" s="8" t="s">
        <v>383</v>
      </c>
      <c r="W924" s="8" t="s">
        <v>4173</v>
      </c>
    </row>
    <row r="925" customFormat="false" ht="15" hidden="false" customHeight="false" outlineLevel="0" collapsed="false">
      <c r="A925" s="8" t="s">
        <v>4276</v>
      </c>
      <c r="B925" s="8" t="n">
        <v>10</v>
      </c>
      <c r="C925" s="8" t="s">
        <v>90</v>
      </c>
      <c r="D925" s="8" t="s">
        <v>4164</v>
      </c>
      <c r="E925" s="8" t="s">
        <v>4165</v>
      </c>
      <c r="F925" s="8" t="n">
        <v>34</v>
      </c>
      <c r="G925" s="8" t="s">
        <v>4272</v>
      </c>
      <c r="H925" s="8" t="s">
        <v>4273</v>
      </c>
      <c r="I925" s="27" t="s">
        <v>4277</v>
      </c>
      <c r="J925" s="8" t="s">
        <v>4169</v>
      </c>
      <c r="K925" s="8" t="s">
        <v>4170</v>
      </c>
      <c r="L925" s="8"/>
      <c r="M925" s="8" t="str">
        <f aca="false">IF(K925="FUERA","Fuera del marco",IF(K925="N/A","Sin marco",IFERROR(INDEX(Catalogo_TIMSS!$C$5:$C$105,MATCH(K925,Catalogo_TIMSS!$A$5:$A$105,0)),"Pendiente de clasificar")))</f>
        <v>Sin marco</v>
      </c>
      <c r="N925" s="8" t="str">
        <f aca="false">IF(K925="FUERA","Fuera del marco",IF(K925="N/A","Sin marco",IFERROR(INDEX(Catalogo_TIMSS!$F$5:$F$105,MATCH(K925,Catalogo_TIMSS!$A$5:$A$105,0)),"Pendiente de clasificar")))</f>
        <v>Sin marco</v>
      </c>
      <c r="O925" s="8" t="str">
        <f aca="false">IF(L925="","",IFERROR(INDEX(Catalogo_TIMSS!$C$5:$C$105,MATCH(L925,Catalogo_TIMSS!$A$5:$A$105,0)),"?"))</f>
        <v/>
      </c>
      <c r="P925" s="8" t="s">
        <v>4170</v>
      </c>
      <c r="Q925" s="27" t="s">
        <v>4171</v>
      </c>
      <c r="R925" s="27" t="s">
        <v>4278</v>
      </c>
      <c r="S925" s="28" t="n">
        <f aca="false">IFERROR(ISNUMBER(SEARCH("Conocer",$R925))/(ISNUMBER(SEARCH("Conocer",$R925))+ISNUMBER(SEARCH("Aplicar",$R925))+ISNUMBER(SEARCH("Razonar",$R925))),0)</f>
        <v>0.333333333333333</v>
      </c>
      <c r="T925" s="28" t="n">
        <f aca="false">IFERROR(ISNUMBER(SEARCH("Aplicar",$R925))/(ISNUMBER(SEARCH("Conocer",$R925))+ISNUMBER(SEARCH("Aplicar",$R925))+ISNUMBER(SEARCH("Razonar",$R925))),0)</f>
        <v>0.333333333333333</v>
      </c>
      <c r="U925" s="28" t="n">
        <f aca="false">IFERROR(ISNUMBER(SEARCH("Razonar",$R925))/(ISNUMBER(SEARCH("Conocer",$R925))+ISNUMBER(SEARCH("Aplicar",$R925))+ISNUMBER(SEARCH("Razonar",$R925))),0)</f>
        <v>0.333333333333333</v>
      </c>
      <c r="V925" s="8" t="s">
        <v>383</v>
      </c>
      <c r="W925" s="8" t="s">
        <v>4173</v>
      </c>
    </row>
    <row r="926" customFormat="false" ht="15" hidden="false" customHeight="false" outlineLevel="0" collapsed="false">
      <c r="A926" s="8" t="s">
        <v>4279</v>
      </c>
      <c r="B926" s="8" t="n">
        <v>10</v>
      </c>
      <c r="C926" s="8" t="s">
        <v>90</v>
      </c>
      <c r="D926" s="8" t="s">
        <v>4164</v>
      </c>
      <c r="E926" s="8" t="s">
        <v>4165</v>
      </c>
      <c r="F926" s="8" t="n">
        <v>35</v>
      </c>
      <c r="G926" s="8" t="s">
        <v>4272</v>
      </c>
      <c r="H926" s="8" t="s">
        <v>4273</v>
      </c>
      <c r="I926" s="27" t="s">
        <v>4280</v>
      </c>
      <c r="J926" s="8" t="s">
        <v>4169</v>
      </c>
      <c r="K926" s="8" t="s">
        <v>4170</v>
      </c>
      <c r="L926" s="8"/>
      <c r="M926" s="8" t="str">
        <f aca="false">IF(K926="FUERA","Fuera del marco",IF(K926="N/A","Sin marco",IFERROR(INDEX(Catalogo_TIMSS!$C$5:$C$105,MATCH(K926,Catalogo_TIMSS!$A$5:$A$105,0)),"Pendiente de clasificar")))</f>
        <v>Sin marco</v>
      </c>
      <c r="N926" s="8" t="str">
        <f aca="false">IF(K926="FUERA","Fuera del marco",IF(K926="N/A","Sin marco",IFERROR(INDEX(Catalogo_TIMSS!$F$5:$F$105,MATCH(K926,Catalogo_TIMSS!$A$5:$A$105,0)),"Pendiente de clasificar")))</f>
        <v>Sin marco</v>
      </c>
      <c r="O926" s="8" t="str">
        <f aca="false">IF(L926="","",IFERROR(INDEX(Catalogo_TIMSS!$C$5:$C$105,MATCH(L926,Catalogo_TIMSS!$A$5:$A$105,0)),"?"))</f>
        <v/>
      </c>
      <c r="P926" s="8" t="s">
        <v>4170</v>
      </c>
      <c r="Q926" s="27" t="s">
        <v>4171</v>
      </c>
      <c r="R926" s="27" t="s">
        <v>4281</v>
      </c>
      <c r="S926" s="28" t="n">
        <f aca="false">IFERROR(ISNUMBER(SEARCH("Conocer",$R926))/(ISNUMBER(SEARCH("Conocer",$R926))+ISNUMBER(SEARCH("Aplicar",$R926))+ISNUMBER(SEARCH("Razonar",$R926))),0)</f>
        <v>0</v>
      </c>
      <c r="T926" s="28" t="n">
        <f aca="false">IFERROR(ISNUMBER(SEARCH("Aplicar",$R926))/(ISNUMBER(SEARCH("Conocer",$R926))+ISNUMBER(SEARCH("Aplicar",$R926))+ISNUMBER(SEARCH("Razonar",$R926))),0)</f>
        <v>0.5</v>
      </c>
      <c r="U926" s="28" t="n">
        <f aca="false">IFERROR(ISNUMBER(SEARCH("Razonar",$R926))/(ISNUMBER(SEARCH("Conocer",$R926))+ISNUMBER(SEARCH("Aplicar",$R926))+ISNUMBER(SEARCH("Razonar",$R926))),0)</f>
        <v>0.5</v>
      </c>
      <c r="V926" s="8" t="s">
        <v>383</v>
      </c>
      <c r="W926" s="8" t="s">
        <v>4173</v>
      </c>
    </row>
    <row r="927" customFormat="false" ht="15" hidden="false" customHeight="false" outlineLevel="0" collapsed="false">
      <c r="A927" s="8" t="s">
        <v>4282</v>
      </c>
      <c r="B927" s="8" t="n">
        <v>10</v>
      </c>
      <c r="C927" s="8" t="s">
        <v>90</v>
      </c>
      <c r="D927" s="8" t="s">
        <v>4164</v>
      </c>
      <c r="E927" s="8" t="s">
        <v>4165</v>
      </c>
      <c r="F927" s="8" t="n">
        <v>36</v>
      </c>
      <c r="G927" s="8" t="s">
        <v>4272</v>
      </c>
      <c r="H927" s="8" t="s">
        <v>4283</v>
      </c>
      <c r="I927" s="27" t="s">
        <v>4284</v>
      </c>
      <c r="J927" s="8" t="s">
        <v>4169</v>
      </c>
      <c r="K927" s="8" t="s">
        <v>4170</v>
      </c>
      <c r="L927" s="8"/>
      <c r="M927" s="8" t="str">
        <f aca="false">IF(K927="FUERA","Fuera del marco",IF(K927="N/A","Sin marco",IFERROR(INDEX(Catalogo_TIMSS!$C$5:$C$105,MATCH(K927,Catalogo_TIMSS!$A$5:$A$105,0)),"Pendiente de clasificar")))</f>
        <v>Sin marco</v>
      </c>
      <c r="N927" s="8" t="str">
        <f aca="false">IF(K927="FUERA","Fuera del marco",IF(K927="N/A","Sin marco",IFERROR(INDEX(Catalogo_TIMSS!$F$5:$F$105,MATCH(K927,Catalogo_TIMSS!$A$5:$A$105,0)),"Pendiente de clasificar")))</f>
        <v>Sin marco</v>
      </c>
      <c r="O927" s="8" t="str">
        <f aca="false">IF(L927="","",IFERROR(INDEX(Catalogo_TIMSS!$C$5:$C$105,MATCH(L927,Catalogo_TIMSS!$A$5:$A$105,0)),"?"))</f>
        <v/>
      </c>
      <c r="P927" s="8" t="s">
        <v>4170</v>
      </c>
      <c r="Q927" s="27" t="s">
        <v>4171</v>
      </c>
      <c r="R927" s="27" t="s">
        <v>4285</v>
      </c>
      <c r="S927" s="28" t="n">
        <f aca="false">IFERROR(ISNUMBER(SEARCH("Conocer",$R927))/(ISNUMBER(SEARCH("Conocer",$R927))+ISNUMBER(SEARCH("Aplicar",$R927))+ISNUMBER(SEARCH("Razonar",$R927))),0)</f>
        <v>0</v>
      </c>
      <c r="T927" s="28" t="n">
        <f aca="false">IFERROR(ISNUMBER(SEARCH("Aplicar",$R927))/(ISNUMBER(SEARCH("Conocer",$R927))+ISNUMBER(SEARCH("Aplicar",$R927))+ISNUMBER(SEARCH("Razonar",$R927))),0)</f>
        <v>0.5</v>
      </c>
      <c r="U927" s="28" t="n">
        <f aca="false">IFERROR(ISNUMBER(SEARCH("Razonar",$R927))/(ISNUMBER(SEARCH("Conocer",$R927))+ISNUMBER(SEARCH("Aplicar",$R927))+ISNUMBER(SEARCH("Razonar",$R927))),0)</f>
        <v>0.5</v>
      </c>
      <c r="V927" s="8" t="s">
        <v>383</v>
      </c>
      <c r="W927" s="8" t="s">
        <v>4173</v>
      </c>
    </row>
    <row r="928" customFormat="false" ht="15" hidden="false" customHeight="false" outlineLevel="0" collapsed="false">
      <c r="A928" s="8" t="s">
        <v>4286</v>
      </c>
      <c r="B928" s="8" t="n">
        <v>10</v>
      </c>
      <c r="C928" s="8" t="s">
        <v>90</v>
      </c>
      <c r="D928" s="8" t="s">
        <v>4164</v>
      </c>
      <c r="E928" s="8" t="s">
        <v>4165</v>
      </c>
      <c r="F928" s="8" t="n">
        <v>37</v>
      </c>
      <c r="G928" s="8" t="s">
        <v>4272</v>
      </c>
      <c r="H928" s="8" t="s">
        <v>4283</v>
      </c>
      <c r="I928" s="27" t="s">
        <v>4287</v>
      </c>
      <c r="J928" s="8" t="s">
        <v>4169</v>
      </c>
      <c r="K928" s="8" t="s">
        <v>4170</v>
      </c>
      <c r="L928" s="8"/>
      <c r="M928" s="8" t="str">
        <f aca="false">IF(K928="FUERA","Fuera del marco",IF(K928="N/A","Sin marco",IFERROR(INDEX(Catalogo_TIMSS!$C$5:$C$105,MATCH(K928,Catalogo_TIMSS!$A$5:$A$105,0)),"Pendiente de clasificar")))</f>
        <v>Sin marco</v>
      </c>
      <c r="N928" s="8" t="str">
        <f aca="false">IF(K928="FUERA","Fuera del marco",IF(K928="N/A","Sin marco",IFERROR(INDEX(Catalogo_TIMSS!$F$5:$F$105,MATCH(K928,Catalogo_TIMSS!$A$5:$A$105,0)),"Pendiente de clasificar")))</f>
        <v>Sin marco</v>
      </c>
      <c r="O928" s="8" t="str">
        <f aca="false">IF(L928="","",IFERROR(INDEX(Catalogo_TIMSS!$C$5:$C$105,MATCH(L928,Catalogo_TIMSS!$A$5:$A$105,0)),"?"))</f>
        <v/>
      </c>
      <c r="P928" s="8" t="s">
        <v>4170</v>
      </c>
      <c r="Q928" s="27" t="s">
        <v>4171</v>
      </c>
      <c r="R928" s="27" t="s">
        <v>4288</v>
      </c>
      <c r="S928" s="28" t="n">
        <f aca="false">IFERROR(ISNUMBER(SEARCH("Conocer",$R928))/(ISNUMBER(SEARCH("Conocer",$R928))+ISNUMBER(SEARCH("Aplicar",$R928))+ISNUMBER(SEARCH("Razonar",$R928))),0)</f>
        <v>0</v>
      </c>
      <c r="T928" s="28" t="n">
        <f aca="false">IFERROR(ISNUMBER(SEARCH("Aplicar",$R928))/(ISNUMBER(SEARCH("Conocer",$R928))+ISNUMBER(SEARCH("Aplicar",$R928))+ISNUMBER(SEARCH("Razonar",$R928))),0)</f>
        <v>0.5</v>
      </c>
      <c r="U928" s="28" t="n">
        <f aca="false">IFERROR(ISNUMBER(SEARCH("Razonar",$R928))/(ISNUMBER(SEARCH("Conocer",$R928))+ISNUMBER(SEARCH("Aplicar",$R928))+ISNUMBER(SEARCH("Razonar",$R928))),0)</f>
        <v>0.5</v>
      </c>
      <c r="V928" s="8" t="s">
        <v>383</v>
      </c>
      <c r="W928" s="8" t="s">
        <v>4173</v>
      </c>
    </row>
    <row r="929" customFormat="false" ht="15" hidden="false" customHeight="false" outlineLevel="0" collapsed="false">
      <c r="A929" s="8" t="s">
        <v>4289</v>
      </c>
      <c r="B929" s="8" t="n">
        <v>10</v>
      </c>
      <c r="C929" s="8" t="s">
        <v>90</v>
      </c>
      <c r="D929" s="8" t="s">
        <v>4164</v>
      </c>
      <c r="E929" s="8" t="s">
        <v>4165</v>
      </c>
      <c r="F929" s="8" t="n">
        <v>38</v>
      </c>
      <c r="G929" s="8" t="s">
        <v>4272</v>
      </c>
      <c r="H929" s="8" t="s">
        <v>4283</v>
      </c>
      <c r="I929" s="27" t="s">
        <v>4290</v>
      </c>
      <c r="J929" s="8" t="s">
        <v>4169</v>
      </c>
      <c r="K929" s="8" t="s">
        <v>4170</v>
      </c>
      <c r="L929" s="8"/>
      <c r="M929" s="8" t="str">
        <f aca="false">IF(K929="FUERA","Fuera del marco",IF(K929="N/A","Sin marco",IFERROR(INDEX(Catalogo_TIMSS!$C$5:$C$105,MATCH(K929,Catalogo_TIMSS!$A$5:$A$105,0)),"Pendiente de clasificar")))</f>
        <v>Sin marco</v>
      </c>
      <c r="N929" s="8" t="str">
        <f aca="false">IF(K929="FUERA","Fuera del marco",IF(K929="N/A","Sin marco",IFERROR(INDEX(Catalogo_TIMSS!$F$5:$F$105,MATCH(K929,Catalogo_TIMSS!$A$5:$A$105,0)),"Pendiente de clasificar")))</f>
        <v>Sin marco</v>
      </c>
      <c r="O929" s="8" t="str">
        <f aca="false">IF(L929="","",IFERROR(INDEX(Catalogo_TIMSS!$C$5:$C$105,MATCH(L929,Catalogo_TIMSS!$A$5:$A$105,0)),"?"))</f>
        <v/>
      </c>
      <c r="P929" s="8" t="s">
        <v>4170</v>
      </c>
      <c r="Q929" s="27" t="s">
        <v>4171</v>
      </c>
      <c r="R929" s="27" t="s">
        <v>4291</v>
      </c>
      <c r="S929" s="28" t="n">
        <f aca="false">IFERROR(ISNUMBER(SEARCH("Conocer",$R929))/(ISNUMBER(SEARCH("Conocer",$R929))+ISNUMBER(SEARCH("Aplicar",$R929))+ISNUMBER(SEARCH("Razonar",$R929))),0)</f>
        <v>0</v>
      </c>
      <c r="T929" s="28" t="n">
        <f aca="false">IFERROR(ISNUMBER(SEARCH("Aplicar",$R929))/(ISNUMBER(SEARCH("Conocer",$R929))+ISNUMBER(SEARCH("Aplicar",$R929))+ISNUMBER(SEARCH("Razonar",$R929))),0)</f>
        <v>0.5</v>
      </c>
      <c r="U929" s="28" t="n">
        <f aca="false">IFERROR(ISNUMBER(SEARCH("Razonar",$R929))/(ISNUMBER(SEARCH("Conocer",$R929))+ISNUMBER(SEARCH("Aplicar",$R929))+ISNUMBER(SEARCH("Razonar",$R929))),0)</f>
        <v>0.5</v>
      </c>
      <c r="V929" s="8" t="s">
        <v>383</v>
      </c>
      <c r="W929" s="8" t="s">
        <v>4173</v>
      </c>
    </row>
    <row r="930" customFormat="false" ht="15" hidden="false" customHeight="false" outlineLevel="0" collapsed="false">
      <c r="A930" s="8" t="s">
        <v>4292</v>
      </c>
      <c r="B930" s="8" t="n">
        <v>10</v>
      </c>
      <c r="C930" s="8" t="s">
        <v>90</v>
      </c>
      <c r="D930" s="8" t="s">
        <v>4164</v>
      </c>
      <c r="E930" s="8" t="s">
        <v>4165</v>
      </c>
      <c r="F930" s="8" t="n">
        <v>39</v>
      </c>
      <c r="G930" s="8" t="s">
        <v>4272</v>
      </c>
      <c r="H930" s="8" t="s">
        <v>4283</v>
      </c>
      <c r="I930" s="27" t="s">
        <v>4293</v>
      </c>
      <c r="J930" s="8" t="s">
        <v>4169</v>
      </c>
      <c r="K930" s="8" t="s">
        <v>4170</v>
      </c>
      <c r="L930" s="8"/>
      <c r="M930" s="8" t="str">
        <f aca="false">IF(K930="FUERA","Fuera del marco",IF(K930="N/A","Sin marco",IFERROR(INDEX(Catalogo_TIMSS!$C$5:$C$105,MATCH(K930,Catalogo_TIMSS!$A$5:$A$105,0)),"Pendiente de clasificar")))</f>
        <v>Sin marco</v>
      </c>
      <c r="N930" s="8" t="str">
        <f aca="false">IF(K930="FUERA","Fuera del marco",IF(K930="N/A","Sin marco",IFERROR(INDEX(Catalogo_TIMSS!$F$5:$F$105,MATCH(K930,Catalogo_TIMSS!$A$5:$A$105,0)),"Pendiente de clasificar")))</f>
        <v>Sin marco</v>
      </c>
      <c r="O930" s="8" t="str">
        <f aca="false">IF(L930="","",IFERROR(INDEX(Catalogo_TIMSS!$C$5:$C$105,MATCH(L930,Catalogo_TIMSS!$A$5:$A$105,0)),"?"))</f>
        <v/>
      </c>
      <c r="P930" s="8" t="s">
        <v>4170</v>
      </c>
      <c r="Q930" s="27" t="s">
        <v>4171</v>
      </c>
      <c r="R930" s="27" t="s">
        <v>4294</v>
      </c>
      <c r="S930" s="28" t="n">
        <f aca="false">IFERROR(ISNUMBER(SEARCH("Conocer",$R930))/(ISNUMBER(SEARCH("Conocer",$R930))+ISNUMBER(SEARCH("Aplicar",$R930))+ISNUMBER(SEARCH("Razonar",$R930))),0)</f>
        <v>0</v>
      </c>
      <c r="T930" s="28" t="n">
        <f aca="false">IFERROR(ISNUMBER(SEARCH("Aplicar",$R930))/(ISNUMBER(SEARCH("Conocer",$R930))+ISNUMBER(SEARCH("Aplicar",$R930))+ISNUMBER(SEARCH("Razonar",$R930))),0)</f>
        <v>0.5</v>
      </c>
      <c r="U930" s="28" t="n">
        <f aca="false">IFERROR(ISNUMBER(SEARCH("Razonar",$R930))/(ISNUMBER(SEARCH("Conocer",$R930))+ISNUMBER(SEARCH("Aplicar",$R930))+ISNUMBER(SEARCH("Razonar",$R930))),0)</f>
        <v>0.5</v>
      </c>
      <c r="V930" s="8" t="s">
        <v>383</v>
      </c>
      <c r="W930" s="8" t="s">
        <v>4173</v>
      </c>
    </row>
    <row r="931" customFormat="false" ht="15" hidden="false" customHeight="false" outlineLevel="0" collapsed="false">
      <c r="A931" s="8" t="s">
        <v>4295</v>
      </c>
      <c r="B931" s="8" t="n">
        <v>10</v>
      </c>
      <c r="C931" s="8" t="s">
        <v>90</v>
      </c>
      <c r="D931" s="8" t="s">
        <v>4164</v>
      </c>
      <c r="E931" s="8" t="s">
        <v>4165</v>
      </c>
      <c r="F931" s="8" t="n">
        <v>40</v>
      </c>
      <c r="G931" s="8" t="s">
        <v>4272</v>
      </c>
      <c r="H931" s="8" t="s">
        <v>4283</v>
      </c>
      <c r="I931" s="27" t="s">
        <v>4296</v>
      </c>
      <c r="J931" s="8" t="s">
        <v>4169</v>
      </c>
      <c r="K931" s="8" t="s">
        <v>4170</v>
      </c>
      <c r="L931" s="8"/>
      <c r="M931" s="8" t="str">
        <f aca="false">IF(K931="FUERA","Fuera del marco",IF(K931="N/A","Sin marco",IFERROR(INDEX(Catalogo_TIMSS!$C$5:$C$105,MATCH(K931,Catalogo_TIMSS!$A$5:$A$105,0)),"Pendiente de clasificar")))</f>
        <v>Sin marco</v>
      </c>
      <c r="N931" s="8" t="str">
        <f aca="false">IF(K931="FUERA","Fuera del marco",IF(K931="N/A","Sin marco",IFERROR(INDEX(Catalogo_TIMSS!$F$5:$F$105,MATCH(K931,Catalogo_TIMSS!$A$5:$A$105,0)),"Pendiente de clasificar")))</f>
        <v>Sin marco</v>
      </c>
      <c r="O931" s="8" t="str">
        <f aca="false">IF(L931="","",IFERROR(INDEX(Catalogo_TIMSS!$C$5:$C$105,MATCH(L931,Catalogo_TIMSS!$A$5:$A$105,0)),"?"))</f>
        <v/>
      </c>
      <c r="P931" s="8" t="s">
        <v>4170</v>
      </c>
      <c r="Q931" s="27" t="s">
        <v>4171</v>
      </c>
      <c r="R931" s="27" t="s">
        <v>4297</v>
      </c>
      <c r="S931" s="28" t="n">
        <f aca="false">IFERROR(ISNUMBER(SEARCH("Conocer",$R931))/(ISNUMBER(SEARCH("Conocer",$R931))+ISNUMBER(SEARCH("Aplicar",$R931))+ISNUMBER(SEARCH("Razonar",$R931))),0)</f>
        <v>0</v>
      </c>
      <c r="T931" s="28" t="n">
        <f aca="false">IFERROR(ISNUMBER(SEARCH("Aplicar",$R931))/(ISNUMBER(SEARCH("Conocer",$R931))+ISNUMBER(SEARCH("Aplicar",$R931))+ISNUMBER(SEARCH("Razonar",$R931))),0)</f>
        <v>0.5</v>
      </c>
      <c r="U931" s="28" t="n">
        <f aca="false">IFERROR(ISNUMBER(SEARCH("Razonar",$R931))/(ISNUMBER(SEARCH("Conocer",$R931))+ISNUMBER(SEARCH("Aplicar",$R931))+ISNUMBER(SEARCH("Razonar",$R931))),0)</f>
        <v>0.5</v>
      </c>
      <c r="V931" s="8" t="s">
        <v>383</v>
      </c>
      <c r="W931" s="8" t="s">
        <v>4173</v>
      </c>
    </row>
    <row r="932" customFormat="false" ht="15" hidden="false" customHeight="false" outlineLevel="0" collapsed="false">
      <c r="A932" s="8" t="s">
        <v>4298</v>
      </c>
      <c r="B932" s="8" t="n">
        <v>10</v>
      </c>
      <c r="C932" s="8" t="s">
        <v>90</v>
      </c>
      <c r="D932" s="8" t="s">
        <v>4164</v>
      </c>
      <c r="E932" s="8" t="s">
        <v>4165</v>
      </c>
      <c r="F932" s="8" t="n">
        <v>41</v>
      </c>
      <c r="G932" s="8" t="s">
        <v>4299</v>
      </c>
      <c r="H932" s="8" t="s">
        <v>4300</v>
      </c>
      <c r="I932" s="27" t="s">
        <v>4301</v>
      </c>
      <c r="J932" s="8" t="s">
        <v>4169</v>
      </c>
      <c r="K932" s="8" t="s">
        <v>4170</v>
      </c>
      <c r="L932" s="8"/>
      <c r="M932" s="8" t="str">
        <f aca="false">IF(K932="FUERA","Fuera del marco",IF(K932="N/A","Sin marco",IFERROR(INDEX(Catalogo_TIMSS!$C$5:$C$105,MATCH(K932,Catalogo_TIMSS!$A$5:$A$105,0)),"Pendiente de clasificar")))</f>
        <v>Sin marco</v>
      </c>
      <c r="N932" s="8" t="str">
        <f aca="false">IF(K932="FUERA","Fuera del marco",IF(K932="N/A","Sin marco",IFERROR(INDEX(Catalogo_TIMSS!$F$5:$F$105,MATCH(K932,Catalogo_TIMSS!$A$5:$A$105,0)),"Pendiente de clasificar")))</f>
        <v>Sin marco</v>
      </c>
      <c r="O932" s="8" t="str">
        <f aca="false">IF(L932="","",IFERROR(INDEX(Catalogo_TIMSS!$C$5:$C$105,MATCH(L932,Catalogo_TIMSS!$A$5:$A$105,0)),"?"))</f>
        <v/>
      </c>
      <c r="P932" s="8" t="s">
        <v>4170</v>
      </c>
      <c r="Q932" s="27" t="s">
        <v>4171</v>
      </c>
      <c r="R932" s="27" t="s">
        <v>4302</v>
      </c>
      <c r="S932" s="28" t="n">
        <f aca="false">IFERROR(ISNUMBER(SEARCH("Conocer",$R932))/(ISNUMBER(SEARCH("Conocer",$R932))+ISNUMBER(SEARCH("Aplicar",$R932))+ISNUMBER(SEARCH("Razonar",$R932))),0)</f>
        <v>0</v>
      </c>
      <c r="T932" s="28" t="n">
        <f aca="false">IFERROR(ISNUMBER(SEARCH("Aplicar",$R932))/(ISNUMBER(SEARCH("Conocer",$R932))+ISNUMBER(SEARCH("Aplicar",$R932))+ISNUMBER(SEARCH("Razonar",$R932))),0)</f>
        <v>0.5</v>
      </c>
      <c r="U932" s="28" t="n">
        <f aca="false">IFERROR(ISNUMBER(SEARCH("Razonar",$R932))/(ISNUMBER(SEARCH("Conocer",$R932))+ISNUMBER(SEARCH("Aplicar",$R932))+ISNUMBER(SEARCH("Razonar",$R932))),0)</f>
        <v>0.5</v>
      </c>
      <c r="V932" s="8" t="s">
        <v>383</v>
      </c>
      <c r="W932" s="8" t="s">
        <v>4173</v>
      </c>
    </row>
    <row r="933" customFormat="false" ht="15" hidden="false" customHeight="false" outlineLevel="0" collapsed="false">
      <c r="A933" s="8" t="s">
        <v>4303</v>
      </c>
      <c r="B933" s="8" t="n">
        <v>10</v>
      </c>
      <c r="C933" s="8" t="s">
        <v>90</v>
      </c>
      <c r="D933" s="8" t="s">
        <v>4164</v>
      </c>
      <c r="E933" s="8" t="s">
        <v>4165</v>
      </c>
      <c r="F933" s="8" t="n">
        <v>42</v>
      </c>
      <c r="G933" s="8" t="s">
        <v>4299</v>
      </c>
      <c r="H933" s="8" t="s">
        <v>4304</v>
      </c>
      <c r="I933" s="27" t="s">
        <v>4305</v>
      </c>
      <c r="J933" s="8" t="s">
        <v>4169</v>
      </c>
      <c r="K933" s="8" t="s">
        <v>4170</v>
      </c>
      <c r="L933" s="8"/>
      <c r="M933" s="8" t="str">
        <f aca="false">IF(K933="FUERA","Fuera del marco",IF(K933="N/A","Sin marco",IFERROR(INDEX(Catalogo_TIMSS!$C$5:$C$105,MATCH(K933,Catalogo_TIMSS!$A$5:$A$105,0)),"Pendiente de clasificar")))</f>
        <v>Sin marco</v>
      </c>
      <c r="N933" s="8" t="str">
        <f aca="false">IF(K933="FUERA","Fuera del marco",IF(K933="N/A","Sin marco",IFERROR(INDEX(Catalogo_TIMSS!$F$5:$F$105,MATCH(K933,Catalogo_TIMSS!$A$5:$A$105,0)),"Pendiente de clasificar")))</f>
        <v>Sin marco</v>
      </c>
      <c r="O933" s="8" t="str">
        <f aca="false">IF(L933="","",IFERROR(INDEX(Catalogo_TIMSS!$C$5:$C$105,MATCH(L933,Catalogo_TIMSS!$A$5:$A$105,0)),"?"))</f>
        <v/>
      </c>
      <c r="P933" s="8" t="s">
        <v>4170</v>
      </c>
      <c r="Q933" s="27" t="s">
        <v>4171</v>
      </c>
      <c r="R933" s="27" t="s">
        <v>4306</v>
      </c>
      <c r="S933" s="28" t="n">
        <f aca="false">IFERROR(ISNUMBER(SEARCH("Conocer",$R933))/(ISNUMBER(SEARCH("Conocer",$R933))+ISNUMBER(SEARCH("Aplicar",$R933))+ISNUMBER(SEARCH("Razonar",$R933))),0)</f>
        <v>0</v>
      </c>
      <c r="T933" s="28" t="n">
        <f aca="false">IFERROR(ISNUMBER(SEARCH("Aplicar",$R933))/(ISNUMBER(SEARCH("Conocer",$R933))+ISNUMBER(SEARCH("Aplicar",$R933))+ISNUMBER(SEARCH("Razonar",$R933))),0)</f>
        <v>0.5</v>
      </c>
      <c r="U933" s="28" t="n">
        <f aca="false">IFERROR(ISNUMBER(SEARCH("Razonar",$R933))/(ISNUMBER(SEARCH("Conocer",$R933))+ISNUMBER(SEARCH("Aplicar",$R933))+ISNUMBER(SEARCH("Razonar",$R933))),0)</f>
        <v>0.5</v>
      </c>
      <c r="V933" s="8" t="s">
        <v>383</v>
      </c>
      <c r="W933" s="8" t="s">
        <v>4173</v>
      </c>
    </row>
    <row r="934" customFormat="false" ht="15" hidden="false" customHeight="false" outlineLevel="0" collapsed="false">
      <c r="A934" s="8" t="s">
        <v>4307</v>
      </c>
      <c r="B934" s="8" t="n">
        <v>10</v>
      </c>
      <c r="C934" s="8" t="s">
        <v>90</v>
      </c>
      <c r="D934" s="8" t="s">
        <v>4164</v>
      </c>
      <c r="E934" s="8" t="s">
        <v>4165</v>
      </c>
      <c r="F934" s="8" t="n">
        <v>43</v>
      </c>
      <c r="G934" s="8" t="s">
        <v>4299</v>
      </c>
      <c r="H934" s="8" t="s">
        <v>4304</v>
      </c>
      <c r="I934" s="27" t="s">
        <v>4308</v>
      </c>
      <c r="J934" s="8" t="s">
        <v>4169</v>
      </c>
      <c r="K934" s="8" t="s">
        <v>4170</v>
      </c>
      <c r="L934" s="8"/>
      <c r="M934" s="8" t="str">
        <f aca="false">IF(K934="FUERA","Fuera del marco",IF(K934="N/A","Sin marco",IFERROR(INDEX(Catalogo_TIMSS!$C$5:$C$105,MATCH(K934,Catalogo_TIMSS!$A$5:$A$105,0)),"Pendiente de clasificar")))</f>
        <v>Sin marco</v>
      </c>
      <c r="N934" s="8" t="str">
        <f aca="false">IF(K934="FUERA","Fuera del marco",IF(K934="N/A","Sin marco",IFERROR(INDEX(Catalogo_TIMSS!$F$5:$F$105,MATCH(K934,Catalogo_TIMSS!$A$5:$A$105,0)),"Pendiente de clasificar")))</f>
        <v>Sin marco</v>
      </c>
      <c r="O934" s="8" t="str">
        <f aca="false">IF(L934="","",IFERROR(INDEX(Catalogo_TIMSS!$C$5:$C$105,MATCH(L934,Catalogo_TIMSS!$A$5:$A$105,0)),"?"))</f>
        <v/>
      </c>
      <c r="P934" s="8" t="s">
        <v>4170</v>
      </c>
      <c r="Q934" s="27" t="s">
        <v>4171</v>
      </c>
      <c r="R934" s="27" t="s">
        <v>4309</v>
      </c>
      <c r="S934" s="28" t="n">
        <f aca="false">IFERROR(ISNUMBER(SEARCH("Conocer",$R934))/(ISNUMBER(SEARCH("Conocer",$R934))+ISNUMBER(SEARCH("Aplicar",$R934))+ISNUMBER(SEARCH("Razonar",$R934))),0)</f>
        <v>0</v>
      </c>
      <c r="T934" s="28" t="n">
        <f aca="false">IFERROR(ISNUMBER(SEARCH("Aplicar",$R934))/(ISNUMBER(SEARCH("Conocer",$R934))+ISNUMBER(SEARCH("Aplicar",$R934))+ISNUMBER(SEARCH("Razonar",$R934))),0)</f>
        <v>0.5</v>
      </c>
      <c r="U934" s="28" t="n">
        <f aca="false">IFERROR(ISNUMBER(SEARCH("Razonar",$R934))/(ISNUMBER(SEARCH("Conocer",$R934))+ISNUMBER(SEARCH("Aplicar",$R934))+ISNUMBER(SEARCH("Razonar",$R934))),0)</f>
        <v>0.5</v>
      </c>
      <c r="V934" s="8" t="s">
        <v>383</v>
      </c>
      <c r="W934" s="8" t="s">
        <v>4173</v>
      </c>
    </row>
    <row r="935" customFormat="false" ht="15" hidden="false" customHeight="false" outlineLevel="0" collapsed="false">
      <c r="A935" s="8" t="s">
        <v>4310</v>
      </c>
      <c r="B935" s="8" t="n">
        <v>10</v>
      </c>
      <c r="C935" s="8" t="s">
        <v>90</v>
      </c>
      <c r="D935" s="8" t="s">
        <v>4164</v>
      </c>
      <c r="E935" s="8" t="s">
        <v>4165</v>
      </c>
      <c r="F935" s="8" t="n">
        <v>44</v>
      </c>
      <c r="G935" s="8" t="s">
        <v>4299</v>
      </c>
      <c r="H935" s="8" t="s">
        <v>4304</v>
      </c>
      <c r="I935" s="27" t="s">
        <v>4311</v>
      </c>
      <c r="J935" s="8" t="s">
        <v>4169</v>
      </c>
      <c r="K935" s="8" t="s">
        <v>4170</v>
      </c>
      <c r="L935" s="8"/>
      <c r="M935" s="8" t="str">
        <f aca="false">IF(K935="FUERA","Fuera del marco",IF(K935="N/A","Sin marco",IFERROR(INDEX(Catalogo_TIMSS!$C$5:$C$105,MATCH(K935,Catalogo_TIMSS!$A$5:$A$105,0)),"Pendiente de clasificar")))</f>
        <v>Sin marco</v>
      </c>
      <c r="N935" s="8" t="str">
        <f aca="false">IF(K935="FUERA","Fuera del marco",IF(K935="N/A","Sin marco",IFERROR(INDEX(Catalogo_TIMSS!$F$5:$F$105,MATCH(K935,Catalogo_TIMSS!$A$5:$A$105,0)),"Pendiente de clasificar")))</f>
        <v>Sin marco</v>
      </c>
      <c r="O935" s="8" t="str">
        <f aca="false">IF(L935="","",IFERROR(INDEX(Catalogo_TIMSS!$C$5:$C$105,MATCH(L935,Catalogo_TIMSS!$A$5:$A$105,0)),"?"))</f>
        <v/>
      </c>
      <c r="P935" s="8" t="s">
        <v>4170</v>
      </c>
      <c r="Q935" s="27" t="s">
        <v>4171</v>
      </c>
      <c r="R935" s="27" t="s">
        <v>4312</v>
      </c>
      <c r="S935" s="28" t="n">
        <f aca="false">IFERROR(ISNUMBER(SEARCH("Conocer",$R935))/(ISNUMBER(SEARCH("Conocer",$R935))+ISNUMBER(SEARCH("Aplicar",$R935))+ISNUMBER(SEARCH("Razonar",$R935))),0)</f>
        <v>0</v>
      </c>
      <c r="T935" s="28" t="n">
        <f aca="false">IFERROR(ISNUMBER(SEARCH("Aplicar",$R935))/(ISNUMBER(SEARCH("Conocer",$R935))+ISNUMBER(SEARCH("Aplicar",$R935))+ISNUMBER(SEARCH("Razonar",$R935))),0)</f>
        <v>0.5</v>
      </c>
      <c r="U935" s="28" t="n">
        <f aca="false">IFERROR(ISNUMBER(SEARCH("Razonar",$R935))/(ISNUMBER(SEARCH("Conocer",$R935))+ISNUMBER(SEARCH("Aplicar",$R935))+ISNUMBER(SEARCH("Razonar",$R935))),0)</f>
        <v>0.5</v>
      </c>
      <c r="V935" s="8" t="s">
        <v>383</v>
      </c>
      <c r="W935" s="8" t="s">
        <v>4173</v>
      </c>
    </row>
    <row r="936" customFormat="false" ht="15" hidden="false" customHeight="false" outlineLevel="0" collapsed="false">
      <c r="A936" s="8" t="s">
        <v>4313</v>
      </c>
      <c r="B936" s="8" t="n">
        <v>10</v>
      </c>
      <c r="C936" s="8" t="s">
        <v>90</v>
      </c>
      <c r="D936" s="8" t="s">
        <v>4164</v>
      </c>
      <c r="E936" s="8" t="s">
        <v>4165</v>
      </c>
      <c r="F936" s="8" t="n">
        <v>45</v>
      </c>
      <c r="G936" s="8" t="s">
        <v>4299</v>
      </c>
      <c r="H936" s="8" t="s">
        <v>4314</v>
      </c>
      <c r="I936" s="27" t="s">
        <v>4315</v>
      </c>
      <c r="J936" s="8" t="s">
        <v>4169</v>
      </c>
      <c r="K936" s="8" t="s">
        <v>4170</v>
      </c>
      <c r="L936" s="8"/>
      <c r="M936" s="8" t="str">
        <f aca="false">IF(K936="FUERA","Fuera del marco",IF(K936="N/A","Sin marco",IFERROR(INDEX(Catalogo_TIMSS!$C$5:$C$105,MATCH(K936,Catalogo_TIMSS!$A$5:$A$105,0)),"Pendiente de clasificar")))</f>
        <v>Sin marco</v>
      </c>
      <c r="N936" s="8" t="str">
        <f aca="false">IF(K936="FUERA","Fuera del marco",IF(K936="N/A","Sin marco",IFERROR(INDEX(Catalogo_TIMSS!$F$5:$F$105,MATCH(K936,Catalogo_TIMSS!$A$5:$A$105,0)),"Pendiente de clasificar")))</f>
        <v>Sin marco</v>
      </c>
      <c r="O936" s="8" t="str">
        <f aca="false">IF(L936="","",IFERROR(INDEX(Catalogo_TIMSS!$C$5:$C$105,MATCH(L936,Catalogo_TIMSS!$A$5:$A$105,0)),"?"))</f>
        <v/>
      </c>
      <c r="P936" s="8" t="s">
        <v>4170</v>
      </c>
      <c r="Q936" s="27" t="s">
        <v>4171</v>
      </c>
      <c r="R936" s="27" t="s">
        <v>4316</v>
      </c>
      <c r="S936" s="28" t="n">
        <f aca="false">IFERROR(ISNUMBER(SEARCH("Conocer",$R936))/(ISNUMBER(SEARCH("Conocer",$R936))+ISNUMBER(SEARCH("Aplicar",$R936))+ISNUMBER(SEARCH("Razonar",$R936))),0)</f>
        <v>0</v>
      </c>
      <c r="T936" s="28" t="n">
        <f aca="false">IFERROR(ISNUMBER(SEARCH("Aplicar",$R936))/(ISNUMBER(SEARCH("Conocer",$R936))+ISNUMBER(SEARCH("Aplicar",$R936))+ISNUMBER(SEARCH("Razonar",$R936))),0)</f>
        <v>0.5</v>
      </c>
      <c r="U936" s="28" t="n">
        <f aca="false">IFERROR(ISNUMBER(SEARCH("Razonar",$R936))/(ISNUMBER(SEARCH("Conocer",$R936))+ISNUMBER(SEARCH("Aplicar",$R936))+ISNUMBER(SEARCH("Razonar",$R936))),0)</f>
        <v>0.5</v>
      </c>
      <c r="V936" s="8" t="s">
        <v>383</v>
      </c>
      <c r="W936" s="8" t="s">
        <v>4173</v>
      </c>
    </row>
    <row r="937" customFormat="false" ht="15" hidden="false" customHeight="false" outlineLevel="0" collapsed="false">
      <c r="A937" s="8" t="s">
        <v>4317</v>
      </c>
      <c r="B937" s="8" t="n">
        <v>10</v>
      </c>
      <c r="C937" s="8" t="s">
        <v>90</v>
      </c>
      <c r="D937" s="8" t="s">
        <v>4164</v>
      </c>
      <c r="E937" s="8" t="s">
        <v>4165</v>
      </c>
      <c r="F937" s="8" t="n">
        <v>46</v>
      </c>
      <c r="G937" s="8" t="s">
        <v>4299</v>
      </c>
      <c r="H937" s="8" t="s">
        <v>4318</v>
      </c>
      <c r="I937" s="27" t="s">
        <v>4319</v>
      </c>
      <c r="J937" s="8" t="s">
        <v>4169</v>
      </c>
      <c r="K937" s="8" t="s">
        <v>4170</v>
      </c>
      <c r="L937" s="8"/>
      <c r="M937" s="8" t="str">
        <f aca="false">IF(K937="FUERA","Fuera del marco",IF(K937="N/A","Sin marco",IFERROR(INDEX(Catalogo_TIMSS!$C$5:$C$105,MATCH(K937,Catalogo_TIMSS!$A$5:$A$105,0)),"Pendiente de clasificar")))</f>
        <v>Sin marco</v>
      </c>
      <c r="N937" s="8" t="str">
        <f aca="false">IF(K937="FUERA","Fuera del marco",IF(K937="N/A","Sin marco",IFERROR(INDEX(Catalogo_TIMSS!$F$5:$F$105,MATCH(K937,Catalogo_TIMSS!$A$5:$A$105,0)),"Pendiente de clasificar")))</f>
        <v>Sin marco</v>
      </c>
      <c r="O937" s="8" t="str">
        <f aca="false">IF(L937="","",IFERROR(INDEX(Catalogo_TIMSS!$C$5:$C$105,MATCH(L937,Catalogo_TIMSS!$A$5:$A$105,0)),"?"))</f>
        <v/>
      </c>
      <c r="P937" s="8" t="s">
        <v>4170</v>
      </c>
      <c r="Q937" s="27" t="s">
        <v>4171</v>
      </c>
      <c r="R937" s="27" t="s">
        <v>4320</v>
      </c>
      <c r="S937" s="28" t="n">
        <f aca="false">IFERROR(ISNUMBER(SEARCH("Conocer",$R937))/(ISNUMBER(SEARCH("Conocer",$R937))+ISNUMBER(SEARCH("Aplicar",$R937))+ISNUMBER(SEARCH("Razonar",$R937))),0)</f>
        <v>0</v>
      </c>
      <c r="T937" s="28" t="n">
        <f aca="false">IFERROR(ISNUMBER(SEARCH("Aplicar",$R937))/(ISNUMBER(SEARCH("Conocer",$R937))+ISNUMBER(SEARCH("Aplicar",$R937))+ISNUMBER(SEARCH("Razonar",$R937))),0)</f>
        <v>0.5</v>
      </c>
      <c r="U937" s="28" t="n">
        <f aca="false">IFERROR(ISNUMBER(SEARCH("Razonar",$R937))/(ISNUMBER(SEARCH("Conocer",$R937))+ISNUMBER(SEARCH("Aplicar",$R937))+ISNUMBER(SEARCH("Razonar",$R937))),0)</f>
        <v>0.5</v>
      </c>
      <c r="V937" s="8" t="s">
        <v>383</v>
      </c>
      <c r="W937" s="8" t="s">
        <v>4173</v>
      </c>
    </row>
    <row r="938" customFormat="false" ht="15" hidden="false" customHeight="false" outlineLevel="0" collapsed="false">
      <c r="A938" s="8" t="s">
        <v>4321</v>
      </c>
      <c r="B938" s="8" t="n">
        <v>10</v>
      </c>
      <c r="C938" s="8" t="s">
        <v>90</v>
      </c>
      <c r="D938" s="8" t="s">
        <v>4164</v>
      </c>
      <c r="E938" s="8" t="s">
        <v>4165</v>
      </c>
      <c r="F938" s="8" t="n">
        <v>47</v>
      </c>
      <c r="G938" s="8" t="s">
        <v>4299</v>
      </c>
      <c r="H938" s="8" t="s">
        <v>4318</v>
      </c>
      <c r="I938" s="27" t="s">
        <v>4322</v>
      </c>
      <c r="J938" s="8" t="s">
        <v>4169</v>
      </c>
      <c r="K938" s="8" t="s">
        <v>4170</v>
      </c>
      <c r="L938" s="8"/>
      <c r="M938" s="8" t="str">
        <f aca="false">IF(K938="FUERA","Fuera del marco",IF(K938="N/A","Sin marco",IFERROR(INDEX(Catalogo_TIMSS!$C$5:$C$105,MATCH(K938,Catalogo_TIMSS!$A$5:$A$105,0)),"Pendiente de clasificar")))</f>
        <v>Sin marco</v>
      </c>
      <c r="N938" s="8" t="str">
        <f aca="false">IF(K938="FUERA","Fuera del marco",IF(K938="N/A","Sin marco",IFERROR(INDEX(Catalogo_TIMSS!$F$5:$F$105,MATCH(K938,Catalogo_TIMSS!$A$5:$A$105,0)),"Pendiente de clasificar")))</f>
        <v>Sin marco</v>
      </c>
      <c r="O938" s="8" t="str">
        <f aca="false">IF(L938="","",IFERROR(INDEX(Catalogo_TIMSS!$C$5:$C$105,MATCH(L938,Catalogo_TIMSS!$A$5:$A$105,0)),"?"))</f>
        <v/>
      </c>
      <c r="P938" s="8" t="s">
        <v>4170</v>
      </c>
      <c r="Q938" s="27" t="s">
        <v>4171</v>
      </c>
      <c r="R938" s="27" t="s">
        <v>4323</v>
      </c>
      <c r="S938" s="28" t="n">
        <f aca="false">IFERROR(ISNUMBER(SEARCH("Conocer",$R938))/(ISNUMBER(SEARCH("Conocer",$R938))+ISNUMBER(SEARCH("Aplicar",$R938))+ISNUMBER(SEARCH("Razonar",$R938))),0)</f>
        <v>0</v>
      </c>
      <c r="T938" s="28" t="n">
        <f aca="false">IFERROR(ISNUMBER(SEARCH("Aplicar",$R938))/(ISNUMBER(SEARCH("Conocer",$R938))+ISNUMBER(SEARCH("Aplicar",$R938))+ISNUMBER(SEARCH("Razonar",$R938))),0)</f>
        <v>0.5</v>
      </c>
      <c r="U938" s="28" t="n">
        <f aca="false">IFERROR(ISNUMBER(SEARCH("Razonar",$R938))/(ISNUMBER(SEARCH("Conocer",$R938))+ISNUMBER(SEARCH("Aplicar",$R938))+ISNUMBER(SEARCH("Razonar",$R938))),0)</f>
        <v>0.5</v>
      </c>
      <c r="V938" s="8" t="s">
        <v>383</v>
      </c>
      <c r="W938" s="8" t="s">
        <v>4173</v>
      </c>
    </row>
    <row r="939" customFormat="false" ht="15" hidden="false" customHeight="false" outlineLevel="0" collapsed="false">
      <c r="A939" s="8" t="s">
        <v>4324</v>
      </c>
      <c r="B939" s="8" t="n">
        <v>10</v>
      </c>
      <c r="C939" s="8" t="s">
        <v>90</v>
      </c>
      <c r="D939" s="8" t="s">
        <v>4164</v>
      </c>
      <c r="E939" s="8" t="s">
        <v>4165</v>
      </c>
      <c r="F939" s="8" t="n">
        <v>48</v>
      </c>
      <c r="G939" s="8" t="s">
        <v>4299</v>
      </c>
      <c r="H939" s="8" t="s">
        <v>4325</v>
      </c>
      <c r="I939" s="27" t="s">
        <v>4326</v>
      </c>
      <c r="J939" s="8" t="s">
        <v>4169</v>
      </c>
      <c r="K939" s="8" t="s">
        <v>4170</v>
      </c>
      <c r="L939" s="8"/>
      <c r="M939" s="8" t="str">
        <f aca="false">IF(K939="FUERA","Fuera del marco",IF(K939="N/A","Sin marco",IFERROR(INDEX(Catalogo_TIMSS!$C$5:$C$105,MATCH(K939,Catalogo_TIMSS!$A$5:$A$105,0)),"Pendiente de clasificar")))</f>
        <v>Sin marco</v>
      </c>
      <c r="N939" s="8" t="str">
        <f aca="false">IF(K939="FUERA","Fuera del marco",IF(K939="N/A","Sin marco",IFERROR(INDEX(Catalogo_TIMSS!$F$5:$F$105,MATCH(K939,Catalogo_TIMSS!$A$5:$A$105,0)),"Pendiente de clasificar")))</f>
        <v>Sin marco</v>
      </c>
      <c r="O939" s="8" t="str">
        <f aca="false">IF(L939="","",IFERROR(INDEX(Catalogo_TIMSS!$C$5:$C$105,MATCH(L939,Catalogo_TIMSS!$A$5:$A$105,0)),"?"))</f>
        <v/>
      </c>
      <c r="P939" s="8" t="s">
        <v>4170</v>
      </c>
      <c r="Q939" s="27" t="s">
        <v>4171</v>
      </c>
      <c r="R939" s="27" t="s">
        <v>4327</v>
      </c>
      <c r="S939" s="28" t="n">
        <f aca="false">IFERROR(ISNUMBER(SEARCH("Conocer",$R939))/(ISNUMBER(SEARCH("Conocer",$R939))+ISNUMBER(SEARCH("Aplicar",$R939))+ISNUMBER(SEARCH("Razonar",$R939))),0)</f>
        <v>0</v>
      </c>
      <c r="T939" s="28" t="n">
        <f aca="false">IFERROR(ISNUMBER(SEARCH("Aplicar",$R939))/(ISNUMBER(SEARCH("Conocer",$R939))+ISNUMBER(SEARCH("Aplicar",$R939))+ISNUMBER(SEARCH("Razonar",$R939))),0)</f>
        <v>0.5</v>
      </c>
      <c r="U939" s="28" t="n">
        <f aca="false">IFERROR(ISNUMBER(SEARCH("Razonar",$R939))/(ISNUMBER(SEARCH("Conocer",$R939))+ISNUMBER(SEARCH("Aplicar",$R939))+ISNUMBER(SEARCH("Razonar",$R939))),0)</f>
        <v>0.5</v>
      </c>
      <c r="V939" s="8" t="s">
        <v>383</v>
      </c>
      <c r="W939" s="8" t="s">
        <v>4173</v>
      </c>
    </row>
    <row r="940" customFormat="false" ht="15" hidden="false" customHeight="false" outlineLevel="0" collapsed="false">
      <c r="A940" s="8" t="s">
        <v>4328</v>
      </c>
      <c r="B940" s="8" t="n">
        <v>10</v>
      </c>
      <c r="C940" s="8" t="s">
        <v>90</v>
      </c>
      <c r="D940" s="8" t="s">
        <v>4164</v>
      </c>
      <c r="E940" s="8" t="s">
        <v>4165</v>
      </c>
      <c r="F940" s="8" t="n">
        <v>49</v>
      </c>
      <c r="G940" s="8" t="s">
        <v>4299</v>
      </c>
      <c r="H940" s="8" t="s">
        <v>4329</v>
      </c>
      <c r="I940" s="27" t="s">
        <v>4330</v>
      </c>
      <c r="J940" s="8" t="s">
        <v>4169</v>
      </c>
      <c r="K940" s="8" t="s">
        <v>4170</v>
      </c>
      <c r="L940" s="8"/>
      <c r="M940" s="8" t="str">
        <f aca="false">IF(K940="FUERA","Fuera del marco",IF(K940="N/A","Sin marco",IFERROR(INDEX(Catalogo_TIMSS!$C$5:$C$105,MATCH(K940,Catalogo_TIMSS!$A$5:$A$105,0)),"Pendiente de clasificar")))</f>
        <v>Sin marco</v>
      </c>
      <c r="N940" s="8" t="str">
        <f aca="false">IF(K940="FUERA","Fuera del marco",IF(K940="N/A","Sin marco",IFERROR(INDEX(Catalogo_TIMSS!$F$5:$F$105,MATCH(K940,Catalogo_TIMSS!$A$5:$A$105,0)),"Pendiente de clasificar")))</f>
        <v>Sin marco</v>
      </c>
      <c r="O940" s="8" t="str">
        <f aca="false">IF(L940="","",IFERROR(INDEX(Catalogo_TIMSS!$C$5:$C$105,MATCH(L940,Catalogo_TIMSS!$A$5:$A$105,0)),"?"))</f>
        <v/>
      </c>
      <c r="P940" s="8" t="s">
        <v>4170</v>
      </c>
      <c r="Q940" s="27" t="s">
        <v>4171</v>
      </c>
      <c r="R940" s="27" t="s">
        <v>4331</v>
      </c>
      <c r="S940" s="28" t="n">
        <f aca="false">IFERROR(ISNUMBER(SEARCH("Conocer",$R940))/(ISNUMBER(SEARCH("Conocer",$R940))+ISNUMBER(SEARCH("Aplicar",$R940))+ISNUMBER(SEARCH("Razonar",$R940))),0)</f>
        <v>0.5</v>
      </c>
      <c r="T940" s="28" t="n">
        <f aca="false">IFERROR(ISNUMBER(SEARCH("Aplicar",$R940))/(ISNUMBER(SEARCH("Conocer",$R940))+ISNUMBER(SEARCH("Aplicar",$R940))+ISNUMBER(SEARCH("Razonar",$R940))),0)</f>
        <v>0</v>
      </c>
      <c r="U940" s="28" t="n">
        <f aca="false">IFERROR(ISNUMBER(SEARCH("Razonar",$R940))/(ISNUMBER(SEARCH("Conocer",$R940))+ISNUMBER(SEARCH("Aplicar",$R940))+ISNUMBER(SEARCH("Razonar",$R940))),0)</f>
        <v>0.5</v>
      </c>
      <c r="V940" s="8" t="s">
        <v>383</v>
      </c>
      <c r="W940" s="8" t="s">
        <v>4173</v>
      </c>
    </row>
    <row r="941" customFormat="false" ht="15" hidden="false" customHeight="false" outlineLevel="0" collapsed="false">
      <c r="A941" s="8" t="s">
        <v>4332</v>
      </c>
      <c r="B941" s="8" t="n">
        <v>10</v>
      </c>
      <c r="C941" s="8" t="s">
        <v>90</v>
      </c>
      <c r="D941" s="8" t="s">
        <v>4164</v>
      </c>
      <c r="E941" s="8" t="s">
        <v>4165</v>
      </c>
      <c r="F941" s="8" t="n">
        <v>50</v>
      </c>
      <c r="G941" s="8" t="s">
        <v>4299</v>
      </c>
      <c r="H941" s="8" t="s">
        <v>4333</v>
      </c>
      <c r="I941" s="27" t="s">
        <v>4334</v>
      </c>
      <c r="J941" s="8" t="s">
        <v>4169</v>
      </c>
      <c r="K941" s="8" t="s">
        <v>4170</v>
      </c>
      <c r="L941" s="8"/>
      <c r="M941" s="8" t="str">
        <f aca="false">IF(K941="FUERA","Fuera del marco",IF(K941="N/A","Sin marco",IFERROR(INDEX(Catalogo_TIMSS!$C$5:$C$105,MATCH(K941,Catalogo_TIMSS!$A$5:$A$105,0)),"Pendiente de clasificar")))</f>
        <v>Sin marco</v>
      </c>
      <c r="N941" s="8" t="str">
        <f aca="false">IF(K941="FUERA","Fuera del marco",IF(K941="N/A","Sin marco",IFERROR(INDEX(Catalogo_TIMSS!$F$5:$F$105,MATCH(K941,Catalogo_TIMSS!$A$5:$A$105,0)),"Pendiente de clasificar")))</f>
        <v>Sin marco</v>
      </c>
      <c r="O941" s="8" t="str">
        <f aca="false">IF(L941="","",IFERROR(INDEX(Catalogo_TIMSS!$C$5:$C$105,MATCH(L941,Catalogo_TIMSS!$A$5:$A$105,0)),"?"))</f>
        <v/>
      </c>
      <c r="P941" s="8" t="s">
        <v>4170</v>
      </c>
      <c r="Q941" s="27" t="s">
        <v>4171</v>
      </c>
      <c r="R941" s="27" t="s">
        <v>4335</v>
      </c>
      <c r="S941" s="28" t="n">
        <f aca="false">IFERROR(ISNUMBER(SEARCH("Conocer",$R941))/(ISNUMBER(SEARCH("Conocer",$R941))+ISNUMBER(SEARCH("Aplicar",$R941))+ISNUMBER(SEARCH("Razonar",$R941))),0)</f>
        <v>0</v>
      </c>
      <c r="T941" s="28" t="n">
        <f aca="false">IFERROR(ISNUMBER(SEARCH("Aplicar",$R941))/(ISNUMBER(SEARCH("Conocer",$R941))+ISNUMBER(SEARCH("Aplicar",$R941))+ISNUMBER(SEARCH("Razonar",$R941))),0)</f>
        <v>0.5</v>
      </c>
      <c r="U941" s="28" t="n">
        <f aca="false">IFERROR(ISNUMBER(SEARCH("Razonar",$R941))/(ISNUMBER(SEARCH("Conocer",$R941))+ISNUMBER(SEARCH("Aplicar",$R941))+ISNUMBER(SEARCH("Razonar",$R941))),0)</f>
        <v>0.5</v>
      </c>
      <c r="V941" s="8" t="s">
        <v>383</v>
      </c>
      <c r="W941" s="8" t="s">
        <v>4173</v>
      </c>
    </row>
    <row r="942" customFormat="false" ht="15" hidden="false" customHeight="false" outlineLevel="0" collapsed="false">
      <c r="A942" s="8" t="s">
        <v>4336</v>
      </c>
      <c r="B942" s="8" t="n">
        <v>10</v>
      </c>
      <c r="C942" s="8" t="s">
        <v>90</v>
      </c>
      <c r="D942" s="8" t="s">
        <v>4164</v>
      </c>
      <c r="E942" s="8" t="s">
        <v>4165</v>
      </c>
      <c r="F942" s="8" t="n">
        <v>51</v>
      </c>
      <c r="G942" s="8" t="s">
        <v>4299</v>
      </c>
      <c r="H942" s="8" t="s">
        <v>4333</v>
      </c>
      <c r="I942" s="27" t="s">
        <v>4337</v>
      </c>
      <c r="J942" s="8" t="s">
        <v>4169</v>
      </c>
      <c r="K942" s="8" t="s">
        <v>4170</v>
      </c>
      <c r="L942" s="8"/>
      <c r="M942" s="8" t="str">
        <f aca="false">IF(K942="FUERA","Fuera del marco",IF(K942="N/A","Sin marco",IFERROR(INDEX(Catalogo_TIMSS!$C$5:$C$105,MATCH(K942,Catalogo_TIMSS!$A$5:$A$105,0)),"Pendiente de clasificar")))</f>
        <v>Sin marco</v>
      </c>
      <c r="N942" s="8" t="str">
        <f aca="false">IF(K942="FUERA","Fuera del marco",IF(K942="N/A","Sin marco",IFERROR(INDEX(Catalogo_TIMSS!$F$5:$F$105,MATCH(K942,Catalogo_TIMSS!$A$5:$A$105,0)),"Pendiente de clasificar")))</f>
        <v>Sin marco</v>
      </c>
      <c r="O942" s="8" t="str">
        <f aca="false">IF(L942="","",IFERROR(INDEX(Catalogo_TIMSS!$C$5:$C$105,MATCH(L942,Catalogo_TIMSS!$A$5:$A$105,0)),"?"))</f>
        <v/>
      </c>
      <c r="P942" s="8" t="s">
        <v>4170</v>
      </c>
      <c r="Q942" s="27" t="s">
        <v>4171</v>
      </c>
      <c r="R942" s="27" t="s">
        <v>4338</v>
      </c>
      <c r="S942" s="28" t="n">
        <f aca="false">IFERROR(ISNUMBER(SEARCH("Conocer",$R942))/(ISNUMBER(SEARCH("Conocer",$R942))+ISNUMBER(SEARCH("Aplicar",$R942))+ISNUMBER(SEARCH("Razonar",$R942))),0)</f>
        <v>0</v>
      </c>
      <c r="T942" s="28" t="n">
        <f aca="false">IFERROR(ISNUMBER(SEARCH("Aplicar",$R942))/(ISNUMBER(SEARCH("Conocer",$R942))+ISNUMBER(SEARCH("Aplicar",$R942))+ISNUMBER(SEARCH("Razonar",$R942))),0)</f>
        <v>0.5</v>
      </c>
      <c r="U942" s="28" t="n">
        <f aca="false">IFERROR(ISNUMBER(SEARCH("Razonar",$R942))/(ISNUMBER(SEARCH("Conocer",$R942))+ISNUMBER(SEARCH("Aplicar",$R942))+ISNUMBER(SEARCH("Razonar",$R942))),0)</f>
        <v>0.5</v>
      </c>
      <c r="V942" s="8" t="s">
        <v>383</v>
      </c>
      <c r="W942" s="8" t="s">
        <v>4173</v>
      </c>
    </row>
    <row r="943" customFormat="false" ht="15" hidden="false" customHeight="false" outlineLevel="0" collapsed="false">
      <c r="A943" s="8" t="s">
        <v>4339</v>
      </c>
      <c r="B943" s="8" t="n">
        <v>10</v>
      </c>
      <c r="C943" s="8" t="s">
        <v>90</v>
      </c>
      <c r="D943" s="8" t="s">
        <v>4164</v>
      </c>
      <c r="E943" s="8" t="s">
        <v>4165</v>
      </c>
      <c r="F943" s="8" t="n">
        <v>52</v>
      </c>
      <c r="G943" s="8" t="s">
        <v>4299</v>
      </c>
      <c r="H943" s="8" t="s">
        <v>4340</v>
      </c>
      <c r="I943" s="27" t="s">
        <v>4341</v>
      </c>
      <c r="J943" s="8" t="s">
        <v>4169</v>
      </c>
      <c r="K943" s="8" t="s">
        <v>4170</v>
      </c>
      <c r="L943" s="8"/>
      <c r="M943" s="8" t="str">
        <f aca="false">IF(K943="FUERA","Fuera del marco",IF(K943="N/A","Sin marco",IFERROR(INDEX(Catalogo_TIMSS!$C$5:$C$105,MATCH(K943,Catalogo_TIMSS!$A$5:$A$105,0)),"Pendiente de clasificar")))</f>
        <v>Sin marco</v>
      </c>
      <c r="N943" s="8" t="str">
        <f aca="false">IF(K943="FUERA","Fuera del marco",IF(K943="N/A","Sin marco",IFERROR(INDEX(Catalogo_TIMSS!$F$5:$F$105,MATCH(K943,Catalogo_TIMSS!$A$5:$A$105,0)),"Pendiente de clasificar")))</f>
        <v>Sin marco</v>
      </c>
      <c r="O943" s="8" t="str">
        <f aca="false">IF(L943="","",IFERROR(INDEX(Catalogo_TIMSS!$C$5:$C$105,MATCH(L943,Catalogo_TIMSS!$A$5:$A$105,0)),"?"))</f>
        <v/>
      </c>
      <c r="P943" s="8" t="s">
        <v>4170</v>
      </c>
      <c r="Q943" s="27" t="s">
        <v>4171</v>
      </c>
      <c r="R943" s="27" t="s">
        <v>4342</v>
      </c>
      <c r="S943" s="28" t="n">
        <f aca="false">IFERROR(ISNUMBER(SEARCH("Conocer",$R943))/(ISNUMBER(SEARCH("Conocer",$R943))+ISNUMBER(SEARCH("Aplicar",$R943))+ISNUMBER(SEARCH("Razonar",$R943))),0)</f>
        <v>0</v>
      </c>
      <c r="T943" s="28" t="n">
        <f aca="false">IFERROR(ISNUMBER(SEARCH("Aplicar",$R943))/(ISNUMBER(SEARCH("Conocer",$R943))+ISNUMBER(SEARCH("Aplicar",$R943))+ISNUMBER(SEARCH("Razonar",$R943))),0)</f>
        <v>0.5</v>
      </c>
      <c r="U943" s="28" t="n">
        <f aca="false">IFERROR(ISNUMBER(SEARCH("Razonar",$R943))/(ISNUMBER(SEARCH("Conocer",$R943))+ISNUMBER(SEARCH("Aplicar",$R943))+ISNUMBER(SEARCH("Razonar",$R943))),0)</f>
        <v>0.5</v>
      </c>
      <c r="V943" s="8" t="s">
        <v>383</v>
      </c>
      <c r="W943" s="8" t="s">
        <v>4173</v>
      </c>
    </row>
    <row r="944" customFormat="false" ht="15" hidden="false" customHeight="false" outlineLevel="0" collapsed="false">
      <c r="A944" s="8" t="s">
        <v>4343</v>
      </c>
      <c r="B944" s="8" t="n">
        <v>10</v>
      </c>
      <c r="C944" s="8" t="s">
        <v>90</v>
      </c>
      <c r="D944" s="8" t="s">
        <v>4164</v>
      </c>
      <c r="E944" s="8" t="s">
        <v>4165</v>
      </c>
      <c r="F944" s="8" t="n">
        <v>53</v>
      </c>
      <c r="G944" s="8" t="s">
        <v>4299</v>
      </c>
      <c r="H944" s="8" t="s">
        <v>4344</v>
      </c>
      <c r="I944" s="27" t="s">
        <v>4345</v>
      </c>
      <c r="J944" s="8" t="s">
        <v>4169</v>
      </c>
      <c r="K944" s="8" t="s">
        <v>4170</v>
      </c>
      <c r="L944" s="8"/>
      <c r="M944" s="8" t="str">
        <f aca="false">IF(K944="FUERA","Fuera del marco",IF(K944="N/A","Sin marco",IFERROR(INDEX(Catalogo_TIMSS!$C$5:$C$105,MATCH(K944,Catalogo_TIMSS!$A$5:$A$105,0)),"Pendiente de clasificar")))</f>
        <v>Sin marco</v>
      </c>
      <c r="N944" s="8" t="str">
        <f aca="false">IF(K944="FUERA","Fuera del marco",IF(K944="N/A","Sin marco",IFERROR(INDEX(Catalogo_TIMSS!$F$5:$F$105,MATCH(K944,Catalogo_TIMSS!$A$5:$A$105,0)),"Pendiente de clasificar")))</f>
        <v>Sin marco</v>
      </c>
      <c r="O944" s="8" t="str">
        <f aca="false">IF(L944="","",IFERROR(INDEX(Catalogo_TIMSS!$C$5:$C$105,MATCH(L944,Catalogo_TIMSS!$A$5:$A$105,0)),"?"))</f>
        <v/>
      </c>
      <c r="P944" s="8" t="s">
        <v>4170</v>
      </c>
      <c r="Q944" s="27" t="s">
        <v>4171</v>
      </c>
      <c r="R944" s="27" t="s">
        <v>4346</v>
      </c>
      <c r="S944" s="28" t="n">
        <f aca="false">IFERROR(ISNUMBER(SEARCH("Conocer",$R944))/(ISNUMBER(SEARCH("Conocer",$R944))+ISNUMBER(SEARCH("Aplicar",$R944))+ISNUMBER(SEARCH("Razonar",$R944))),0)</f>
        <v>0.5</v>
      </c>
      <c r="T944" s="28" t="n">
        <f aca="false">IFERROR(ISNUMBER(SEARCH("Aplicar",$R944))/(ISNUMBER(SEARCH("Conocer",$R944))+ISNUMBER(SEARCH("Aplicar",$R944))+ISNUMBER(SEARCH("Razonar",$R944))),0)</f>
        <v>0</v>
      </c>
      <c r="U944" s="28" t="n">
        <f aca="false">IFERROR(ISNUMBER(SEARCH("Razonar",$R944))/(ISNUMBER(SEARCH("Conocer",$R944))+ISNUMBER(SEARCH("Aplicar",$R944))+ISNUMBER(SEARCH("Razonar",$R944))),0)</f>
        <v>0.5</v>
      </c>
      <c r="V944" s="8" t="s">
        <v>383</v>
      </c>
      <c r="W944" s="8" t="s">
        <v>4173</v>
      </c>
    </row>
    <row r="945" customFormat="false" ht="15" hidden="false" customHeight="false" outlineLevel="0" collapsed="false">
      <c r="A945" s="8" t="s">
        <v>4347</v>
      </c>
      <c r="B945" s="8" t="n">
        <v>10</v>
      </c>
      <c r="C945" s="8" t="s">
        <v>90</v>
      </c>
      <c r="D945" s="8" t="s">
        <v>4164</v>
      </c>
      <c r="E945" s="8" t="s">
        <v>4165</v>
      </c>
      <c r="F945" s="8" t="n">
        <v>54</v>
      </c>
      <c r="G945" s="8" t="s">
        <v>4299</v>
      </c>
      <c r="H945" s="8" t="s">
        <v>4348</v>
      </c>
      <c r="I945" s="27" t="s">
        <v>4349</v>
      </c>
      <c r="J945" s="8" t="s">
        <v>4169</v>
      </c>
      <c r="K945" s="8" t="s">
        <v>4170</v>
      </c>
      <c r="L945" s="8"/>
      <c r="M945" s="8" t="str">
        <f aca="false">IF(K945="FUERA","Fuera del marco",IF(K945="N/A","Sin marco",IFERROR(INDEX(Catalogo_TIMSS!$C$5:$C$105,MATCH(K945,Catalogo_TIMSS!$A$5:$A$105,0)),"Pendiente de clasificar")))</f>
        <v>Sin marco</v>
      </c>
      <c r="N945" s="8" t="str">
        <f aca="false">IF(K945="FUERA","Fuera del marco",IF(K945="N/A","Sin marco",IFERROR(INDEX(Catalogo_TIMSS!$F$5:$F$105,MATCH(K945,Catalogo_TIMSS!$A$5:$A$105,0)),"Pendiente de clasificar")))</f>
        <v>Sin marco</v>
      </c>
      <c r="O945" s="8" t="str">
        <f aca="false">IF(L945="","",IFERROR(INDEX(Catalogo_TIMSS!$C$5:$C$105,MATCH(L945,Catalogo_TIMSS!$A$5:$A$105,0)),"?"))</f>
        <v/>
      </c>
      <c r="P945" s="8" t="s">
        <v>4170</v>
      </c>
      <c r="Q945" s="27" t="s">
        <v>4171</v>
      </c>
      <c r="R945" s="27" t="s">
        <v>4350</v>
      </c>
      <c r="S945" s="28" t="n">
        <f aca="false">IFERROR(ISNUMBER(SEARCH("Conocer",$R945))/(ISNUMBER(SEARCH("Conocer",$R945))+ISNUMBER(SEARCH("Aplicar",$R945))+ISNUMBER(SEARCH("Razonar",$R945))),0)</f>
        <v>0</v>
      </c>
      <c r="T945" s="28" t="n">
        <f aca="false">IFERROR(ISNUMBER(SEARCH("Aplicar",$R945))/(ISNUMBER(SEARCH("Conocer",$R945))+ISNUMBER(SEARCH("Aplicar",$R945))+ISNUMBER(SEARCH("Razonar",$R945))),0)</f>
        <v>0.5</v>
      </c>
      <c r="U945" s="28" t="n">
        <f aca="false">IFERROR(ISNUMBER(SEARCH("Razonar",$R945))/(ISNUMBER(SEARCH("Conocer",$R945))+ISNUMBER(SEARCH("Aplicar",$R945))+ISNUMBER(SEARCH("Razonar",$R945))),0)</f>
        <v>0.5</v>
      </c>
      <c r="V945" s="8" t="s">
        <v>383</v>
      </c>
      <c r="W945" s="8" t="s">
        <v>4173</v>
      </c>
    </row>
    <row r="946" customFormat="false" ht="15" hidden="false" customHeight="false" outlineLevel="0" collapsed="false">
      <c r="A946" s="8" t="s">
        <v>4351</v>
      </c>
      <c r="B946" s="8" t="n">
        <v>10</v>
      </c>
      <c r="C946" s="8" t="s">
        <v>90</v>
      </c>
      <c r="D946" s="8" t="s">
        <v>4164</v>
      </c>
      <c r="E946" s="8" t="s">
        <v>4165</v>
      </c>
      <c r="F946" s="8" t="n">
        <v>55</v>
      </c>
      <c r="G946" s="8" t="s">
        <v>4352</v>
      </c>
      <c r="H946" s="8" t="s">
        <v>4353</v>
      </c>
      <c r="I946" s="27" t="s">
        <v>4354</v>
      </c>
      <c r="J946" s="8" t="s">
        <v>4169</v>
      </c>
      <c r="K946" s="8" t="s">
        <v>4170</v>
      </c>
      <c r="L946" s="8"/>
      <c r="M946" s="8" t="str">
        <f aca="false">IF(K946="FUERA","Fuera del marco",IF(K946="N/A","Sin marco",IFERROR(INDEX(Catalogo_TIMSS!$C$5:$C$105,MATCH(K946,Catalogo_TIMSS!$A$5:$A$105,0)),"Pendiente de clasificar")))</f>
        <v>Sin marco</v>
      </c>
      <c r="N946" s="8" t="str">
        <f aca="false">IF(K946="FUERA","Fuera del marco",IF(K946="N/A","Sin marco",IFERROR(INDEX(Catalogo_TIMSS!$F$5:$F$105,MATCH(K946,Catalogo_TIMSS!$A$5:$A$105,0)),"Pendiente de clasificar")))</f>
        <v>Sin marco</v>
      </c>
      <c r="O946" s="8" t="str">
        <f aca="false">IF(L946="","",IFERROR(INDEX(Catalogo_TIMSS!$C$5:$C$105,MATCH(L946,Catalogo_TIMSS!$A$5:$A$105,0)),"?"))</f>
        <v/>
      </c>
      <c r="P946" s="8" t="s">
        <v>4170</v>
      </c>
      <c r="Q946" s="27" t="s">
        <v>4171</v>
      </c>
      <c r="R946" s="27" t="s">
        <v>4355</v>
      </c>
      <c r="S946" s="28" t="n">
        <f aca="false">IFERROR(ISNUMBER(SEARCH("Conocer",$R946))/(ISNUMBER(SEARCH("Conocer",$R946))+ISNUMBER(SEARCH("Aplicar",$R946))+ISNUMBER(SEARCH("Razonar",$R946))),0)</f>
        <v>0</v>
      </c>
      <c r="T946" s="28" t="n">
        <f aca="false">IFERROR(ISNUMBER(SEARCH("Aplicar",$R946))/(ISNUMBER(SEARCH("Conocer",$R946))+ISNUMBER(SEARCH("Aplicar",$R946))+ISNUMBER(SEARCH("Razonar",$R946))),0)</f>
        <v>0.5</v>
      </c>
      <c r="U946" s="28" t="n">
        <f aca="false">IFERROR(ISNUMBER(SEARCH("Razonar",$R946))/(ISNUMBER(SEARCH("Conocer",$R946))+ISNUMBER(SEARCH("Aplicar",$R946))+ISNUMBER(SEARCH("Razonar",$R946))),0)</f>
        <v>0.5</v>
      </c>
      <c r="V946" s="8" t="s">
        <v>383</v>
      </c>
      <c r="W946" s="8" t="s">
        <v>4173</v>
      </c>
    </row>
    <row r="947" customFormat="false" ht="15" hidden="false" customHeight="false" outlineLevel="0" collapsed="false">
      <c r="A947" s="8" t="s">
        <v>4356</v>
      </c>
      <c r="B947" s="8" t="n">
        <v>10</v>
      </c>
      <c r="C947" s="8" t="s">
        <v>90</v>
      </c>
      <c r="D947" s="8" t="s">
        <v>4164</v>
      </c>
      <c r="E947" s="8" t="s">
        <v>4165</v>
      </c>
      <c r="F947" s="8" t="n">
        <v>56</v>
      </c>
      <c r="G947" s="8" t="s">
        <v>4352</v>
      </c>
      <c r="H947" s="8" t="s">
        <v>4357</v>
      </c>
      <c r="I947" s="27" t="s">
        <v>4358</v>
      </c>
      <c r="J947" s="8" t="s">
        <v>4169</v>
      </c>
      <c r="K947" s="8" t="s">
        <v>4170</v>
      </c>
      <c r="L947" s="8"/>
      <c r="M947" s="8" t="str">
        <f aca="false">IF(K947="FUERA","Fuera del marco",IF(K947="N/A","Sin marco",IFERROR(INDEX(Catalogo_TIMSS!$C$5:$C$105,MATCH(K947,Catalogo_TIMSS!$A$5:$A$105,0)),"Pendiente de clasificar")))</f>
        <v>Sin marco</v>
      </c>
      <c r="N947" s="8" t="str">
        <f aca="false">IF(K947="FUERA","Fuera del marco",IF(K947="N/A","Sin marco",IFERROR(INDEX(Catalogo_TIMSS!$F$5:$F$105,MATCH(K947,Catalogo_TIMSS!$A$5:$A$105,0)),"Pendiente de clasificar")))</f>
        <v>Sin marco</v>
      </c>
      <c r="O947" s="8" t="str">
        <f aca="false">IF(L947="","",IFERROR(INDEX(Catalogo_TIMSS!$C$5:$C$105,MATCH(L947,Catalogo_TIMSS!$A$5:$A$105,0)),"?"))</f>
        <v/>
      </c>
      <c r="P947" s="8" t="s">
        <v>4170</v>
      </c>
      <c r="Q947" s="27" t="s">
        <v>4171</v>
      </c>
      <c r="R947" s="27" t="s">
        <v>4359</v>
      </c>
      <c r="S947" s="28" t="n">
        <f aca="false">IFERROR(ISNUMBER(SEARCH("Conocer",$R947))/(ISNUMBER(SEARCH("Conocer",$R947))+ISNUMBER(SEARCH("Aplicar",$R947))+ISNUMBER(SEARCH("Razonar",$R947))),0)</f>
        <v>0</v>
      </c>
      <c r="T947" s="28" t="n">
        <f aca="false">IFERROR(ISNUMBER(SEARCH("Aplicar",$R947))/(ISNUMBER(SEARCH("Conocer",$R947))+ISNUMBER(SEARCH("Aplicar",$R947))+ISNUMBER(SEARCH("Razonar",$R947))),0)</f>
        <v>0.5</v>
      </c>
      <c r="U947" s="28" t="n">
        <f aca="false">IFERROR(ISNUMBER(SEARCH("Razonar",$R947))/(ISNUMBER(SEARCH("Conocer",$R947))+ISNUMBER(SEARCH("Aplicar",$R947))+ISNUMBER(SEARCH("Razonar",$R947))),0)</f>
        <v>0.5</v>
      </c>
      <c r="V947" s="8" t="s">
        <v>383</v>
      </c>
      <c r="W947" s="8" t="s">
        <v>4173</v>
      </c>
    </row>
    <row r="948" customFormat="false" ht="15" hidden="false" customHeight="false" outlineLevel="0" collapsed="false">
      <c r="A948" s="8" t="s">
        <v>4360</v>
      </c>
      <c r="B948" s="8" t="n">
        <v>10</v>
      </c>
      <c r="C948" s="8" t="s">
        <v>90</v>
      </c>
      <c r="D948" s="8" t="s">
        <v>4164</v>
      </c>
      <c r="E948" s="8" t="s">
        <v>4165</v>
      </c>
      <c r="F948" s="8" t="n">
        <v>57</v>
      </c>
      <c r="G948" s="8" t="s">
        <v>4352</v>
      </c>
      <c r="H948" s="8" t="s">
        <v>4361</v>
      </c>
      <c r="I948" s="27" t="s">
        <v>4362</v>
      </c>
      <c r="J948" s="8" t="s">
        <v>4169</v>
      </c>
      <c r="K948" s="8" t="s">
        <v>4170</v>
      </c>
      <c r="L948" s="8"/>
      <c r="M948" s="8" t="str">
        <f aca="false">IF(K948="FUERA","Fuera del marco",IF(K948="N/A","Sin marco",IFERROR(INDEX(Catalogo_TIMSS!$C$5:$C$105,MATCH(K948,Catalogo_TIMSS!$A$5:$A$105,0)),"Pendiente de clasificar")))</f>
        <v>Sin marco</v>
      </c>
      <c r="N948" s="8" t="str">
        <f aca="false">IF(K948="FUERA","Fuera del marco",IF(K948="N/A","Sin marco",IFERROR(INDEX(Catalogo_TIMSS!$F$5:$F$105,MATCH(K948,Catalogo_TIMSS!$A$5:$A$105,0)),"Pendiente de clasificar")))</f>
        <v>Sin marco</v>
      </c>
      <c r="O948" s="8" t="str">
        <f aca="false">IF(L948="","",IFERROR(INDEX(Catalogo_TIMSS!$C$5:$C$105,MATCH(L948,Catalogo_TIMSS!$A$5:$A$105,0)),"?"))</f>
        <v/>
      </c>
      <c r="P948" s="8" t="s">
        <v>4170</v>
      </c>
      <c r="Q948" s="27" t="s">
        <v>4171</v>
      </c>
      <c r="R948" s="27" t="s">
        <v>4363</v>
      </c>
      <c r="S948" s="28" t="n">
        <f aca="false">IFERROR(ISNUMBER(SEARCH("Conocer",$R948))/(ISNUMBER(SEARCH("Conocer",$R948))+ISNUMBER(SEARCH("Aplicar",$R948))+ISNUMBER(SEARCH("Razonar",$R948))),0)</f>
        <v>0</v>
      </c>
      <c r="T948" s="28" t="n">
        <f aca="false">IFERROR(ISNUMBER(SEARCH("Aplicar",$R948))/(ISNUMBER(SEARCH("Conocer",$R948))+ISNUMBER(SEARCH("Aplicar",$R948))+ISNUMBER(SEARCH("Razonar",$R948))),0)</f>
        <v>0.5</v>
      </c>
      <c r="U948" s="28" t="n">
        <f aca="false">IFERROR(ISNUMBER(SEARCH("Razonar",$R948))/(ISNUMBER(SEARCH("Conocer",$R948))+ISNUMBER(SEARCH("Aplicar",$R948))+ISNUMBER(SEARCH("Razonar",$R948))),0)</f>
        <v>0.5</v>
      </c>
      <c r="V948" s="8" t="s">
        <v>383</v>
      </c>
      <c r="W948" s="8" t="s">
        <v>4173</v>
      </c>
    </row>
    <row r="949" customFormat="false" ht="15" hidden="false" customHeight="false" outlineLevel="0" collapsed="false">
      <c r="A949" s="8" t="s">
        <v>4364</v>
      </c>
      <c r="B949" s="8" t="n">
        <v>10</v>
      </c>
      <c r="C949" s="8" t="s">
        <v>90</v>
      </c>
      <c r="D949" s="8" t="s">
        <v>4164</v>
      </c>
      <c r="E949" s="8" t="s">
        <v>4165</v>
      </c>
      <c r="F949" s="8" t="n">
        <v>58</v>
      </c>
      <c r="G949" s="8" t="s">
        <v>4352</v>
      </c>
      <c r="H949" s="8" t="s">
        <v>4365</v>
      </c>
      <c r="I949" s="27" t="s">
        <v>4366</v>
      </c>
      <c r="J949" s="8" t="s">
        <v>4169</v>
      </c>
      <c r="K949" s="8" t="s">
        <v>4170</v>
      </c>
      <c r="L949" s="8"/>
      <c r="M949" s="8" t="str">
        <f aca="false">IF(K949="FUERA","Fuera del marco",IF(K949="N/A","Sin marco",IFERROR(INDEX(Catalogo_TIMSS!$C$5:$C$105,MATCH(K949,Catalogo_TIMSS!$A$5:$A$105,0)),"Pendiente de clasificar")))</f>
        <v>Sin marco</v>
      </c>
      <c r="N949" s="8" t="str">
        <f aca="false">IF(K949="FUERA","Fuera del marco",IF(K949="N/A","Sin marco",IFERROR(INDEX(Catalogo_TIMSS!$F$5:$F$105,MATCH(K949,Catalogo_TIMSS!$A$5:$A$105,0)),"Pendiente de clasificar")))</f>
        <v>Sin marco</v>
      </c>
      <c r="O949" s="8" t="str">
        <f aca="false">IF(L949="","",IFERROR(INDEX(Catalogo_TIMSS!$C$5:$C$105,MATCH(L949,Catalogo_TIMSS!$A$5:$A$105,0)),"?"))</f>
        <v/>
      </c>
      <c r="P949" s="8" t="s">
        <v>4170</v>
      </c>
      <c r="Q949" s="27" t="s">
        <v>4171</v>
      </c>
      <c r="R949" s="27" t="s">
        <v>4367</v>
      </c>
      <c r="S949" s="28" t="n">
        <f aca="false">IFERROR(ISNUMBER(SEARCH("Conocer",$R949))/(ISNUMBER(SEARCH("Conocer",$R949))+ISNUMBER(SEARCH("Aplicar",$R949))+ISNUMBER(SEARCH("Razonar",$R949))),0)</f>
        <v>0</v>
      </c>
      <c r="T949" s="28" t="n">
        <f aca="false">IFERROR(ISNUMBER(SEARCH("Aplicar",$R949))/(ISNUMBER(SEARCH("Conocer",$R949))+ISNUMBER(SEARCH("Aplicar",$R949))+ISNUMBER(SEARCH("Razonar",$R949))),0)</f>
        <v>0.5</v>
      </c>
      <c r="U949" s="28" t="n">
        <f aca="false">IFERROR(ISNUMBER(SEARCH("Razonar",$R949))/(ISNUMBER(SEARCH("Conocer",$R949))+ISNUMBER(SEARCH("Aplicar",$R949))+ISNUMBER(SEARCH("Razonar",$R949))),0)</f>
        <v>0.5</v>
      </c>
      <c r="V949" s="8" t="s">
        <v>383</v>
      </c>
      <c r="W949" s="8" t="s">
        <v>4173</v>
      </c>
    </row>
    <row r="950" customFormat="false" ht="15" hidden="false" customHeight="false" outlineLevel="0" collapsed="false">
      <c r="A950" s="8" t="s">
        <v>4368</v>
      </c>
      <c r="B950" s="8" t="n">
        <v>10</v>
      </c>
      <c r="C950" s="8" t="s">
        <v>90</v>
      </c>
      <c r="D950" s="8" t="s">
        <v>4164</v>
      </c>
      <c r="E950" s="8" t="s">
        <v>4165</v>
      </c>
      <c r="F950" s="8" t="n">
        <v>59</v>
      </c>
      <c r="G950" s="8" t="s">
        <v>4352</v>
      </c>
      <c r="H950" s="8" t="s">
        <v>4369</v>
      </c>
      <c r="I950" s="27" t="s">
        <v>4370</v>
      </c>
      <c r="J950" s="8" t="s">
        <v>4169</v>
      </c>
      <c r="K950" s="8" t="s">
        <v>4170</v>
      </c>
      <c r="L950" s="8"/>
      <c r="M950" s="8" t="str">
        <f aca="false">IF(K950="FUERA","Fuera del marco",IF(K950="N/A","Sin marco",IFERROR(INDEX(Catalogo_TIMSS!$C$5:$C$105,MATCH(K950,Catalogo_TIMSS!$A$5:$A$105,0)),"Pendiente de clasificar")))</f>
        <v>Sin marco</v>
      </c>
      <c r="N950" s="8" t="str">
        <f aca="false">IF(K950="FUERA","Fuera del marco",IF(K950="N/A","Sin marco",IFERROR(INDEX(Catalogo_TIMSS!$F$5:$F$105,MATCH(K950,Catalogo_TIMSS!$A$5:$A$105,0)),"Pendiente de clasificar")))</f>
        <v>Sin marco</v>
      </c>
      <c r="O950" s="8" t="str">
        <f aca="false">IF(L950="","",IFERROR(INDEX(Catalogo_TIMSS!$C$5:$C$105,MATCH(L950,Catalogo_TIMSS!$A$5:$A$105,0)),"?"))</f>
        <v/>
      </c>
      <c r="P950" s="8" t="s">
        <v>4170</v>
      </c>
      <c r="Q950" s="27" t="s">
        <v>4171</v>
      </c>
      <c r="R950" s="27" t="s">
        <v>4371</v>
      </c>
      <c r="S950" s="28" t="n">
        <f aca="false">IFERROR(ISNUMBER(SEARCH("Conocer",$R950))/(ISNUMBER(SEARCH("Conocer",$R950))+ISNUMBER(SEARCH("Aplicar",$R950))+ISNUMBER(SEARCH("Razonar",$R950))),0)</f>
        <v>0</v>
      </c>
      <c r="T950" s="28" t="n">
        <f aca="false">IFERROR(ISNUMBER(SEARCH("Aplicar",$R950))/(ISNUMBER(SEARCH("Conocer",$R950))+ISNUMBER(SEARCH("Aplicar",$R950))+ISNUMBER(SEARCH("Razonar",$R950))),0)</f>
        <v>0.5</v>
      </c>
      <c r="U950" s="28" t="n">
        <f aca="false">IFERROR(ISNUMBER(SEARCH("Razonar",$R950))/(ISNUMBER(SEARCH("Conocer",$R950))+ISNUMBER(SEARCH("Aplicar",$R950))+ISNUMBER(SEARCH("Razonar",$R950))),0)</f>
        <v>0.5</v>
      </c>
      <c r="V950" s="8" t="s">
        <v>383</v>
      </c>
      <c r="W950" s="8" t="s">
        <v>4173</v>
      </c>
    </row>
    <row r="951" customFormat="false" ht="15" hidden="false" customHeight="false" outlineLevel="0" collapsed="false">
      <c r="A951" s="8" t="s">
        <v>4372</v>
      </c>
      <c r="B951" s="8" t="n">
        <v>10</v>
      </c>
      <c r="C951" s="8" t="s">
        <v>90</v>
      </c>
      <c r="D951" s="8" t="s">
        <v>4164</v>
      </c>
      <c r="E951" s="8" t="s">
        <v>4165</v>
      </c>
      <c r="F951" s="8" t="n">
        <v>60</v>
      </c>
      <c r="G951" s="8" t="s">
        <v>4352</v>
      </c>
      <c r="H951" s="8" t="s">
        <v>4373</v>
      </c>
      <c r="I951" s="27" t="s">
        <v>4374</v>
      </c>
      <c r="J951" s="8" t="s">
        <v>4169</v>
      </c>
      <c r="K951" s="8" t="s">
        <v>4170</v>
      </c>
      <c r="L951" s="8"/>
      <c r="M951" s="8" t="str">
        <f aca="false">IF(K951="FUERA","Fuera del marco",IF(K951="N/A","Sin marco",IFERROR(INDEX(Catalogo_TIMSS!$C$5:$C$105,MATCH(K951,Catalogo_TIMSS!$A$5:$A$105,0)),"Pendiente de clasificar")))</f>
        <v>Sin marco</v>
      </c>
      <c r="N951" s="8" t="str">
        <f aca="false">IF(K951="FUERA","Fuera del marco",IF(K951="N/A","Sin marco",IFERROR(INDEX(Catalogo_TIMSS!$F$5:$F$105,MATCH(K951,Catalogo_TIMSS!$A$5:$A$105,0)),"Pendiente de clasificar")))</f>
        <v>Sin marco</v>
      </c>
      <c r="O951" s="8" t="str">
        <f aca="false">IF(L951="","",IFERROR(INDEX(Catalogo_TIMSS!$C$5:$C$105,MATCH(L951,Catalogo_TIMSS!$A$5:$A$105,0)),"?"))</f>
        <v/>
      </c>
      <c r="P951" s="8" t="s">
        <v>4170</v>
      </c>
      <c r="Q951" s="27" t="s">
        <v>4171</v>
      </c>
      <c r="R951" s="27" t="s">
        <v>4375</v>
      </c>
      <c r="S951" s="28" t="n">
        <f aca="false">IFERROR(ISNUMBER(SEARCH("Conocer",$R951))/(ISNUMBER(SEARCH("Conocer",$R951))+ISNUMBER(SEARCH("Aplicar",$R951))+ISNUMBER(SEARCH("Razonar",$R951))),0)</f>
        <v>0</v>
      </c>
      <c r="T951" s="28" t="n">
        <f aca="false">IFERROR(ISNUMBER(SEARCH("Aplicar",$R951))/(ISNUMBER(SEARCH("Conocer",$R951))+ISNUMBER(SEARCH("Aplicar",$R951))+ISNUMBER(SEARCH("Razonar",$R951))),0)</f>
        <v>0.5</v>
      </c>
      <c r="U951" s="28" t="n">
        <f aca="false">IFERROR(ISNUMBER(SEARCH("Razonar",$R951))/(ISNUMBER(SEARCH("Conocer",$R951))+ISNUMBER(SEARCH("Aplicar",$R951))+ISNUMBER(SEARCH("Razonar",$R951))),0)</f>
        <v>0.5</v>
      </c>
      <c r="V951" s="8" t="s">
        <v>383</v>
      </c>
      <c r="W951" s="8" t="s">
        <v>4173</v>
      </c>
    </row>
    <row r="952" customFormat="false" ht="15" hidden="false" customHeight="false" outlineLevel="0" collapsed="false">
      <c r="A952" s="8" t="s">
        <v>4376</v>
      </c>
      <c r="B952" s="8" t="n">
        <v>10</v>
      </c>
      <c r="C952" s="8" t="s">
        <v>90</v>
      </c>
      <c r="D952" s="8" t="s">
        <v>4164</v>
      </c>
      <c r="E952" s="8" t="s">
        <v>4165</v>
      </c>
      <c r="F952" s="8" t="n">
        <v>61</v>
      </c>
      <c r="G952" s="8" t="s">
        <v>4352</v>
      </c>
      <c r="H952" s="8" t="s">
        <v>4377</v>
      </c>
      <c r="I952" s="27" t="s">
        <v>4378</v>
      </c>
      <c r="J952" s="8" t="s">
        <v>4169</v>
      </c>
      <c r="K952" s="8" t="s">
        <v>4170</v>
      </c>
      <c r="L952" s="8"/>
      <c r="M952" s="8" t="str">
        <f aca="false">IF(K952="FUERA","Fuera del marco",IF(K952="N/A","Sin marco",IFERROR(INDEX(Catalogo_TIMSS!$C$5:$C$105,MATCH(K952,Catalogo_TIMSS!$A$5:$A$105,0)),"Pendiente de clasificar")))</f>
        <v>Sin marco</v>
      </c>
      <c r="N952" s="8" t="str">
        <f aca="false">IF(K952="FUERA","Fuera del marco",IF(K952="N/A","Sin marco",IFERROR(INDEX(Catalogo_TIMSS!$F$5:$F$105,MATCH(K952,Catalogo_TIMSS!$A$5:$A$105,0)),"Pendiente de clasificar")))</f>
        <v>Sin marco</v>
      </c>
      <c r="O952" s="8" t="str">
        <f aca="false">IF(L952="","",IFERROR(INDEX(Catalogo_TIMSS!$C$5:$C$105,MATCH(L952,Catalogo_TIMSS!$A$5:$A$105,0)),"?"))</f>
        <v/>
      </c>
      <c r="P952" s="8" t="s">
        <v>4170</v>
      </c>
      <c r="Q952" s="27" t="s">
        <v>4171</v>
      </c>
      <c r="R952" s="27" t="s">
        <v>4379</v>
      </c>
      <c r="S952" s="28" t="n">
        <f aca="false">IFERROR(ISNUMBER(SEARCH("Conocer",$R952))/(ISNUMBER(SEARCH("Conocer",$R952))+ISNUMBER(SEARCH("Aplicar",$R952))+ISNUMBER(SEARCH("Razonar",$R952))),0)</f>
        <v>0</v>
      </c>
      <c r="T952" s="28" t="n">
        <f aca="false">IFERROR(ISNUMBER(SEARCH("Aplicar",$R952))/(ISNUMBER(SEARCH("Conocer",$R952))+ISNUMBER(SEARCH("Aplicar",$R952))+ISNUMBER(SEARCH("Razonar",$R952))),0)</f>
        <v>0.5</v>
      </c>
      <c r="U952" s="28" t="n">
        <f aca="false">IFERROR(ISNUMBER(SEARCH("Razonar",$R952))/(ISNUMBER(SEARCH("Conocer",$R952))+ISNUMBER(SEARCH("Aplicar",$R952))+ISNUMBER(SEARCH("Razonar",$R952))),0)</f>
        <v>0.5</v>
      </c>
      <c r="V952" s="8" t="s">
        <v>383</v>
      </c>
      <c r="W952" s="8" t="s">
        <v>4173</v>
      </c>
    </row>
    <row r="953" customFormat="false" ht="15" hidden="false" customHeight="false" outlineLevel="0" collapsed="false">
      <c r="A953" s="8" t="s">
        <v>4380</v>
      </c>
      <c r="B953" s="8" t="n">
        <v>10</v>
      </c>
      <c r="C953" s="8" t="s">
        <v>90</v>
      </c>
      <c r="D953" s="8" t="s">
        <v>4164</v>
      </c>
      <c r="E953" s="8" t="s">
        <v>4165</v>
      </c>
      <c r="F953" s="8" t="n">
        <v>62</v>
      </c>
      <c r="G953" s="8" t="s">
        <v>4381</v>
      </c>
      <c r="H953" s="8" t="s">
        <v>4382</v>
      </c>
      <c r="I953" s="27" t="s">
        <v>4383</v>
      </c>
      <c r="J953" s="8" t="s">
        <v>4169</v>
      </c>
      <c r="K953" s="8" t="s">
        <v>4170</v>
      </c>
      <c r="L953" s="8"/>
      <c r="M953" s="8" t="str">
        <f aca="false">IF(K953="FUERA","Fuera del marco",IF(K953="N/A","Sin marco",IFERROR(INDEX(Catalogo_TIMSS!$C$5:$C$105,MATCH(K953,Catalogo_TIMSS!$A$5:$A$105,0)),"Pendiente de clasificar")))</f>
        <v>Sin marco</v>
      </c>
      <c r="N953" s="8" t="str">
        <f aca="false">IF(K953="FUERA","Fuera del marco",IF(K953="N/A","Sin marco",IFERROR(INDEX(Catalogo_TIMSS!$F$5:$F$105,MATCH(K953,Catalogo_TIMSS!$A$5:$A$105,0)),"Pendiente de clasificar")))</f>
        <v>Sin marco</v>
      </c>
      <c r="O953" s="8" t="str">
        <f aca="false">IF(L953="","",IFERROR(INDEX(Catalogo_TIMSS!$C$5:$C$105,MATCH(L953,Catalogo_TIMSS!$A$5:$A$105,0)),"?"))</f>
        <v/>
      </c>
      <c r="P953" s="8" t="s">
        <v>4170</v>
      </c>
      <c r="Q953" s="27" t="s">
        <v>4171</v>
      </c>
      <c r="R953" s="27" t="s">
        <v>4384</v>
      </c>
      <c r="S953" s="28" t="n">
        <f aca="false">IFERROR(ISNUMBER(SEARCH("Conocer",$R953))/(ISNUMBER(SEARCH("Conocer",$R953))+ISNUMBER(SEARCH("Aplicar",$R953))+ISNUMBER(SEARCH("Razonar",$R953))),0)</f>
        <v>0.5</v>
      </c>
      <c r="T953" s="28" t="n">
        <f aca="false">IFERROR(ISNUMBER(SEARCH("Aplicar",$R953))/(ISNUMBER(SEARCH("Conocer",$R953))+ISNUMBER(SEARCH("Aplicar",$R953))+ISNUMBER(SEARCH("Razonar",$R953))),0)</f>
        <v>0</v>
      </c>
      <c r="U953" s="28" t="n">
        <f aca="false">IFERROR(ISNUMBER(SEARCH("Razonar",$R953))/(ISNUMBER(SEARCH("Conocer",$R953))+ISNUMBER(SEARCH("Aplicar",$R953))+ISNUMBER(SEARCH("Razonar",$R953))),0)</f>
        <v>0.5</v>
      </c>
      <c r="V953" s="8" t="s">
        <v>383</v>
      </c>
      <c r="W953" s="8" t="s">
        <v>4173</v>
      </c>
    </row>
    <row r="954" customFormat="false" ht="15" hidden="false" customHeight="false" outlineLevel="0" collapsed="false">
      <c r="A954" s="8" t="s">
        <v>4385</v>
      </c>
      <c r="B954" s="8" t="n">
        <v>10</v>
      </c>
      <c r="C954" s="8" t="s">
        <v>90</v>
      </c>
      <c r="D954" s="8" t="s">
        <v>4164</v>
      </c>
      <c r="E954" s="8" t="s">
        <v>4165</v>
      </c>
      <c r="F954" s="8" t="n">
        <v>63</v>
      </c>
      <c r="G954" s="8" t="s">
        <v>4381</v>
      </c>
      <c r="H954" s="8" t="s">
        <v>4386</v>
      </c>
      <c r="I954" s="27" t="s">
        <v>4387</v>
      </c>
      <c r="J954" s="8" t="s">
        <v>4169</v>
      </c>
      <c r="K954" s="8" t="s">
        <v>4170</v>
      </c>
      <c r="L954" s="8"/>
      <c r="M954" s="8" t="str">
        <f aca="false">IF(K954="FUERA","Fuera del marco",IF(K954="N/A","Sin marco",IFERROR(INDEX(Catalogo_TIMSS!$C$5:$C$105,MATCH(K954,Catalogo_TIMSS!$A$5:$A$105,0)),"Pendiente de clasificar")))</f>
        <v>Sin marco</v>
      </c>
      <c r="N954" s="8" t="str">
        <f aca="false">IF(K954="FUERA","Fuera del marco",IF(K954="N/A","Sin marco",IFERROR(INDEX(Catalogo_TIMSS!$F$5:$F$105,MATCH(K954,Catalogo_TIMSS!$A$5:$A$105,0)),"Pendiente de clasificar")))</f>
        <v>Sin marco</v>
      </c>
      <c r="O954" s="8" t="str">
        <f aca="false">IF(L954="","",IFERROR(INDEX(Catalogo_TIMSS!$C$5:$C$105,MATCH(L954,Catalogo_TIMSS!$A$5:$A$105,0)),"?"))</f>
        <v/>
      </c>
      <c r="P954" s="8" t="s">
        <v>4170</v>
      </c>
      <c r="Q954" s="27" t="s">
        <v>4171</v>
      </c>
      <c r="R954" s="27" t="s">
        <v>4388</v>
      </c>
      <c r="S954" s="28" t="n">
        <f aca="false">IFERROR(ISNUMBER(SEARCH("Conocer",$R954))/(ISNUMBER(SEARCH("Conocer",$R954))+ISNUMBER(SEARCH("Aplicar",$R954))+ISNUMBER(SEARCH("Razonar",$R954))),0)</f>
        <v>0</v>
      </c>
      <c r="T954" s="28" t="n">
        <f aca="false">IFERROR(ISNUMBER(SEARCH("Aplicar",$R954))/(ISNUMBER(SEARCH("Conocer",$R954))+ISNUMBER(SEARCH("Aplicar",$R954))+ISNUMBER(SEARCH("Razonar",$R954))),0)</f>
        <v>0.5</v>
      </c>
      <c r="U954" s="28" t="n">
        <f aca="false">IFERROR(ISNUMBER(SEARCH("Razonar",$R954))/(ISNUMBER(SEARCH("Conocer",$R954))+ISNUMBER(SEARCH("Aplicar",$R954))+ISNUMBER(SEARCH("Razonar",$R954))),0)</f>
        <v>0.5</v>
      </c>
      <c r="V954" s="8" t="s">
        <v>383</v>
      </c>
      <c r="W954" s="8" t="s">
        <v>4173</v>
      </c>
    </row>
    <row r="955" customFormat="false" ht="15" hidden="false" customHeight="false" outlineLevel="0" collapsed="false">
      <c r="A955" s="8" t="s">
        <v>4389</v>
      </c>
      <c r="B955" s="8" t="n">
        <v>10</v>
      </c>
      <c r="C955" s="8" t="s">
        <v>90</v>
      </c>
      <c r="D955" s="8" t="s">
        <v>4164</v>
      </c>
      <c r="E955" s="8" t="s">
        <v>4165</v>
      </c>
      <c r="F955" s="8" t="n">
        <v>64</v>
      </c>
      <c r="G955" s="8" t="s">
        <v>4381</v>
      </c>
      <c r="H955" s="8" t="s">
        <v>4390</v>
      </c>
      <c r="I955" s="27" t="s">
        <v>4391</v>
      </c>
      <c r="J955" s="8" t="s">
        <v>4169</v>
      </c>
      <c r="K955" s="8" t="s">
        <v>4170</v>
      </c>
      <c r="L955" s="8"/>
      <c r="M955" s="8" t="str">
        <f aca="false">IF(K955="FUERA","Fuera del marco",IF(K955="N/A","Sin marco",IFERROR(INDEX(Catalogo_TIMSS!$C$5:$C$105,MATCH(K955,Catalogo_TIMSS!$A$5:$A$105,0)),"Pendiente de clasificar")))</f>
        <v>Sin marco</v>
      </c>
      <c r="N955" s="8" t="str">
        <f aca="false">IF(K955="FUERA","Fuera del marco",IF(K955="N/A","Sin marco",IFERROR(INDEX(Catalogo_TIMSS!$F$5:$F$105,MATCH(K955,Catalogo_TIMSS!$A$5:$A$105,0)),"Pendiente de clasificar")))</f>
        <v>Sin marco</v>
      </c>
      <c r="O955" s="8" t="str">
        <f aca="false">IF(L955="","",IFERROR(INDEX(Catalogo_TIMSS!$C$5:$C$105,MATCH(L955,Catalogo_TIMSS!$A$5:$A$105,0)),"?"))</f>
        <v/>
      </c>
      <c r="P955" s="8" t="s">
        <v>4170</v>
      </c>
      <c r="Q955" s="27" t="s">
        <v>4171</v>
      </c>
      <c r="R955" s="27" t="s">
        <v>4392</v>
      </c>
      <c r="S955" s="28" t="n">
        <f aca="false">IFERROR(ISNUMBER(SEARCH("Conocer",$R955))/(ISNUMBER(SEARCH("Conocer",$R955))+ISNUMBER(SEARCH("Aplicar",$R955))+ISNUMBER(SEARCH("Razonar",$R955))),0)</f>
        <v>0</v>
      </c>
      <c r="T955" s="28" t="n">
        <f aca="false">IFERROR(ISNUMBER(SEARCH("Aplicar",$R955))/(ISNUMBER(SEARCH("Conocer",$R955))+ISNUMBER(SEARCH("Aplicar",$R955))+ISNUMBER(SEARCH("Razonar",$R955))),0)</f>
        <v>0.5</v>
      </c>
      <c r="U955" s="28" t="n">
        <f aca="false">IFERROR(ISNUMBER(SEARCH("Razonar",$R955))/(ISNUMBER(SEARCH("Conocer",$R955))+ISNUMBER(SEARCH("Aplicar",$R955))+ISNUMBER(SEARCH("Razonar",$R955))),0)</f>
        <v>0.5</v>
      </c>
      <c r="V955" s="8" t="s">
        <v>383</v>
      </c>
      <c r="W955" s="8" t="s">
        <v>4173</v>
      </c>
    </row>
    <row r="956" customFormat="false" ht="15" hidden="false" customHeight="false" outlineLevel="0" collapsed="false">
      <c r="A956" s="8" t="s">
        <v>4393</v>
      </c>
      <c r="B956" s="8" t="n">
        <v>10</v>
      </c>
      <c r="C956" s="8" t="s">
        <v>90</v>
      </c>
      <c r="D956" s="8" t="s">
        <v>4164</v>
      </c>
      <c r="E956" s="8" t="s">
        <v>4165</v>
      </c>
      <c r="F956" s="8" t="n">
        <v>65</v>
      </c>
      <c r="G956" s="8" t="s">
        <v>4381</v>
      </c>
      <c r="H956" s="8" t="s">
        <v>4394</v>
      </c>
      <c r="I956" s="27" t="s">
        <v>4395</v>
      </c>
      <c r="J956" s="8" t="s">
        <v>4169</v>
      </c>
      <c r="K956" s="8" t="s">
        <v>4170</v>
      </c>
      <c r="L956" s="8"/>
      <c r="M956" s="8" t="str">
        <f aca="false">IF(K956="FUERA","Fuera del marco",IF(K956="N/A","Sin marco",IFERROR(INDEX(Catalogo_TIMSS!$C$5:$C$105,MATCH(K956,Catalogo_TIMSS!$A$5:$A$105,0)),"Pendiente de clasificar")))</f>
        <v>Sin marco</v>
      </c>
      <c r="N956" s="8" t="str">
        <f aca="false">IF(K956="FUERA","Fuera del marco",IF(K956="N/A","Sin marco",IFERROR(INDEX(Catalogo_TIMSS!$F$5:$F$105,MATCH(K956,Catalogo_TIMSS!$A$5:$A$105,0)),"Pendiente de clasificar")))</f>
        <v>Sin marco</v>
      </c>
      <c r="O956" s="8" t="str">
        <f aca="false">IF(L956="","",IFERROR(INDEX(Catalogo_TIMSS!$C$5:$C$105,MATCH(L956,Catalogo_TIMSS!$A$5:$A$105,0)),"?"))</f>
        <v/>
      </c>
      <c r="P956" s="8" t="s">
        <v>4170</v>
      </c>
      <c r="Q956" s="27" t="s">
        <v>4171</v>
      </c>
      <c r="R956" s="27" t="s">
        <v>4396</v>
      </c>
      <c r="S956" s="28" t="n">
        <f aca="false">IFERROR(ISNUMBER(SEARCH("Conocer",$R956))/(ISNUMBER(SEARCH("Conocer",$R956))+ISNUMBER(SEARCH("Aplicar",$R956))+ISNUMBER(SEARCH("Razonar",$R956))),0)</f>
        <v>0</v>
      </c>
      <c r="T956" s="28" t="n">
        <f aca="false">IFERROR(ISNUMBER(SEARCH("Aplicar",$R956))/(ISNUMBER(SEARCH("Conocer",$R956))+ISNUMBER(SEARCH("Aplicar",$R956))+ISNUMBER(SEARCH("Razonar",$R956))),0)</f>
        <v>0.5</v>
      </c>
      <c r="U956" s="28" t="n">
        <f aca="false">IFERROR(ISNUMBER(SEARCH("Razonar",$R956))/(ISNUMBER(SEARCH("Conocer",$R956))+ISNUMBER(SEARCH("Aplicar",$R956))+ISNUMBER(SEARCH("Razonar",$R956))),0)</f>
        <v>0.5</v>
      </c>
      <c r="V956" s="8" t="s">
        <v>383</v>
      </c>
      <c r="W956" s="8" t="s">
        <v>4173</v>
      </c>
    </row>
    <row r="957" customFormat="false" ht="15" hidden="false" customHeight="false" outlineLevel="0" collapsed="false">
      <c r="A957" s="8" t="s">
        <v>4397</v>
      </c>
      <c r="B957" s="8" t="n">
        <v>10</v>
      </c>
      <c r="C957" s="8" t="s">
        <v>90</v>
      </c>
      <c r="D957" s="8" t="s">
        <v>4164</v>
      </c>
      <c r="E957" s="8" t="s">
        <v>4165</v>
      </c>
      <c r="F957" s="8" t="n">
        <v>66</v>
      </c>
      <c r="G957" s="8" t="s">
        <v>4381</v>
      </c>
      <c r="H957" s="8" t="s">
        <v>4398</v>
      </c>
      <c r="I957" s="27" t="s">
        <v>4399</v>
      </c>
      <c r="J957" s="8" t="s">
        <v>4169</v>
      </c>
      <c r="K957" s="8" t="s">
        <v>4170</v>
      </c>
      <c r="L957" s="8"/>
      <c r="M957" s="8" t="str">
        <f aca="false">IF(K957="FUERA","Fuera del marco",IF(K957="N/A","Sin marco",IFERROR(INDEX(Catalogo_TIMSS!$C$5:$C$105,MATCH(K957,Catalogo_TIMSS!$A$5:$A$105,0)),"Pendiente de clasificar")))</f>
        <v>Sin marco</v>
      </c>
      <c r="N957" s="8" t="str">
        <f aca="false">IF(K957="FUERA","Fuera del marco",IF(K957="N/A","Sin marco",IFERROR(INDEX(Catalogo_TIMSS!$F$5:$F$105,MATCH(K957,Catalogo_TIMSS!$A$5:$A$105,0)),"Pendiente de clasificar")))</f>
        <v>Sin marco</v>
      </c>
      <c r="O957" s="8" t="str">
        <f aca="false">IF(L957="","",IFERROR(INDEX(Catalogo_TIMSS!$C$5:$C$105,MATCH(L957,Catalogo_TIMSS!$A$5:$A$105,0)),"?"))</f>
        <v/>
      </c>
      <c r="P957" s="8" t="s">
        <v>4170</v>
      </c>
      <c r="Q957" s="27" t="s">
        <v>4171</v>
      </c>
      <c r="R957" s="27" t="s">
        <v>4400</v>
      </c>
      <c r="S957" s="28" t="n">
        <f aca="false">IFERROR(ISNUMBER(SEARCH("Conocer",$R957))/(ISNUMBER(SEARCH("Conocer",$R957))+ISNUMBER(SEARCH("Aplicar",$R957))+ISNUMBER(SEARCH("Razonar",$R957))),0)</f>
        <v>0</v>
      </c>
      <c r="T957" s="28" t="n">
        <f aca="false">IFERROR(ISNUMBER(SEARCH("Aplicar",$R957))/(ISNUMBER(SEARCH("Conocer",$R957))+ISNUMBER(SEARCH("Aplicar",$R957))+ISNUMBER(SEARCH("Razonar",$R957))),0)</f>
        <v>0.5</v>
      </c>
      <c r="U957" s="28" t="n">
        <f aca="false">IFERROR(ISNUMBER(SEARCH("Razonar",$R957))/(ISNUMBER(SEARCH("Conocer",$R957))+ISNUMBER(SEARCH("Aplicar",$R957))+ISNUMBER(SEARCH("Razonar",$R957))),0)</f>
        <v>0.5</v>
      </c>
      <c r="V957" s="8" t="s">
        <v>383</v>
      </c>
      <c r="W957" s="8" t="s">
        <v>4173</v>
      </c>
    </row>
    <row r="958" customFormat="false" ht="15" hidden="false" customHeight="false" outlineLevel="0" collapsed="false">
      <c r="A958" s="8" t="s">
        <v>4401</v>
      </c>
      <c r="B958" s="8" t="n">
        <v>10</v>
      </c>
      <c r="C958" s="8" t="s">
        <v>90</v>
      </c>
      <c r="D958" s="8" t="s">
        <v>4164</v>
      </c>
      <c r="E958" s="8" t="s">
        <v>4165</v>
      </c>
      <c r="F958" s="8" t="n">
        <v>67</v>
      </c>
      <c r="G958" s="8" t="s">
        <v>4381</v>
      </c>
      <c r="H958" s="8" t="s">
        <v>4402</v>
      </c>
      <c r="I958" s="27" t="s">
        <v>4403</v>
      </c>
      <c r="J958" s="8" t="s">
        <v>4169</v>
      </c>
      <c r="K958" s="8" t="s">
        <v>4170</v>
      </c>
      <c r="L958" s="8"/>
      <c r="M958" s="8" t="str">
        <f aca="false">IF(K958="FUERA","Fuera del marco",IF(K958="N/A","Sin marco",IFERROR(INDEX(Catalogo_TIMSS!$C$5:$C$105,MATCH(K958,Catalogo_TIMSS!$A$5:$A$105,0)),"Pendiente de clasificar")))</f>
        <v>Sin marco</v>
      </c>
      <c r="N958" s="8" t="str">
        <f aca="false">IF(K958="FUERA","Fuera del marco",IF(K958="N/A","Sin marco",IFERROR(INDEX(Catalogo_TIMSS!$F$5:$F$105,MATCH(K958,Catalogo_TIMSS!$A$5:$A$105,0)),"Pendiente de clasificar")))</f>
        <v>Sin marco</v>
      </c>
      <c r="O958" s="8" t="str">
        <f aca="false">IF(L958="","",IFERROR(INDEX(Catalogo_TIMSS!$C$5:$C$105,MATCH(L958,Catalogo_TIMSS!$A$5:$A$105,0)),"?"))</f>
        <v/>
      </c>
      <c r="P958" s="8" t="s">
        <v>4170</v>
      </c>
      <c r="Q958" s="27" t="s">
        <v>4171</v>
      </c>
      <c r="R958" s="27" t="s">
        <v>4404</v>
      </c>
      <c r="S958" s="28" t="n">
        <f aca="false">IFERROR(ISNUMBER(SEARCH("Conocer",$R958))/(ISNUMBER(SEARCH("Conocer",$R958))+ISNUMBER(SEARCH("Aplicar",$R958))+ISNUMBER(SEARCH("Razonar",$R958))),0)</f>
        <v>0</v>
      </c>
      <c r="T958" s="28" t="n">
        <f aca="false">IFERROR(ISNUMBER(SEARCH("Aplicar",$R958))/(ISNUMBER(SEARCH("Conocer",$R958))+ISNUMBER(SEARCH("Aplicar",$R958))+ISNUMBER(SEARCH("Razonar",$R958))),0)</f>
        <v>0.5</v>
      </c>
      <c r="U958" s="28" t="n">
        <f aca="false">IFERROR(ISNUMBER(SEARCH("Razonar",$R958))/(ISNUMBER(SEARCH("Conocer",$R958))+ISNUMBER(SEARCH("Aplicar",$R958))+ISNUMBER(SEARCH("Razonar",$R958))),0)</f>
        <v>0.5</v>
      </c>
      <c r="V958" s="8" t="s">
        <v>383</v>
      </c>
      <c r="W958" s="8" t="s">
        <v>4173</v>
      </c>
    </row>
    <row r="959" customFormat="false" ht="15" hidden="false" customHeight="false" outlineLevel="0" collapsed="false">
      <c r="A959" s="8" t="s">
        <v>4405</v>
      </c>
      <c r="B959" s="8" t="n">
        <v>10</v>
      </c>
      <c r="C959" s="8" t="s">
        <v>90</v>
      </c>
      <c r="D959" s="8" t="s">
        <v>4164</v>
      </c>
      <c r="E959" s="8" t="s">
        <v>4165</v>
      </c>
      <c r="F959" s="8" t="n">
        <v>68</v>
      </c>
      <c r="G959" s="8" t="s">
        <v>4381</v>
      </c>
      <c r="H959" s="8" t="s">
        <v>4406</v>
      </c>
      <c r="I959" s="27" t="s">
        <v>4407</v>
      </c>
      <c r="J959" s="8" t="s">
        <v>4169</v>
      </c>
      <c r="K959" s="8" t="s">
        <v>4170</v>
      </c>
      <c r="L959" s="8"/>
      <c r="M959" s="8" t="str">
        <f aca="false">IF(K959="FUERA","Fuera del marco",IF(K959="N/A","Sin marco",IFERROR(INDEX(Catalogo_TIMSS!$C$5:$C$105,MATCH(K959,Catalogo_TIMSS!$A$5:$A$105,0)),"Pendiente de clasificar")))</f>
        <v>Sin marco</v>
      </c>
      <c r="N959" s="8" t="str">
        <f aca="false">IF(K959="FUERA","Fuera del marco",IF(K959="N/A","Sin marco",IFERROR(INDEX(Catalogo_TIMSS!$F$5:$F$105,MATCH(K959,Catalogo_TIMSS!$A$5:$A$105,0)),"Pendiente de clasificar")))</f>
        <v>Sin marco</v>
      </c>
      <c r="O959" s="8" t="str">
        <f aca="false">IF(L959="","",IFERROR(INDEX(Catalogo_TIMSS!$C$5:$C$105,MATCH(L959,Catalogo_TIMSS!$A$5:$A$105,0)),"?"))</f>
        <v/>
      </c>
      <c r="P959" s="8" t="s">
        <v>4170</v>
      </c>
      <c r="Q959" s="27" t="s">
        <v>4171</v>
      </c>
      <c r="R959" s="27" t="s">
        <v>4408</v>
      </c>
      <c r="S959" s="28" t="n">
        <f aca="false">IFERROR(ISNUMBER(SEARCH("Conocer",$R959))/(ISNUMBER(SEARCH("Conocer",$R959))+ISNUMBER(SEARCH("Aplicar",$R959))+ISNUMBER(SEARCH("Razonar",$R959))),0)</f>
        <v>0.5</v>
      </c>
      <c r="T959" s="28" t="n">
        <f aca="false">IFERROR(ISNUMBER(SEARCH("Aplicar",$R959))/(ISNUMBER(SEARCH("Conocer",$R959))+ISNUMBER(SEARCH("Aplicar",$R959))+ISNUMBER(SEARCH("Razonar",$R959))),0)</f>
        <v>0</v>
      </c>
      <c r="U959" s="28" t="n">
        <f aca="false">IFERROR(ISNUMBER(SEARCH("Razonar",$R959))/(ISNUMBER(SEARCH("Conocer",$R959))+ISNUMBER(SEARCH("Aplicar",$R959))+ISNUMBER(SEARCH("Razonar",$R959))),0)</f>
        <v>0.5</v>
      </c>
      <c r="V959" s="8" t="s">
        <v>383</v>
      </c>
      <c r="W959" s="8" t="s">
        <v>4173</v>
      </c>
    </row>
    <row r="960" customFormat="false" ht="15" hidden="false" customHeight="false" outlineLevel="0" collapsed="false">
      <c r="A960" s="8" t="s">
        <v>4409</v>
      </c>
      <c r="B960" s="8" t="n">
        <v>10</v>
      </c>
      <c r="C960" s="8" t="s">
        <v>90</v>
      </c>
      <c r="D960" s="8" t="s">
        <v>4164</v>
      </c>
      <c r="E960" s="8" t="s">
        <v>4165</v>
      </c>
      <c r="F960" s="8" t="n">
        <v>69</v>
      </c>
      <c r="G960" s="8" t="s">
        <v>4410</v>
      </c>
      <c r="H960" s="8" t="s">
        <v>4411</v>
      </c>
      <c r="I960" s="27" t="s">
        <v>4412</v>
      </c>
      <c r="J960" s="8" t="s">
        <v>4169</v>
      </c>
      <c r="K960" s="8" t="s">
        <v>4170</v>
      </c>
      <c r="L960" s="8"/>
      <c r="M960" s="8" t="str">
        <f aca="false">IF(K960="FUERA","Fuera del marco",IF(K960="N/A","Sin marco",IFERROR(INDEX(Catalogo_TIMSS!$C$5:$C$105,MATCH(K960,Catalogo_TIMSS!$A$5:$A$105,0)),"Pendiente de clasificar")))</f>
        <v>Sin marco</v>
      </c>
      <c r="N960" s="8" t="str">
        <f aca="false">IF(K960="FUERA","Fuera del marco",IF(K960="N/A","Sin marco",IFERROR(INDEX(Catalogo_TIMSS!$F$5:$F$105,MATCH(K960,Catalogo_TIMSS!$A$5:$A$105,0)),"Pendiente de clasificar")))</f>
        <v>Sin marco</v>
      </c>
      <c r="O960" s="8" t="str">
        <f aca="false">IF(L960="","",IFERROR(INDEX(Catalogo_TIMSS!$C$5:$C$105,MATCH(L960,Catalogo_TIMSS!$A$5:$A$105,0)),"?"))</f>
        <v/>
      </c>
      <c r="P960" s="8" t="s">
        <v>4170</v>
      </c>
      <c r="Q960" s="27" t="s">
        <v>4171</v>
      </c>
      <c r="R960" s="27" t="s">
        <v>4413</v>
      </c>
      <c r="S960" s="28" t="n">
        <f aca="false">IFERROR(ISNUMBER(SEARCH("Conocer",$R960))/(ISNUMBER(SEARCH("Conocer",$R960))+ISNUMBER(SEARCH("Aplicar",$R960))+ISNUMBER(SEARCH("Razonar",$R960))),0)</f>
        <v>0.5</v>
      </c>
      <c r="T960" s="28" t="n">
        <f aca="false">IFERROR(ISNUMBER(SEARCH("Aplicar",$R960))/(ISNUMBER(SEARCH("Conocer",$R960))+ISNUMBER(SEARCH("Aplicar",$R960))+ISNUMBER(SEARCH("Razonar",$R960))),0)</f>
        <v>0.5</v>
      </c>
      <c r="U960" s="28" t="n">
        <f aca="false">IFERROR(ISNUMBER(SEARCH("Razonar",$R960))/(ISNUMBER(SEARCH("Conocer",$R960))+ISNUMBER(SEARCH("Aplicar",$R960))+ISNUMBER(SEARCH("Razonar",$R960))),0)</f>
        <v>0</v>
      </c>
      <c r="V960" s="8" t="s">
        <v>383</v>
      </c>
      <c r="W960" s="8" t="s">
        <v>4173</v>
      </c>
    </row>
    <row r="961" customFormat="false" ht="15" hidden="false" customHeight="false" outlineLevel="0" collapsed="false">
      <c r="A961" s="8" t="s">
        <v>4414</v>
      </c>
      <c r="B961" s="8" t="n">
        <v>10</v>
      </c>
      <c r="C961" s="8" t="s">
        <v>90</v>
      </c>
      <c r="D961" s="8" t="s">
        <v>4164</v>
      </c>
      <c r="E961" s="8" t="s">
        <v>4165</v>
      </c>
      <c r="F961" s="8" t="n">
        <v>70</v>
      </c>
      <c r="G961" s="8" t="s">
        <v>4410</v>
      </c>
      <c r="H961" s="8" t="s">
        <v>4415</v>
      </c>
      <c r="I961" s="27" t="s">
        <v>4416</v>
      </c>
      <c r="J961" s="8" t="s">
        <v>4169</v>
      </c>
      <c r="K961" s="8" t="s">
        <v>4170</v>
      </c>
      <c r="L961" s="8"/>
      <c r="M961" s="8" t="str">
        <f aca="false">IF(K961="FUERA","Fuera del marco",IF(K961="N/A","Sin marco",IFERROR(INDEX(Catalogo_TIMSS!$C$5:$C$105,MATCH(K961,Catalogo_TIMSS!$A$5:$A$105,0)),"Pendiente de clasificar")))</f>
        <v>Sin marco</v>
      </c>
      <c r="N961" s="8" t="str">
        <f aca="false">IF(K961="FUERA","Fuera del marco",IF(K961="N/A","Sin marco",IFERROR(INDEX(Catalogo_TIMSS!$F$5:$F$105,MATCH(K961,Catalogo_TIMSS!$A$5:$A$105,0)),"Pendiente de clasificar")))</f>
        <v>Sin marco</v>
      </c>
      <c r="O961" s="8" t="str">
        <f aca="false">IF(L961="","",IFERROR(INDEX(Catalogo_TIMSS!$C$5:$C$105,MATCH(L961,Catalogo_TIMSS!$A$5:$A$105,0)),"?"))</f>
        <v/>
      </c>
      <c r="P961" s="8" t="s">
        <v>4170</v>
      </c>
      <c r="Q961" s="27" t="s">
        <v>4171</v>
      </c>
      <c r="R961" s="27" t="s">
        <v>4417</v>
      </c>
      <c r="S961" s="28" t="n">
        <f aca="false">IFERROR(ISNUMBER(SEARCH("Conocer",$R961))/(ISNUMBER(SEARCH("Conocer",$R961))+ISNUMBER(SEARCH("Aplicar",$R961))+ISNUMBER(SEARCH("Razonar",$R961))),0)</f>
        <v>0</v>
      </c>
      <c r="T961" s="28" t="n">
        <f aca="false">IFERROR(ISNUMBER(SEARCH("Aplicar",$R961))/(ISNUMBER(SEARCH("Conocer",$R961))+ISNUMBER(SEARCH("Aplicar",$R961))+ISNUMBER(SEARCH("Razonar",$R961))),0)</f>
        <v>0.5</v>
      </c>
      <c r="U961" s="28" t="n">
        <f aca="false">IFERROR(ISNUMBER(SEARCH("Razonar",$R961))/(ISNUMBER(SEARCH("Conocer",$R961))+ISNUMBER(SEARCH("Aplicar",$R961))+ISNUMBER(SEARCH("Razonar",$R961))),0)</f>
        <v>0.5</v>
      </c>
      <c r="V961" s="8" t="s">
        <v>383</v>
      </c>
      <c r="W961" s="8" t="s">
        <v>4173</v>
      </c>
    </row>
    <row r="962" customFormat="false" ht="15" hidden="false" customHeight="false" outlineLevel="0" collapsed="false">
      <c r="A962" s="8" t="s">
        <v>4418</v>
      </c>
      <c r="B962" s="8" t="n">
        <v>10</v>
      </c>
      <c r="C962" s="8" t="s">
        <v>90</v>
      </c>
      <c r="D962" s="8" t="s">
        <v>4164</v>
      </c>
      <c r="E962" s="8" t="s">
        <v>4165</v>
      </c>
      <c r="F962" s="8" t="n">
        <v>71</v>
      </c>
      <c r="G962" s="8" t="s">
        <v>4410</v>
      </c>
      <c r="H962" s="8" t="s">
        <v>4419</v>
      </c>
      <c r="I962" s="27" t="s">
        <v>4420</v>
      </c>
      <c r="J962" s="8" t="s">
        <v>4169</v>
      </c>
      <c r="K962" s="8" t="s">
        <v>4170</v>
      </c>
      <c r="L962" s="8"/>
      <c r="M962" s="8" t="str">
        <f aca="false">IF(K962="FUERA","Fuera del marco",IF(K962="N/A","Sin marco",IFERROR(INDEX(Catalogo_TIMSS!$C$5:$C$105,MATCH(K962,Catalogo_TIMSS!$A$5:$A$105,0)),"Pendiente de clasificar")))</f>
        <v>Sin marco</v>
      </c>
      <c r="N962" s="8" t="str">
        <f aca="false">IF(K962="FUERA","Fuera del marco",IF(K962="N/A","Sin marco",IFERROR(INDEX(Catalogo_TIMSS!$F$5:$F$105,MATCH(K962,Catalogo_TIMSS!$A$5:$A$105,0)),"Pendiente de clasificar")))</f>
        <v>Sin marco</v>
      </c>
      <c r="O962" s="8" t="str">
        <f aca="false">IF(L962="","",IFERROR(INDEX(Catalogo_TIMSS!$C$5:$C$105,MATCH(L962,Catalogo_TIMSS!$A$5:$A$105,0)),"?"))</f>
        <v/>
      </c>
      <c r="P962" s="8" t="s">
        <v>4170</v>
      </c>
      <c r="Q962" s="27" t="s">
        <v>4171</v>
      </c>
      <c r="R962" s="27" t="s">
        <v>4421</v>
      </c>
      <c r="S962" s="28" t="n">
        <f aca="false">IFERROR(ISNUMBER(SEARCH("Conocer",$R962))/(ISNUMBER(SEARCH("Conocer",$R962))+ISNUMBER(SEARCH("Aplicar",$R962))+ISNUMBER(SEARCH("Razonar",$R962))),0)</f>
        <v>0</v>
      </c>
      <c r="T962" s="28" t="n">
        <f aca="false">IFERROR(ISNUMBER(SEARCH("Aplicar",$R962))/(ISNUMBER(SEARCH("Conocer",$R962))+ISNUMBER(SEARCH("Aplicar",$R962))+ISNUMBER(SEARCH("Razonar",$R962))),0)</f>
        <v>0.5</v>
      </c>
      <c r="U962" s="28" t="n">
        <f aca="false">IFERROR(ISNUMBER(SEARCH("Razonar",$R962))/(ISNUMBER(SEARCH("Conocer",$R962))+ISNUMBER(SEARCH("Aplicar",$R962))+ISNUMBER(SEARCH("Razonar",$R962))),0)</f>
        <v>0.5</v>
      </c>
      <c r="V962" s="8" t="s">
        <v>383</v>
      </c>
      <c r="W962" s="8" t="s">
        <v>4173</v>
      </c>
    </row>
    <row r="963" customFormat="false" ht="15" hidden="false" customHeight="false" outlineLevel="0" collapsed="false">
      <c r="A963" s="8" t="s">
        <v>4422</v>
      </c>
      <c r="B963" s="8" t="n">
        <v>10</v>
      </c>
      <c r="C963" s="8" t="s">
        <v>90</v>
      </c>
      <c r="D963" s="8" t="s">
        <v>4164</v>
      </c>
      <c r="E963" s="8" t="s">
        <v>4165</v>
      </c>
      <c r="F963" s="8" t="n">
        <v>72</v>
      </c>
      <c r="G963" s="8" t="s">
        <v>4410</v>
      </c>
      <c r="H963" s="8" t="s">
        <v>4423</v>
      </c>
      <c r="I963" s="27" t="s">
        <v>4424</v>
      </c>
      <c r="J963" s="8" t="s">
        <v>4169</v>
      </c>
      <c r="K963" s="8" t="s">
        <v>4170</v>
      </c>
      <c r="L963" s="8"/>
      <c r="M963" s="8" t="str">
        <f aca="false">IF(K963="FUERA","Fuera del marco",IF(K963="N/A","Sin marco",IFERROR(INDEX(Catalogo_TIMSS!$C$5:$C$105,MATCH(K963,Catalogo_TIMSS!$A$5:$A$105,0)),"Pendiente de clasificar")))</f>
        <v>Sin marco</v>
      </c>
      <c r="N963" s="8" t="str">
        <f aca="false">IF(K963="FUERA","Fuera del marco",IF(K963="N/A","Sin marco",IFERROR(INDEX(Catalogo_TIMSS!$F$5:$F$105,MATCH(K963,Catalogo_TIMSS!$A$5:$A$105,0)),"Pendiente de clasificar")))</f>
        <v>Sin marco</v>
      </c>
      <c r="O963" s="8" t="str">
        <f aca="false">IF(L963="","",IFERROR(INDEX(Catalogo_TIMSS!$C$5:$C$105,MATCH(L963,Catalogo_TIMSS!$A$5:$A$105,0)),"?"))</f>
        <v/>
      </c>
      <c r="P963" s="8" t="s">
        <v>4170</v>
      </c>
      <c r="Q963" s="27" t="s">
        <v>4171</v>
      </c>
      <c r="R963" s="27" t="s">
        <v>4425</v>
      </c>
      <c r="S963" s="28" t="n">
        <f aca="false">IFERROR(ISNUMBER(SEARCH("Conocer",$R963))/(ISNUMBER(SEARCH("Conocer",$R963))+ISNUMBER(SEARCH("Aplicar",$R963))+ISNUMBER(SEARCH("Razonar",$R963))),0)</f>
        <v>0</v>
      </c>
      <c r="T963" s="28" t="n">
        <f aca="false">IFERROR(ISNUMBER(SEARCH("Aplicar",$R963))/(ISNUMBER(SEARCH("Conocer",$R963))+ISNUMBER(SEARCH("Aplicar",$R963))+ISNUMBER(SEARCH("Razonar",$R963))),0)</f>
        <v>0.5</v>
      </c>
      <c r="U963" s="28" t="n">
        <f aca="false">IFERROR(ISNUMBER(SEARCH("Razonar",$R963))/(ISNUMBER(SEARCH("Conocer",$R963))+ISNUMBER(SEARCH("Aplicar",$R963))+ISNUMBER(SEARCH("Razonar",$R963))),0)</f>
        <v>0.5</v>
      </c>
      <c r="V963" s="8" t="s">
        <v>383</v>
      </c>
      <c r="W963" s="8" t="s">
        <v>4173</v>
      </c>
    </row>
    <row r="964" customFormat="false" ht="15" hidden="false" customHeight="false" outlineLevel="0" collapsed="false">
      <c r="A964" s="8" t="s">
        <v>4426</v>
      </c>
      <c r="B964" s="8" t="n">
        <v>10</v>
      </c>
      <c r="C964" s="8" t="s">
        <v>90</v>
      </c>
      <c r="D964" s="8" t="s">
        <v>4164</v>
      </c>
      <c r="E964" s="8" t="s">
        <v>4165</v>
      </c>
      <c r="F964" s="8" t="n">
        <v>73</v>
      </c>
      <c r="G964" s="8" t="s">
        <v>4410</v>
      </c>
      <c r="H964" s="8" t="s">
        <v>4427</v>
      </c>
      <c r="I964" s="27" t="s">
        <v>4428</v>
      </c>
      <c r="J964" s="8" t="s">
        <v>4169</v>
      </c>
      <c r="K964" s="8" t="s">
        <v>4170</v>
      </c>
      <c r="L964" s="8"/>
      <c r="M964" s="8" t="str">
        <f aca="false">IF(K964="FUERA","Fuera del marco",IF(K964="N/A","Sin marco",IFERROR(INDEX(Catalogo_TIMSS!$C$5:$C$105,MATCH(K964,Catalogo_TIMSS!$A$5:$A$105,0)),"Pendiente de clasificar")))</f>
        <v>Sin marco</v>
      </c>
      <c r="N964" s="8" t="str">
        <f aca="false">IF(K964="FUERA","Fuera del marco",IF(K964="N/A","Sin marco",IFERROR(INDEX(Catalogo_TIMSS!$F$5:$F$105,MATCH(K964,Catalogo_TIMSS!$A$5:$A$105,0)),"Pendiente de clasificar")))</f>
        <v>Sin marco</v>
      </c>
      <c r="O964" s="8" t="str">
        <f aca="false">IF(L964="","",IFERROR(INDEX(Catalogo_TIMSS!$C$5:$C$105,MATCH(L964,Catalogo_TIMSS!$A$5:$A$105,0)),"?"))</f>
        <v/>
      </c>
      <c r="P964" s="8" t="s">
        <v>4170</v>
      </c>
      <c r="Q964" s="27" t="s">
        <v>4171</v>
      </c>
      <c r="R964" s="27" t="s">
        <v>4429</v>
      </c>
      <c r="S964" s="28" t="n">
        <f aca="false">IFERROR(ISNUMBER(SEARCH("Conocer",$R964))/(ISNUMBER(SEARCH("Conocer",$R964))+ISNUMBER(SEARCH("Aplicar",$R964))+ISNUMBER(SEARCH("Razonar",$R964))),0)</f>
        <v>0</v>
      </c>
      <c r="T964" s="28" t="n">
        <f aca="false">IFERROR(ISNUMBER(SEARCH("Aplicar",$R964))/(ISNUMBER(SEARCH("Conocer",$R964))+ISNUMBER(SEARCH("Aplicar",$R964))+ISNUMBER(SEARCH("Razonar",$R964))),0)</f>
        <v>0.5</v>
      </c>
      <c r="U964" s="28" t="n">
        <f aca="false">IFERROR(ISNUMBER(SEARCH("Razonar",$R964))/(ISNUMBER(SEARCH("Conocer",$R964))+ISNUMBER(SEARCH("Aplicar",$R964))+ISNUMBER(SEARCH("Razonar",$R964))),0)</f>
        <v>0.5</v>
      </c>
      <c r="V964" s="8" t="s">
        <v>383</v>
      </c>
      <c r="W964" s="8" t="s">
        <v>4173</v>
      </c>
    </row>
    <row r="965" customFormat="false" ht="15" hidden="false" customHeight="false" outlineLevel="0" collapsed="false">
      <c r="A965" s="8" t="s">
        <v>4430</v>
      </c>
      <c r="B965" s="8" t="n">
        <v>10</v>
      </c>
      <c r="C965" s="8" t="s">
        <v>90</v>
      </c>
      <c r="D965" s="8" t="s">
        <v>4164</v>
      </c>
      <c r="E965" s="8" t="s">
        <v>4165</v>
      </c>
      <c r="F965" s="8" t="n">
        <v>74</v>
      </c>
      <c r="G965" s="8" t="s">
        <v>4410</v>
      </c>
      <c r="H965" s="8" t="s">
        <v>4431</v>
      </c>
      <c r="I965" s="27" t="s">
        <v>4432</v>
      </c>
      <c r="J965" s="8" t="s">
        <v>4169</v>
      </c>
      <c r="K965" s="8" t="s">
        <v>4170</v>
      </c>
      <c r="L965" s="8"/>
      <c r="M965" s="8" t="str">
        <f aca="false">IF(K965="FUERA","Fuera del marco",IF(K965="N/A","Sin marco",IFERROR(INDEX(Catalogo_TIMSS!$C$5:$C$105,MATCH(K965,Catalogo_TIMSS!$A$5:$A$105,0)),"Pendiente de clasificar")))</f>
        <v>Sin marco</v>
      </c>
      <c r="N965" s="8" t="str">
        <f aca="false">IF(K965="FUERA","Fuera del marco",IF(K965="N/A","Sin marco",IFERROR(INDEX(Catalogo_TIMSS!$F$5:$F$105,MATCH(K965,Catalogo_TIMSS!$A$5:$A$105,0)),"Pendiente de clasificar")))</f>
        <v>Sin marco</v>
      </c>
      <c r="O965" s="8" t="str">
        <f aca="false">IF(L965="","",IFERROR(INDEX(Catalogo_TIMSS!$C$5:$C$105,MATCH(L965,Catalogo_TIMSS!$A$5:$A$105,0)),"?"))</f>
        <v/>
      </c>
      <c r="P965" s="8" t="s">
        <v>4170</v>
      </c>
      <c r="Q965" s="27" t="s">
        <v>4171</v>
      </c>
      <c r="R965" s="27" t="s">
        <v>4433</v>
      </c>
      <c r="S965" s="28" t="n">
        <f aca="false">IFERROR(ISNUMBER(SEARCH("Conocer",$R965))/(ISNUMBER(SEARCH("Conocer",$R965))+ISNUMBER(SEARCH("Aplicar",$R965))+ISNUMBER(SEARCH("Razonar",$R965))),0)</f>
        <v>0</v>
      </c>
      <c r="T965" s="28" t="n">
        <f aca="false">IFERROR(ISNUMBER(SEARCH("Aplicar",$R965))/(ISNUMBER(SEARCH("Conocer",$R965))+ISNUMBER(SEARCH("Aplicar",$R965))+ISNUMBER(SEARCH("Razonar",$R965))),0)</f>
        <v>0.5</v>
      </c>
      <c r="U965" s="28" t="n">
        <f aca="false">IFERROR(ISNUMBER(SEARCH("Razonar",$R965))/(ISNUMBER(SEARCH("Conocer",$R965))+ISNUMBER(SEARCH("Aplicar",$R965))+ISNUMBER(SEARCH("Razonar",$R965))),0)</f>
        <v>0.5</v>
      </c>
      <c r="V965" s="8" t="s">
        <v>383</v>
      </c>
      <c r="W965" s="8" t="s">
        <v>4173</v>
      </c>
    </row>
    <row r="966" customFormat="false" ht="15" hidden="false" customHeight="false" outlineLevel="0" collapsed="false">
      <c r="A966" s="8" t="s">
        <v>4434</v>
      </c>
      <c r="B966" s="8" t="n">
        <v>10</v>
      </c>
      <c r="C966" s="8" t="s">
        <v>90</v>
      </c>
      <c r="D966" s="8" t="s">
        <v>4164</v>
      </c>
      <c r="E966" s="8" t="s">
        <v>4165</v>
      </c>
      <c r="F966" s="8" t="n">
        <v>75</v>
      </c>
      <c r="G966" s="8" t="s">
        <v>4410</v>
      </c>
      <c r="H966" s="8" t="s">
        <v>4435</v>
      </c>
      <c r="I966" s="27" t="s">
        <v>4436</v>
      </c>
      <c r="J966" s="8" t="s">
        <v>4169</v>
      </c>
      <c r="K966" s="8" t="s">
        <v>4170</v>
      </c>
      <c r="L966" s="8"/>
      <c r="M966" s="8" t="str">
        <f aca="false">IF(K966="FUERA","Fuera del marco",IF(K966="N/A","Sin marco",IFERROR(INDEX(Catalogo_TIMSS!$C$5:$C$105,MATCH(K966,Catalogo_TIMSS!$A$5:$A$105,0)),"Pendiente de clasificar")))</f>
        <v>Sin marco</v>
      </c>
      <c r="N966" s="8" t="str">
        <f aca="false">IF(K966="FUERA","Fuera del marco",IF(K966="N/A","Sin marco",IFERROR(INDEX(Catalogo_TIMSS!$F$5:$F$105,MATCH(K966,Catalogo_TIMSS!$A$5:$A$105,0)),"Pendiente de clasificar")))</f>
        <v>Sin marco</v>
      </c>
      <c r="O966" s="8" t="str">
        <f aca="false">IF(L966="","",IFERROR(INDEX(Catalogo_TIMSS!$C$5:$C$105,MATCH(L966,Catalogo_TIMSS!$A$5:$A$105,0)),"?"))</f>
        <v/>
      </c>
      <c r="P966" s="8" t="s">
        <v>4170</v>
      </c>
      <c r="Q966" s="27" t="s">
        <v>4171</v>
      </c>
      <c r="R966" s="27" t="s">
        <v>4437</v>
      </c>
      <c r="S966" s="28" t="n">
        <f aca="false">IFERROR(ISNUMBER(SEARCH("Conocer",$R966))/(ISNUMBER(SEARCH("Conocer",$R966))+ISNUMBER(SEARCH("Aplicar",$R966))+ISNUMBER(SEARCH("Razonar",$R966))),0)</f>
        <v>0</v>
      </c>
      <c r="T966" s="28" t="n">
        <f aca="false">IFERROR(ISNUMBER(SEARCH("Aplicar",$R966))/(ISNUMBER(SEARCH("Conocer",$R966))+ISNUMBER(SEARCH("Aplicar",$R966))+ISNUMBER(SEARCH("Razonar",$R966))),0)</f>
        <v>0.5</v>
      </c>
      <c r="U966" s="28" t="n">
        <f aca="false">IFERROR(ISNUMBER(SEARCH("Razonar",$R966))/(ISNUMBER(SEARCH("Conocer",$R966))+ISNUMBER(SEARCH("Aplicar",$R966))+ISNUMBER(SEARCH("Razonar",$R966))),0)</f>
        <v>0.5</v>
      </c>
      <c r="V966" s="8" t="s">
        <v>383</v>
      </c>
      <c r="W966" s="8" t="s">
        <v>4173</v>
      </c>
    </row>
    <row r="967" customFormat="false" ht="15" hidden="false" customHeight="false" outlineLevel="0" collapsed="false">
      <c r="A967" s="8" t="s">
        <v>4438</v>
      </c>
      <c r="B967" s="8" t="n">
        <v>10</v>
      </c>
      <c r="C967" s="8" t="s">
        <v>90</v>
      </c>
      <c r="D967" s="8" t="s">
        <v>4164</v>
      </c>
      <c r="E967" s="8" t="s">
        <v>4165</v>
      </c>
      <c r="F967" s="8" t="n">
        <v>76</v>
      </c>
      <c r="G967" s="8" t="s">
        <v>4410</v>
      </c>
      <c r="H967" s="8" t="s">
        <v>4439</v>
      </c>
      <c r="I967" s="27" t="s">
        <v>4440</v>
      </c>
      <c r="J967" s="8" t="s">
        <v>4169</v>
      </c>
      <c r="K967" s="8" t="s">
        <v>4170</v>
      </c>
      <c r="L967" s="8"/>
      <c r="M967" s="8" t="str">
        <f aca="false">IF(K967="FUERA","Fuera del marco",IF(K967="N/A","Sin marco",IFERROR(INDEX(Catalogo_TIMSS!$C$5:$C$105,MATCH(K967,Catalogo_TIMSS!$A$5:$A$105,0)),"Pendiente de clasificar")))</f>
        <v>Sin marco</v>
      </c>
      <c r="N967" s="8" t="str">
        <f aca="false">IF(K967="FUERA","Fuera del marco",IF(K967="N/A","Sin marco",IFERROR(INDEX(Catalogo_TIMSS!$F$5:$F$105,MATCH(K967,Catalogo_TIMSS!$A$5:$A$105,0)),"Pendiente de clasificar")))</f>
        <v>Sin marco</v>
      </c>
      <c r="O967" s="8" t="str">
        <f aca="false">IF(L967="","",IFERROR(INDEX(Catalogo_TIMSS!$C$5:$C$105,MATCH(L967,Catalogo_TIMSS!$A$5:$A$105,0)),"?"))</f>
        <v/>
      </c>
      <c r="P967" s="8" t="s">
        <v>4170</v>
      </c>
      <c r="Q967" s="27" t="s">
        <v>4171</v>
      </c>
      <c r="R967" s="27" t="s">
        <v>4441</v>
      </c>
      <c r="S967" s="28" t="n">
        <f aca="false">IFERROR(ISNUMBER(SEARCH("Conocer",$R967))/(ISNUMBER(SEARCH("Conocer",$R967))+ISNUMBER(SEARCH("Aplicar",$R967))+ISNUMBER(SEARCH("Razonar",$R967))),0)</f>
        <v>0</v>
      </c>
      <c r="T967" s="28" t="n">
        <f aca="false">IFERROR(ISNUMBER(SEARCH("Aplicar",$R967))/(ISNUMBER(SEARCH("Conocer",$R967))+ISNUMBER(SEARCH("Aplicar",$R967))+ISNUMBER(SEARCH("Razonar",$R967))),0)</f>
        <v>0.5</v>
      </c>
      <c r="U967" s="28" t="n">
        <f aca="false">IFERROR(ISNUMBER(SEARCH("Razonar",$R967))/(ISNUMBER(SEARCH("Conocer",$R967))+ISNUMBER(SEARCH("Aplicar",$R967))+ISNUMBER(SEARCH("Razonar",$R967))),0)</f>
        <v>0.5</v>
      </c>
      <c r="V967" s="8" t="s">
        <v>383</v>
      </c>
      <c r="W967" s="8" t="s">
        <v>4173</v>
      </c>
    </row>
    <row r="968" customFormat="false" ht="15" hidden="false" customHeight="false" outlineLevel="0" collapsed="false">
      <c r="A968" s="8" t="s">
        <v>4442</v>
      </c>
      <c r="B968" s="8" t="n">
        <v>10</v>
      </c>
      <c r="C968" s="8" t="s">
        <v>90</v>
      </c>
      <c r="D968" s="8" t="s">
        <v>4164</v>
      </c>
      <c r="E968" s="8" t="s">
        <v>4165</v>
      </c>
      <c r="F968" s="8" t="n">
        <v>77</v>
      </c>
      <c r="G968" s="8" t="s">
        <v>4443</v>
      </c>
      <c r="H968" s="8" t="s">
        <v>4444</v>
      </c>
      <c r="I968" s="27" t="s">
        <v>4445</v>
      </c>
      <c r="J968" s="8" t="s">
        <v>4169</v>
      </c>
      <c r="K968" s="8" t="s">
        <v>4170</v>
      </c>
      <c r="L968" s="8"/>
      <c r="M968" s="8" t="str">
        <f aca="false">IF(K968="FUERA","Fuera del marco",IF(K968="N/A","Sin marco",IFERROR(INDEX(Catalogo_TIMSS!$C$5:$C$105,MATCH(K968,Catalogo_TIMSS!$A$5:$A$105,0)),"Pendiente de clasificar")))</f>
        <v>Sin marco</v>
      </c>
      <c r="N968" s="8" t="str">
        <f aca="false">IF(K968="FUERA","Fuera del marco",IF(K968="N/A","Sin marco",IFERROR(INDEX(Catalogo_TIMSS!$F$5:$F$105,MATCH(K968,Catalogo_TIMSS!$A$5:$A$105,0)),"Pendiente de clasificar")))</f>
        <v>Sin marco</v>
      </c>
      <c r="O968" s="8" t="str">
        <f aca="false">IF(L968="","",IFERROR(INDEX(Catalogo_TIMSS!$C$5:$C$105,MATCH(L968,Catalogo_TIMSS!$A$5:$A$105,0)),"?"))</f>
        <v/>
      </c>
      <c r="P968" s="8" t="s">
        <v>4170</v>
      </c>
      <c r="Q968" s="27" t="s">
        <v>4171</v>
      </c>
      <c r="R968" s="27" t="s">
        <v>4446</v>
      </c>
      <c r="S968" s="28" t="n">
        <f aca="false">IFERROR(ISNUMBER(SEARCH("Conocer",$R968))/(ISNUMBER(SEARCH("Conocer",$R968))+ISNUMBER(SEARCH("Aplicar",$R968))+ISNUMBER(SEARCH("Razonar",$R968))),0)</f>
        <v>0.333333333333333</v>
      </c>
      <c r="T968" s="28" t="n">
        <f aca="false">IFERROR(ISNUMBER(SEARCH("Aplicar",$R968))/(ISNUMBER(SEARCH("Conocer",$R968))+ISNUMBER(SEARCH("Aplicar",$R968))+ISNUMBER(SEARCH("Razonar",$R968))),0)</f>
        <v>0.333333333333333</v>
      </c>
      <c r="U968" s="28" t="n">
        <f aca="false">IFERROR(ISNUMBER(SEARCH("Razonar",$R968))/(ISNUMBER(SEARCH("Conocer",$R968))+ISNUMBER(SEARCH("Aplicar",$R968))+ISNUMBER(SEARCH("Razonar",$R968))),0)</f>
        <v>0.333333333333333</v>
      </c>
      <c r="V968" s="8" t="s">
        <v>383</v>
      </c>
      <c r="W968" s="8" t="s">
        <v>4173</v>
      </c>
    </row>
    <row r="969" customFormat="false" ht="15" hidden="false" customHeight="false" outlineLevel="0" collapsed="false">
      <c r="A969" s="8" t="s">
        <v>4447</v>
      </c>
      <c r="B969" s="8" t="n">
        <v>10</v>
      </c>
      <c r="C969" s="8" t="s">
        <v>90</v>
      </c>
      <c r="D969" s="8" t="s">
        <v>4164</v>
      </c>
      <c r="E969" s="8" t="s">
        <v>4165</v>
      </c>
      <c r="F969" s="8" t="n">
        <v>78</v>
      </c>
      <c r="G969" s="8" t="s">
        <v>4443</v>
      </c>
      <c r="H969" s="8" t="s">
        <v>4448</v>
      </c>
      <c r="I969" s="27" t="s">
        <v>4449</v>
      </c>
      <c r="J969" s="8" t="s">
        <v>4169</v>
      </c>
      <c r="K969" s="8" t="s">
        <v>4170</v>
      </c>
      <c r="L969" s="8"/>
      <c r="M969" s="8" t="str">
        <f aca="false">IF(K969="FUERA","Fuera del marco",IF(K969="N/A","Sin marco",IFERROR(INDEX(Catalogo_TIMSS!$C$5:$C$105,MATCH(K969,Catalogo_TIMSS!$A$5:$A$105,0)),"Pendiente de clasificar")))</f>
        <v>Sin marco</v>
      </c>
      <c r="N969" s="8" t="str">
        <f aca="false">IF(K969="FUERA","Fuera del marco",IF(K969="N/A","Sin marco",IFERROR(INDEX(Catalogo_TIMSS!$F$5:$F$105,MATCH(K969,Catalogo_TIMSS!$A$5:$A$105,0)),"Pendiente de clasificar")))</f>
        <v>Sin marco</v>
      </c>
      <c r="O969" s="8" t="str">
        <f aca="false">IF(L969="","",IFERROR(INDEX(Catalogo_TIMSS!$C$5:$C$105,MATCH(L969,Catalogo_TIMSS!$A$5:$A$105,0)),"?"))</f>
        <v/>
      </c>
      <c r="P969" s="8" t="s">
        <v>4170</v>
      </c>
      <c r="Q969" s="27" t="s">
        <v>4171</v>
      </c>
      <c r="R969" s="27" t="s">
        <v>4450</v>
      </c>
      <c r="S969" s="28" t="n">
        <f aca="false">IFERROR(ISNUMBER(SEARCH("Conocer",$R969))/(ISNUMBER(SEARCH("Conocer",$R969))+ISNUMBER(SEARCH("Aplicar",$R969))+ISNUMBER(SEARCH("Razonar",$R969))),0)</f>
        <v>0</v>
      </c>
      <c r="T969" s="28" t="n">
        <f aca="false">IFERROR(ISNUMBER(SEARCH("Aplicar",$R969))/(ISNUMBER(SEARCH("Conocer",$R969))+ISNUMBER(SEARCH("Aplicar",$R969))+ISNUMBER(SEARCH("Razonar",$R969))),0)</f>
        <v>0.5</v>
      </c>
      <c r="U969" s="28" t="n">
        <f aca="false">IFERROR(ISNUMBER(SEARCH("Razonar",$R969))/(ISNUMBER(SEARCH("Conocer",$R969))+ISNUMBER(SEARCH("Aplicar",$R969))+ISNUMBER(SEARCH("Razonar",$R969))),0)</f>
        <v>0.5</v>
      </c>
      <c r="V969" s="8" t="s">
        <v>383</v>
      </c>
      <c r="W969" s="8" t="s">
        <v>4173</v>
      </c>
    </row>
    <row r="970" customFormat="false" ht="15" hidden="false" customHeight="false" outlineLevel="0" collapsed="false">
      <c r="A970" s="8" t="s">
        <v>4451</v>
      </c>
      <c r="B970" s="8" t="n">
        <v>10</v>
      </c>
      <c r="C970" s="8" t="s">
        <v>90</v>
      </c>
      <c r="D970" s="8" t="s">
        <v>4164</v>
      </c>
      <c r="E970" s="8" t="s">
        <v>4165</v>
      </c>
      <c r="F970" s="8" t="n">
        <v>79</v>
      </c>
      <c r="G970" s="8" t="s">
        <v>4443</v>
      </c>
      <c r="H970" s="8" t="s">
        <v>4452</v>
      </c>
      <c r="I970" s="27" t="s">
        <v>4453</v>
      </c>
      <c r="J970" s="8" t="s">
        <v>4169</v>
      </c>
      <c r="K970" s="8" t="s">
        <v>4170</v>
      </c>
      <c r="L970" s="8"/>
      <c r="M970" s="8" t="str">
        <f aca="false">IF(K970="FUERA","Fuera del marco",IF(K970="N/A","Sin marco",IFERROR(INDEX(Catalogo_TIMSS!$C$5:$C$105,MATCH(K970,Catalogo_TIMSS!$A$5:$A$105,0)),"Pendiente de clasificar")))</f>
        <v>Sin marco</v>
      </c>
      <c r="N970" s="8" t="str">
        <f aca="false">IF(K970="FUERA","Fuera del marco",IF(K970="N/A","Sin marco",IFERROR(INDEX(Catalogo_TIMSS!$F$5:$F$105,MATCH(K970,Catalogo_TIMSS!$A$5:$A$105,0)),"Pendiente de clasificar")))</f>
        <v>Sin marco</v>
      </c>
      <c r="O970" s="8" t="str">
        <f aca="false">IF(L970="","",IFERROR(INDEX(Catalogo_TIMSS!$C$5:$C$105,MATCH(L970,Catalogo_TIMSS!$A$5:$A$105,0)),"?"))</f>
        <v/>
      </c>
      <c r="P970" s="8" t="s">
        <v>4170</v>
      </c>
      <c r="Q970" s="27" t="s">
        <v>4171</v>
      </c>
      <c r="R970" s="27" t="s">
        <v>4454</v>
      </c>
      <c r="S970" s="28" t="n">
        <f aca="false">IFERROR(ISNUMBER(SEARCH("Conocer",$R970))/(ISNUMBER(SEARCH("Conocer",$R970))+ISNUMBER(SEARCH("Aplicar",$R970))+ISNUMBER(SEARCH("Razonar",$R970))),0)</f>
        <v>0.5</v>
      </c>
      <c r="T970" s="28" t="n">
        <f aca="false">IFERROR(ISNUMBER(SEARCH("Aplicar",$R970))/(ISNUMBER(SEARCH("Conocer",$R970))+ISNUMBER(SEARCH("Aplicar",$R970))+ISNUMBER(SEARCH("Razonar",$R970))),0)</f>
        <v>0</v>
      </c>
      <c r="U970" s="28" t="n">
        <f aca="false">IFERROR(ISNUMBER(SEARCH("Razonar",$R970))/(ISNUMBER(SEARCH("Conocer",$R970))+ISNUMBER(SEARCH("Aplicar",$R970))+ISNUMBER(SEARCH("Razonar",$R970))),0)</f>
        <v>0.5</v>
      </c>
      <c r="V970" s="8" t="s">
        <v>383</v>
      </c>
      <c r="W970" s="8" t="s">
        <v>4173</v>
      </c>
    </row>
    <row r="971" customFormat="false" ht="15" hidden="false" customHeight="false" outlineLevel="0" collapsed="false">
      <c r="A971" s="8" t="s">
        <v>4455</v>
      </c>
      <c r="B971" s="8" t="n">
        <v>10</v>
      </c>
      <c r="C971" s="8" t="s">
        <v>90</v>
      </c>
      <c r="D971" s="8" t="s">
        <v>4164</v>
      </c>
      <c r="E971" s="8" t="s">
        <v>4165</v>
      </c>
      <c r="F971" s="8" t="n">
        <v>80</v>
      </c>
      <c r="G971" s="8" t="s">
        <v>4443</v>
      </c>
      <c r="H971" s="8" t="s">
        <v>4456</v>
      </c>
      <c r="I971" s="27" t="s">
        <v>4457</v>
      </c>
      <c r="J971" s="8" t="s">
        <v>4169</v>
      </c>
      <c r="K971" s="8" t="s">
        <v>4170</v>
      </c>
      <c r="L971" s="8"/>
      <c r="M971" s="8" t="str">
        <f aca="false">IF(K971="FUERA","Fuera del marco",IF(K971="N/A","Sin marco",IFERROR(INDEX(Catalogo_TIMSS!$C$5:$C$105,MATCH(K971,Catalogo_TIMSS!$A$5:$A$105,0)),"Pendiente de clasificar")))</f>
        <v>Sin marco</v>
      </c>
      <c r="N971" s="8" t="str">
        <f aca="false">IF(K971="FUERA","Fuera del marco",IF(K971="N/A","Sin marco",IFERROR(INDEX(Catalogo_TIMSS!$F$5:$F$105,MATCH(K971,Catalogo_TIMSS!$A$5:$A$105,0)),"Pendiente de clasificar")))</f>
        <v>Sin marco</v>
      </c>
      <c r="O971" s="8" t="str">
        <f aca="false">IF(L971="","",IFERROR(INDEX(Catalogo_TIMSS!$C$5:$C$105,MATCH(L971,Catalogo_TIMSS!$A$5:$A$105,0)),"?"))</f>
        <v/>
      </c>
      <c r="P971" s="8" t="s">
        <v>4170</v>
      </c>
      <c r="Q971" s="27" t="s">
        <v>4171</v>
      </c>
      <c r="R971" s="27" t="s">
        <v>4458</v>
      </c>
      <c r="S971" s="28" t="n">
        <f aca="false">IFERROR(ISNUMBER(SEARCH("Conocer",$R971))/(ISNUMBER(SEARCH("Conocer",$R971))+ISNUMBER(SEARCH("Aplicar",$R971))+ISNUMBER(SEARCH("Razonar",$R971))),0)</f>
        <v>0.333333333333333</v>
      </c>
      <c r="T971" s="28" t="n">
        <f aca="false">IFERROR(ISNUMBER(SEARCH("Aplicar",$R971))/(ISNUMBER(SEARCH("Conocer",$R971))+ISNUMBER(SEARCH("Aplicar",$R971))+ISNUMBER(SEARCH("Razonar",$R971))),0)</f>
        <v>0.333333333333333</v>
      </c>
      <c r="U971" s="28" t="n">
        <f aca="false">IFERROR(ISNUMBER(SEARCH("Razonar",$R971))/(ISNUMBER(SEARCH("Conocer",$R971))+ISNUMBER(SEARCH("Aplicar",$R971))+ISNUMBER(SEARCH("Razonar",$R971))),0)</f>
        <v>0.333333333333333</v>
      </c>
      <c r="V971" s="8" t="s">
        <v>383</v>
      </c>
      <c r="W971" s="8" t="s">
        <v>4173</v>
      </c>
    </row>
    <row r="972" customFormat="false" ht="15" hidden="false" customHeight="false" outlineLevel="0" collapsed="false">
      <c r="A972" s="8" t="s">
        <v>4459</v>
      </c>
      <c r="B972" s="8" t="n">
        <v>10</v>
      </c>
      <c r="C972" s="8" t="s">
        <v>90</v>
      </c>
      <c r="D972" s="8" t="s">
        <v>4164</v>
      </c>
      <c r="E972" s="8" t="s">
        <v>4165</v>
      </c>
      <c r="F972" s="8" t="n">
        <v>81</v>
      </c>
      <c r="G972" s="8" t="s">
        <v>4460</v>
      </c>
      <c r="H972" s="8" t="s">
        <v>2371</v>
      </c>
      <c r="I972" s="27" t="s">
        <v>4461</v>
      </c>
      <c r="J972" s="8" t="s">
        <v>4169</v>
      </c>
      <c r="K972" s="8" t="s">
        <v>4170</v>
      </c>
      <c r="L972" s="8"/>
      <c r="M972" s="8" t="str">
        <f aca="false">IF(K972="FUERA","Fuera del marco",IF(K972="N/A","Sin marco",IFERROR(INDEX(Catalogo_TIMSS!$C$5:$C$105,MATCH(K972,Catalogo_TIMSS!$A$5:$A$105,0)),"Pendiente de clasificar")))</f>
        <v>Sin marco</v>
      </c>
      <c r="N972" s="8" t="str">
        <f aca="false">IF(K972="FUERA","Fuera del marco",IF(K972="N/A","Sin marco",IFERROR(INDEX(Catalogo_TIMSS!$F$5:$F$105,MATCH(K972,Catalogo_TIMSS!$A$5:$A$105,0)),"Pendiente de clasificar")))</f>
        <v>Sin marco</v>
      </c>
      <c r="O972" s="8" t="str">
        <f aca="false">IF(L972="","",IFERROR(INDEX(Catalogo_TIMSS!$C$5:$C$105,MATCH(L972,Catalogo_TIMSS!$A$5:$A$105,0)),"?"))</f>
        <v/>
      </c>
      <c r="P972" s="8" t="s">
        <v>4170</v>
      </c>
      <c r="Q972" s="27" t="s">
        <v>4171</v>
      </c>
      <c r="R972" s="27" t="s">
        <v>4462</v>
      </c>
      <c r="S972" s="28" t="n">
        <f aca="false">IFERROR(ISNUMBER(SEARCH("Conocer",$R972))/(ISNUMBER(SEARCH("Conocer",$R972))+ISNUMBER(SEARCH("Aplicar",$R972))+ISNUMBER(SEARCH("Razonar",$R972))),0)</f>
        <v>0</v>
      </c>
      <c r="T972" s="28" t="n">
        <f aca="false">IFERROR(ISNUMBER(SEARCH("Aplicar",$R972))/(ISNUMBER(SEARCH("Conocer",$R972))+ISNUMBER(SEARCH("Aplicar",$R972))+ISNUMBER(SEARCH("Razonar",$R972))),0)</f>
        <v>0.5</v>
      </c>
      <c r="U972" s="28" t="n">
        <f aca="false">IFERROR(ISNUMBER(SEARCH("Razonar",$R972))/(ISNUMBER(SEARCH("Conocer",$R972))+ISNUMBER(SEARCH("Aplicar",$R972))+ISNUMBER(SEARCH("Razonar",$R972))),0)</f>
        <v>0.5</v>
      </c>
      <c r="V972" s="8" t="s">
        <v>383</v>
      </c>
      <c r="W972" s="8" t="s">
        <v>4173</v>
      </c>
    </row>
    <row r="973" customFormat="false" ht="15" hidden="false" customHeight="false" outlineLevel="0" collapsed="false">
      <c r="A973" s="8" t="s">
        <v>4463</v>
      </c>
      <c r="B973" s="8" t="n">
        <v>10</v>
      </c>
      <c r="C973" s="8" t="s">
        <v>90</v>
      </c>
      <c r="D973" s="8" t="s">
        <v>4164</v>
      </c>
      <c r="E973" s="8" t="s">
        <v>4165</v>
      </c>
      <c r="F973" s="8" t="n">
        <v>82</v>
      </c>
      <c r="G973" s="8" t="s">
        <v>4460</v>
      </c>
      <c r="H973" s="8" t="s">
        <v>2371</v>
      </c>
      <c r="I973" s="27" t="s">
        <v>4464</v>
      </c>
      <c r="J973" s="8" t="s">
        <v>4169</v>
      </c>
      <c r="K973" s="8" t="s">
        <v>4170</v>
      </c>
      <c r="L973" s="8"/>
      <c r="M973" s="8" t="str">
        <f aca="false">IF(K973="FUERA","Fuera del marco",IF(K973="N/A","Sin marco",IFERROR(INDEX(Catalogo_TIMSS!$C$5:$C$105,MATCH(K973,Catalogo_TIMSS!$A$5:$A$105,0)),"Pendiente de clasificar")))</f>
        <v>Sin marco</v>
      </c>
      <c r="N973" s="8" t="str">
        <f aca="false">IF(K973="FUERA","Fuera del marco",IF(K973="N/A","Sin marco",IFERROR(INDEX(Catalogo_TIMSS!$F$5:$F$105,MATCH(K973,Catalogo_TIMSS!$A$5:$A$105,0)),"Pendiente de clasificar")))</f>
        <v>Sin marco</v>
      </c>
      <c r="O973" s="8" t="str">
        <f aca="false">IF(L973="","",IFERROR(INDEX(Catalogo_TIMSS!$C$5:$C$105,MATCH(L973,Catalogo_TIMSS!$A$5:$A$105,0)),"?"))</f>
        <v/>
      </c>
      <c r="P973" s="8" t="s">
        <v>4170</v>
      </c>
      <c r="Q973" s="27" t="s">
        <v>4171</v>
      </c>
      <c r="R973" s="27" t="s">
        <v>4465</v>
      </c>
      <c r="S973" s="28" t="n">
        <f aca="false">IFERROR(ISNUMBER(SEARCH("Conocer",$R973))/(ISNUMBER(SEARCH("Conocer",$R973))+ISNUMBER(SEARCH("Aplicar",$R973))+ISNUMBER(SEARCH("Razonar",$R973))),0)</f>
        <v>0</v>
      </c>
      <c r="T973" s="28" t="n">
        <f aca="false">IFERROR(ISNUMBER(SEARCH("Aplicar",$R973))/(ISNUMBER(SEARCH("Conocer",$R973))+ISNUMBER(SEARCH("Aplicar",$R973))+ISNUMBER(SEARCH("Razonar",$R973))),0)</f>
        <v>0.5</v>
      </c>
      <c r="U973" s="28" t="n">
        <f aca="false">IFERROR(ISNUMBER(SEARCH("Razonar",$R973))/(ISNUMBER(SEARCH("Conocer",$R973))+ISNUMBER(SEARCH("Aplicar",$R973))+ISNUMBER(SEARCH("Razonar",$R973))),0)</f>
        <v>0.5</v>
      </c>
      <c r="V973" s="8" t="s">
        <v>383</v>
      </c>
      <c r="W973" s="8" t="s">
        <v>4173</v>
      </c>
    </row>
    <row r="974" customFormat="false" ht="15" hidden="false" customHeight="false" outlineLevel="0" collapsed="false">
      <c r="A974" s="8" t="s">
        <v>4466</v>
      </c>
      <c r="B974" s="8" t="n">
        <v>10</v>
      </c>
      <c r="C974" s="8" t="s">
        <v>90</v>
      </c>
      <c r="D974" s="8" t="s">
        <v>4164</v>
      </c>
      <c r="E974" s="8" t="s">
        <v>4165</v>
      </c>
      <c r="F974" s="8" t="n">
        <v>83</v>
      </c>
      <c r="G974" s="8" t="s">
        <v>4460</v>
      </c>
      <c r="H974" s="8" t="s">
        <v>4467</v>
      </c>
      <c r="I974" s="27" t="s">
        <v>4468</v>
      </c>
      <c r="J974" s="8" t="s">
        <v>4169</v>
      </c>
      <c r="K974" s="8" t="s">
        <v>4170</v>
      </c>
      <c r="L974" s="8"/>
      <c r="M974" s="8" t="str">
        <f aca="false">IF(K974="FUERA","Fuera del marco",IF(K974="N/A","Sin marco",IFERROR(INDEX(Catalogo_TIMSS!$C$5:$C$105,MATCH(K974,Catalogo_TIMSS!$A$5:$A$105,0)),"Pendiente de clasificar")))</f>
        <v>Sin marco</v>
      </c>
      <c r="N974" s="8" t="str">
        <f aca="false">IF(K974="FUERA","Fuera del marco",IF(K974="N/A","Sin marco",IFERROR(INDEX(Catalogo_TIMSS!$F$5:$F$105,MATCH(K974,Catalogo_TIMSS!$A$5:$A$105,0)),"Pendiente de clasificar")))</f>
        <v>Sin marco</v>
      </c>
      <c r="O974" s="8" t="str">
        <f aca="false">IF(L974="","",IFERROR(INDEX(Catalogo_TIMSS!$C$5:$C$105,MATCH(L974,Catalogo_TIMSS!$A$5:$A$105,0)),"?"))</f>
        <v/>
      </c>
      <c r="P974" s="8" t="s">
        <v>4170</v>
      </c>
      <c r="Q974" s="27" t="s">
        <v>4171</v>
      </c>
      <c r="R974" s="27" t="s">
        <v>4469</v>
      </c>
      <c r="S974" s="28" t="n">
        <f aca="false">IFERROR(ISNUMBER(SEARCH("Conocer",$R974))/(ISNUMBER(SEARCH("Conocer",$R974))+ISNUMBER(SEARCH("Aplicar",$R974))+ISNUMBER(SEARCH("Razonar",$R974))),0)</f>
        <v>0</v>
      </c>
      <c r="T974" s="28" t="n">
        <f aca="false">IFERROR(ISNUMBER(SEARCH("Aplicar",$R974))/(ISNUMBER(SEARCH("Conocer",$R974))+ISNUMBER(SEARCH("Aplicar",$R974))+ISNUMBER(SEARCH("Razonar",$R974))),0)</f>
        <v>0.5</v>
      </c>
      <c r="U974" s="28" t="n">
        <f aca="false">IFERROR(ISNUMBER(SEARCH("Razonar",$R974))/(ISNUMBER(SEARCH("Conocer",$R974))+ISNUMBER(SEARCH("Aplicar",$R974))+ISNUMBER(SEARCH("Razonar",$R974))),0)</f>
        <v>0.5</v>
      </c>
      <c r="V974" s="8" t="s">
        <v>383</v>
      </c>
      <c r="W974" s="8" t="s">
        <v>4173</v>
      </c>
    </row>
    <row r="975" customFormat="false" ht="15" hidden="false" customHeight="false" outlineLevel="0" collapsed="false">
      <c r="A975" s="8" t="s">
        <v>4470</v>
      </c>
      <c r="B975" s="8" t="n">
        <v>10</v>
      </c>
      <c r="C975" s="8" t="s">
        <v>90</v>
      </c>
      <c r="D975" s="8" t="s">
        <v>4164</v>
      </c>
      <c r="E975" s="8" t="s">
        <v>4165</v>
      </c>
      <c r="F975" s="8" t="n">
        <v>84</v>
      </c>
      <c r="G975" s="8" t="s">
        <v>4460</v>
      </c>
      <c r="H975" s="8" t="s">
        <v>4467</v>
      </c>
      <c r="I975" s="27" t="s">
        <v>4471</v>
      </c>
      <c r="J975" s="8" t="s">
        <v>4169</v>
      </c>
      <c r="K975" s="8" t="s">
        <v>4170</v>
      </c>
      <c r="L975" s="8"/>
      <c r="M975" s="8" t="str">
        <f aca="false">IF(K975="FUERA","Fuera del marco",IF(K975="N/A","Sin marco",IFERROR(INDEX(Catalogo_TIMSS!$C$5:$C$105,MATCH(K975,Catalogo_TIMSS!$A$5:$A$105,0)),"Pendiente de clasificar")))</f>
        <v>Sin marco</v>
      </c>
      <c r="N975" s="8" t="str">
        <f aca="false">IF(K975="FUERA","Fuera del marco",IF(K975="N/A","Sin marco",IFERROR(INDEX(Catalogo_TIMSS!$F$5:$F$105,MATCH(K975,Catalogo_TIMSS!$A$5:$A$105,0)),"Pendiente de clasificar")))</f>
        <v>Sin marco</v>
      </c>
      <c r="O975" s="8" t="str">
        <f aca="false">IF(L975="","",IFERROR(INDEX(Catalogo_TIMSS!$C$5:$C$105,MATCH(L975,Catalogo_TIMSS!$A$5:$A$105,0)),"?"))</f>
        <v/>
      </c>
      <c r="P975" s="8" t="s">
        <v>4170</v>
      </c>
      <c r="Q975" s="27" t="s">
        <v>4171</v>
      </c>
      <c r="R975" s="27" t="s">
        <v>4472</v>
      </c>
      <c r="S975" s="28" t="n">
        <f aca="false">IFERROR(ISNUMBER(SEARCH("Conocer",$R975))/(ISNUMBER(SEARCH("Conocer",$R975))+ISNUMBER(SEARCH("Aplicar",$R975))+ISNUMBER(SEARCH("Razonar",$R975))),0)</f>
        <v>0</v>
      </c>
      <c r="T975" s="28" t="n">
        <f aca="false">IFERROR(ISNUMBER(SEARCH("Aplicar",$R975))/(ISNUMBER(SEARCH("Conocer",$R975))+ISNUMBER(SEARCH("Aplicar",$R975))+ISNUMBER(SEARCH("Razonar",$R975))),0)</f>
        <v>0.5</v>
      </c>
      <c r="U975" s="28" t="n">
        <f aca="false">IFERROR(ISNUMBER(SEARCH("Razonar",$R975))/(ISNUMBER(SEARCH("Conocer",$R975))+ISNUMBER(SEARCH("Aplicar",$R975))+ISNUMBER(SEARCH("Razonar",$R975))),0)</f>
        <v>0.5</v>
      </c>
      <c r="V975" s="8" t="s">
        <v>383</v>
      </c>
      <c r="W975" s="8" t="s">
        <v>4173</v>
      </c>
    </row>
    <row r="976" customFormat="false" ht="15" hidden="false" customHeight="false" outlineLevel="0" collapsed="false">
      <c r="A976" s="8" t="s">
        <v>4473</v>
      </c>
      <c r="B976" s="8" t="n">
        <v>10</v>
      </c>
      <c r="C976" s="8" t="s">
        <v>90</v>
      </c>
      <c r="D976" s="8" t="s">
        <v>4164</v>
      </c>
      <c r="E976" s="8" t="s">
        <v>4165</v>
      </c>
      <c r="F976" s="8" t="n">
        <v>85</v>
      </c>
      <c r="G976" s="8" t="s">
        <v>4474</v>
      </c>
      <c r="H976" s="8" t="s">
        <v>4475</v>
      </c>
      <c r="I976" s="27" t="s">
        <v>4476</v>
      </c>
      <c r="J976" s="8" t="s">
        <v>4169</v>
      </c>
      <c r="K976" s="8" t="s">
        <v>4170</v>
      </c>
      <c r="L976" s="8"/>
      <c r="M976" s="8" t="str">
        <f aca="false">IF(K976="FUERA","Fuera del marco",IF(K976="N/A","Sin marco",IFERROR(INDEX(Catalogo_TIMSS!$C$5:$C$105,MATCH(K976,Catalogo_TIMSS!$A$5:$A$105,0)),"Pendiente de clasificar")))</f>
        <v>Sin marco</v>
      </c>
      <c r="N976" s="8" t="str">
        <f aca="false">IF(K976="FUERA","Fuera del marco",IF(K976="N/A","Sin marco",IFERROR(INDEX(Catalogo_TIMSS!$F$5:$F$105,MATCH(K976,Catalogo_TIMSS!$A$5:$A$105,0)),"Pendiente de clasificar")))</f>
        <v>Sin marco</v>
      </c>
      <c r="O976" s="8" t="str">
        <f aca="false">IF(L976="","",IFERROR(INDEX(Catalogo_TIMSS!$C$5:$C$105,MATCH(L976,Catalogo_TIMSS!$A$5:$A$105,0)),"?"))</f>
        <v/>
      </c>
      <c r="P976" s="8" t="s">
        <v>4170</v>
      </c>
      <c r="Q976" s="27" t="s">
        <v>4171</v>
      </c>
      <c r="R976" s="27" t="s">
        <v>4477</v>
      </c>
      <c r="S976" s="28" t="n">
        <f aca="false">IFERROR(ISNUMBER(SEARCH("Conocer",$R976))/(ISNUMBER(SEARCH("Conocer",$R976))+ISNUMBER(SEARCH("Aplicar",$R976))+ISNUMBER(SEARCH("Razonar",$R976))),0)</f>
        <v>0</v>
      </c>
      <c r="T976" s="28" t="n">
        <f aca="false">IFERROR(ISNUMBER(SEARCH("Aplicar",$R976))/(ISNUMBER(SEARCH("Conocer",$R976))+ISNUMBER(SEARCH("Aplicar",$R976))+ISNUMBER(SEARCH("Razonar",$R976))),0)</f>
        <v>0.5</v>
      </c>
      <c r="U976" s="28" t="n">
        <f aca="false">IFERROR(ISNUMBER(SEARCH("Razonar",$R976))/(ISNUMBER(SEARCH("Conocer",$R976))+ISNUMBER(SEARCH("Aplicar",$R976))+ISNUMBER(SEARCH("Razonar",$R976))),0)</f>
        <v>0.5</v>
      </c>
      <c r="V976" s="8" t="s">
        <v>383</v>
      </c>
      <c r="W976" s="8" t="s">
        <v>4173</v>
      </c>
    </row>
    <row r="977" customFormat="false" ht="15" hidden="false" customHeight="false" outlineLevel="0" collapsed="false">
      <c r="A977" s="8" t="s">
        <v>4478</v>
      </c>
      <c r="B977" s="8" t="n">
        <v>10</v>
      </c>
      <c r="C977" s="8" t="s">
        <v>90</v>
      </c>
      <c r="D977" s="8" t="s">
        <v>4164</v>
      </c>
      <c r="E977" s="8" t="s">
        <v>4165</v>
      </c>
      <c r="F977" s="8" t="n">
        <v>86</v>
      </c>
      <c r="G977" s="8" t="s">
        <v>4474</v>
      </c>
      <c r="H977" s="8" t="s">
        <v>4475</v>
      </c>
      <c r="I977" s="27" t="s">
        <v>4479</v>
      </c>
      <c r="J977" s="8" t="s">
        <v>4169</v>
      </c>
      <c r="K977" s="8" t="s">
        <v>4170</v>
      </c>
      <c r="L977" s="8"/>
      <c r="M977" s="8" t="str">
        <f aca="false">IF(K977="FUERA","Fuera del marco",IF(K977="N/A","Sin marco",IFERROR(INDEX(Catalogo_TIMSS!$C$5:$C$105,MATCH(K977,Catalogo_TIMSS!$A$5:$A$105,0)),"Pendiente de clasificar")))</f>
        <v>Sin marco</v>
      </c>
      <c r="N977" s="8" t="str">
        <f aca="false">IF(K977="FUERA","Fuera del marco",IF(K977="N/A","Sin marco",IFERROR(INDEX(Catalogo_TIMSS!$F$5:$F$105,MATCH(K977,Catalogo_TIMSS!$A$5:$A$105,0)),"Pendiente de clasificar")))</f>
        <v>Sin marco</v>
      </c>
      <c r="O977" s="8" t="str">
        <f aca="false">IF(L977="","",IFERROR(INDEX(Catalogo_TIMSS!$C$5:$C$105,MATCH(L977,Catalogo_TIMSS!$A$5:$A$105,0)),"?"))</f>
        <v/>
      </c>
      <c r="P977" s="8" t="s">
        <v>4170</v>
      </c>
      <c r="Q977" s="27" t="s">
        <v>4171</v>
      </c>
      <c r="R977" s="27" t="s">
        <v>4480</v>
      </c>
      <c r="S977" s="28" t="n">
        <f aca="false">IFERROR(ISNUMBER(SEARCH("Conocer",$R977))/(ISNUMBER(SEARCH("Conocer",$R977))+ISNUMBER(SEARCH("Aplicar",$R977))+ISNUMBER(SEARCH("Razonar",$R977))),0)</f>
        <v>0</v>
      </c>
      <c r="T977" s="28" t="n">
        <f aca="false">IFERROR(ISNUMBER(SEARCH("Aplicar",$R977))/(ISNUMBER(SEARCH("Conocer",$R977))+ISNUMBER(SEARCH("Aplicar",$R977))+ISNUMBER(SEARCH("Razonar",$R977))),0)</f>
        <v>0.5</v>
      </c>
      <c r="U977" s="28" t="n">
        <f aca="false">IFERROR(ISNUMBER(SEARCH("Razonar",$R977))/(ISNUMBER(SEARCH("Conocer",$R977))+ISNUMBER(SEARCH("Aplicar",$R977))+ISNUMBER(SEARCH("Razonar",$R977))),0)</f>
        <v>0.5</v>
      </c>
      <c r="V977" s="8" t="s">
        <v>383</v>
      </c>
      <c r="W977" s="8" t="s">
        <v>4173</v>
      </c>
    </row>
    <row r="978" customFormat="false" ht="15" hidden="false" customHeight="false" outlineLevel="0" collapsed="false">
      <c r="A978" s="8" t="s">
        <v>4481</v>
      </c>
      <c r="B978" s="8" t="n">
        <v>10</v>
      </c>
      <c r="C978" s="8" t="s">
        <v>90</v>
      </c>
      <c r="D978" s="8" t="s">
        <v>4164</v>
      </c>
      <c r="E978" s="8" t="s">
        <v>4165</v>
      </c>
      <c r="F978" s="8" t="n">
        <v>87</v>
      </c>
      <c r="G978" s="8" t="s">
        <v>4474</v>
      </c>
      <c r="H978" s="8" t="s">
        <v>4475</v>
      </c>
      <c r="I978" s="27" t="s">
        <v>4482</v>
      </c>
      <c r="J978" s="8" t="s">
        <v>4169</v>
      </c>
      <c r="K978" s="8" t="s">
        <v>4170</v>
      </c>
      <c r="L978" s="8"/>
      <c r="M978" s="8" t="str">
        <f aca="false">IF(K978="FUERA","Fuera del marco",IF(K978="N/A","Sin marco",IFERROR(INDEX(Catalogo_TIMSS!$C$5:$C$105,MATCH(K978,Catalogo_TIMSS!$A$5:$A$105,0)),"Pendiente de clasificar")))</f>
        <v>Sin marco</v>
      </c>
      <c r="N978" s="8" t="str">
        <f aca="false">IF(K978="FUERA","Fuera del marco",IF(K978="N/A","Sin marco",IFERROR(INDEX(Catalogo_TIMSS!$F$5:$F$105,MATCH(K978,Catalogo_TIMSS!$A$5:$A$105,0)),"Pendiente de clasificar")))</f>
        <v>Sin marco</v>
      </c>
      <c r="O978" s="8" t="str">
        <f aca="false">IF(L978="","",IFERROR(INDEX(Catalogo_TIMSS!$C$5:$C$105,MATCH(L978,Catalogo_TIMSS!$A$5:$A$105,0)),"?"))</f>
        <v/>
      </c>
      <c r="P978" s="8" t="s">
        <v>4170</v>
      </c>
      <c r="Q978" s="27" t="s">
        <v>4171</v>
      </c>
      <c r="R978" s="27" t="s">
        <v>4483</v>
      </c>
      <c r="S978" s="28" t="n">
        <f aca="false">IFERROR(ISNUMBER(SEARCH("Conocer",$R978))/(ISNUMBER(SEARCH("Conocer",$R978))+ISNUMBER(SEARCH("Aplicar",$R978))+ISNUMBER(SEARCH("Razonar",$R978))),0)</f>
        <v>0</v>
      </c>
      <c r="T978" s="28" t="n">
        <f aca="false">IFERROR(ISNUMBER(SEARCH("Aplicar",$R978))/(ISNUMBER(SEARCH("Conocer",$R978))+ISNUMBER(SEARCH("Aplicar",$R978))+ISNUMBER(SEARCH("Razonar",$R978))),0)</f>
        <v>0.5</v>
      </c>
      <c r="U978" s="28" t="n">
        <f aca="false">IFERROR(ISNUMBER(SEARCH("Razonar",$R978))/(ISNUMBER(SEARCH("Conocer",$R978))+ISNUMBER(SEARCH("Aplicar",$R978))+ISNUMBER(SEARCH("Razonar",$R978))),0)</f>
        <v>0.5</v>
      </c>
      <c r="V978" s="8" t="s">
        <v>383</v>
      </c>
      <c r="W978" s="8" t="s">
        <v>4173</v>
      </c>
    </row>
    <row r="979" customFormat="false" ht="15" hidden="false" customHeight="false" outlineLevel="0" collapsed="false">
      <c r="A979" s="8" t="s">
        <v>4484</v>
      </c>
      <c r="B979" s="8" t="n">
        <v>10</v>
      </c>
      <c r="C979" s="8" t="s">
        <v>90</v>
      </c>
      <c r="D979" s="8" t="s">
        <v>4164</v>
      </c>
      <c r="E979" s="8" t="s">
        <v>4165</v>
      </c>
      <c r="F979" s="8" t="n">
        <v>88</v>
      </c>
      <c r="G979" s="8" t="s">
        <v>4474</v>
      </c>
      <c r="H979" s="8" t="s">
        <v>4485</v>
      </c>
      <c r="I979" s="27" t="s">
        <v>4486</v>
      </c>
      <c r="J979" s="8" t="s">
        <v>4169</v>
      </c>
      <c r="K979" s="8" t="s">
        <v>4170</v>
      </c>
      <c r="L979" s="8"/>
      <c r="M979" s="8" t="str">
        <f aca="false">IF(K979="FUERA","Fuera del marco",IF(K979="N/A","Sin marco",IFERROR(INDEX(Catalogo_TIMSS!$C$5:$C$105,MATCH(K979,Catalogo_TIMSS!$A$5:$A$105,0)),"Pendiente de clasificar")))</f>
        <v>Sin marco</v>
      </c>
      <c r="N979" s="8" t="str">
        <f aca="false">IF(K979="FUERA","Fuera del marco",IF(K979="N/A","Sin marco",IFERROR(INDEX(Catalogo_TIMSS!$F$5:$F$105,MATCH(K979,Catalogo_TIMSS!$A$5:$A$105,0)),"Pendiente de clasificar")))</f>
        <v>Sin marco</v>
      </c>
      <c r="O979" s="8" t="str">
        <f aca="false">IF(L979="","",IFERROR(INDEX(Catalogo_TIMSS!$C$5:$C$105,MATCH(L979,Catalogo_TIMSS!$A$5:$A$105,0)),"?"))</f>
        <v/>
      </c>
      <c r="P979" s="8" t="s">
        <v>4170</v>
      </c>
      <c r="Q979" s="27" t="s">
        <v>4171</v>
      </c>
      <c r="R979" s="27" t="s">
        <v>4487</v>
      </c>
      <c r="S979" s="28" t="n">
        <f aca="false">IFERROR(ISNUMBER(SEARCH("Conocer",$R979))/(ISNUMBER(SEARCH("Conocer",$R979))+ISNUMBER(SEARCH("Aplicar",$R979))+ISNUMBER(SEARCH("Razonar",$R979))),0)</f>
        <v>0.5</v>
      </c>
      <c r="T979" s="28" t="n">
        <f aca="false">IFERROR(ISNUMBER(SEARCH("Aplicar",$R979))/(ISNUMBER(SEARCH("Conocer",$R979))+ISNUMBER(SEARCH("Aplicar",$R979))+ISNUMBER(SEARCH("Razonar",$R979))),0)</f>
        <v>0</v>
      </c>
      <c r="U979" s="28" t="n">
        <f aca="false">IFERROR(ISNUMBER(SEARCH("Razonar",$R979))/(ISNUMBER(SEARCH("Conocer",$R979))+ISNUMBER(SEARCH("Aplicar",$R979))+ISNUMBER(SEARCH("Razonar",$R979))),0)</f>
        <v>0.5</v>
      </c>
      <c r="V979" s="8" t="s">
        <v>383</v>
      </c>
      <c r="W979" s="8" t="s">
        <v>4173</v>
      </c>
    </row>
    <row r="980" customFormat="false" ht="15" hidden="false" customHeight="false" outlineLevel="0" collapsed="false">
      <c r="A980" s="8" t="s">
        <v>4488</v>
      </c>
      <c r="B980" s="8" t="n">
        <v>10</v>
      </c>
      <c r="C980" s="8" t="s">
        <v>90</v>
      </c>
      <c r="D980" s="8" t="s">
        <v>4164</v>
      </c>
      <c r="E980" s="8" t="s">
        <v>4165</v>
      </c>
      <c r="F980" s="8" t="n">
        <v>89</v>
      </c>
      <c r="G980" s="8" t="s">
        <v>4474</v>
      </c>
      <c r="H980" s="8" t="s">
        <v>4485</v>
      </c>
      <c r="I980" s="27" t="s">
        <v>4489</v>
      </c>
      <c r="J980" s="8" t="s">
        <v>4169</v>
      </c>
      <c r="K980" s="8" t="s">
        <v>4170</v>
      </c>
      <c r="L980" s="8"/>
      <c r="M980" s="8" t="str">
        <f aca="false">IF(K980="FUERA","Fuera del marco",IF(K980="N/A","Sin marco",IFERROR(INDEX(Catalogo_TIMSS!$C$5:$C$105,MATCH(K980,Catalogo_TIMSS!$A$5:$A$105,0)),"Pendiente de clasificar")))</f>
        <v>Sin marco</v>
      </c>
      <c r="N980" s="8" t="str">
        <f aca="false">IF(K980="FUERA","Fuera del marco",IF(K980="N/A","Sin marco",IFERROR(INDEX(Catalogo_TIMSS!$F$5:$F$105,MATCH(K980,Catalogo_TIMSS!$A$5:$A$105,0)),"Pendiente de clasificar")))</f>
        <v>Sin marco</v>
      </c>
      <c r="O980" s="8" t="str">
        <f aca="false">IF(L980="","",IFERROR(INDEX(Catalogo_TIMSS!$C$5:$C$105,MATCH(L980,Catalogo_TIMSS!$A$5:$A$105,0)),"?"))</f>
        <v/>
      </c>
      <c r="P980" s="8" t="s">
        <v>4170</v>
      </c>
      <c r="Q980" s="27" t="s">
        <v>4171</v>
      </c>
      <c r="R980" s="27" t="s">
        <v>4490</v>
      </c>
      <c r="S980" s="28" t="n">
        <f aca="false">IFERROR(ISNUMBER(SEARCH("Conocer",$R980))/(ISNUMBER(SEARCH("Conocer",$R980))+ISNUMBER(SEARCH("Aplicar",$R980))+ISNUMBER(SEARCH("Razonar",$R980))),0)</f>
        <v>0.333333333333333</v>
      </c>
      <c r="T980" s="28" t="n">
        <f aca="false">IFERROR(ISNUMBER(SEARCH("Aplicar",$R980))/(ISNUMBER(SEARCH("Conocer",$R980))+ISNUMBER(SEARCH("Aplicar",$R980))+ISNUMBER(SEARCH("Razonar",$R980))),0)</f>
        <v>0.333333333333333</v>
      </c>
      <c r="U980" s="28" t="n">
        <f aca="false">IFERROR(ISNUMBER(SEARCH("Razonar",$R980))/(ISNUMBER(SEARCH("Conocer",$R980))+ISNUMBER(SEARCH("Aplicar",$R980))+ISNUMBER(SEARCH("Razonar",$R980))),0)</f>
        <v>0.333333333333333</v>
      </c>
      <c r="V980" s="8" t="s">
        <v>383</v>
      </c>
      <c r="W980" s="8" t="s">
        <v>4173</v>
      </c>
    </row>
    <row r="981" customFormat="false" ht="15" hidden="false" customHeight="false" outlineLevel="0" collapsed="false">
      <c r="A981" s="8" t="s">
        <v>4491</v>
      </c>
      <c r="B981" s="8" t="n">
        <v>10</v>
      </c>
      <c r="C981" s="8" t="s">
        <v>90</v>
      </c>
      <c r="D981" s="8" t="s">
        <v>4164</v>
      </c>
      <c r="E981" s="8" t="s">
        <v>4165</v>
      </c>
      <c r="F981" s="8" t="n">
        <v>90</v>
      </c>
      <c r="G981" s="8" t="s">
        <v>4474</v>
      </c>
      <c r="H981" s="8" t="s">
        <v>4485</v>
      </c>
      <c r="I981" s="27" t="s">
        <v>4492</v>
      </c>
      <c r="J981" s="8" t="s">
        <v>4169</v>
      </c>
      <c r="K981" s="8" t="s">
        <v>4170</v>
      </c>
      <c r="L981" s="8"/>
      <c r="M981" s="8" t="str">
        <f aca="false">IF(K981="FUERA","Fuera del marco",IF(K981="N/A","Sin marco",IFERROR(INDEX(Catalogo_TIMSS!$C$5:$C$105,MATCH(K981,Catalogo_TIMSS!$A$5:$A$105,0)),"Pendiente de clasificar")))</f>
        <v>Sin marco</v>
      </c>
      <c r="N981" s="8" t="str">
        <f aca="false">IF(K981="FUERA","Fuera del marco",IF(K981="N/A","Sin marco",IFERROR(INDEX(Catalogo_TIMSS!$F$5:$F$105,MATCH(K981,Catalogo_TIMSS!$A$5:$A$105,0)),"Pendiente de clasificar")))</f>
        <v>Sin marco</v>
      </c>
      <c r="O981" s="8" t="str">
        <f aca="false">IF(L981="","",IFERROR(INDEX(Catalogo_TIMSS!$C$5:$C$105,MATCH(L981,Catalogo_TIMSS!$A$5:$A$105,0)),"?"))</f>
        <v/>
      </c>
      <c r="P981" s="8" t="s">
        <v>4170</v>
      </c>
      <c r="Q981" s="27" t="s">
        <v>4171</v>
      </c>
      <c r="R981" s="27" t="s">
        <v>4493</v>
      </c>
      <c r="S981" s="28" t="n">
        <f aca="false">IFERROR(ISNUMBER(SEARCH("Conocer",$R981))/(ISNUMBER(SEARCH("Conocer",$R981))+ISNUMBER(SEARCH("Aplicar",$R981))+ISNUMBER(SEARCH("Razonar",$R981))),0)</f>
        <v>0</v>
      </c>
      <c r="T981" s="28" t="n">
        <f aca="false">IFERROR(ISNUMBER(SEARCH("Aplicar",$R981))/(ISNUMBER(SEARCH("Conocer",$R981))+ISNUMBER(SEARCH("Aplicar",$R981))+ISNUMBER(SEARCH("Razonar",$R981))),0)</f>
        <v>0.5</v>
      </c>
      <c r="U981" s="28" t="n">
        <f aca="false">IFERROR(ISNUMBER(SEARCH("Razonar",$R981))/(ISNUMBER(SEARCH("Conocer",$R981))+ISNUMBER(SEARCH("Aplicar",$R981))+ISNUMBER(SEARCH("Razonar",$R981))),0)</f>
        <v>0.5</v>
      </c>
      <c r="V981" s="8" t="s">
        <v>383</v>
      </c>
      <c r="W981" s="8" t="s">
        <v>4173</v>
      </c>
    </row>
    <row r="982" customFormat="false" ht="15" hidden="false" customHeight="false" outlineLevel="0" collapsed="false">
      <c r="A982" s="8" t="s">
        <v>4494</v>
      </c>
      <c r="B982" s="8" t="n">
        <v>10</v>
      </c>
      <c r="C982" s="8" t="s">
        <v>90</v>
      </c>
      <c r="D982" s="8" t="s">
        <v>4164</v>
      </c>
      <c r="E982" s="8" t="s">
        <v>4165</v>
      </c>
      <c r="F982" s="8" t="n">
        <v>91</v>
      </c>
      <c r="G982" s="8" t="s">
        <v>4474</v>
      </c>
      <c r="H982" s="8" t="s">
        <v>4485</v>
      </c>
      <c r="I982" s="27" t="s">
        <v>4495</v>
      </c>
      <c r="J982" s="8" t="s">
        <v>4169</v>
      </c>
      <c r="K982" s="8" t="s">
        <v>4170</v>
      </c>
      <c r="L982" s="8"/>
      <c r="M982" s="8" t="str">
        <f aca="false">IF(K982="FUERA","Fuera del marco",IF(K982="N/A","Sin marco",IFERROR(INDEX(Catalogo_TIMSS!$C$5:$C$105,MATCH(K982,Catalogo_TIMSS!$A$5:$A$105,0)),"Pendiente de clasificar")))</f>
        <v>Sin marco</v>
      </c>
      <c r="N982" s="8" t="str">
        <f aca="false">IF(K982="FUERA","Fuera del marco",IF(K982="N/A","Sin marco",IFERROR(INDEX(Catalogo_TIMSS!$F$5:$F$105,MATCH(K982,Catalogo_TIMSS!$A$5:$A$105,0)),"Pendiente de clasificar")))</f>
        <v>Sin marco</v>
      </c>
      <c r="O982" s="8" t="str">
        <f aca="false">IF(L982="","",IFERROR(INDEX(Catalogo_TIMSS!$C$5:$C$105,MATCH(L982,Catalogo_TIMSS!$A$5:$A$105,0)),"?"))</f>
        <v/>
      </c>
      <c r="P982" s="8" t="s">
        <v>4170</v>
      </c>
      <c r="Q982" s="27" t="s">
        <v>4171</v>
      </c>
      <c r="R982" s="27" t="s">
        <v>4496</v>
      </c>
      <c r="S982" s="28" t="n">
        <f aca="false">IFERROR(ISNUMBER(SEARCH("Conocer",$R982))/(ISNUMBER(SEARCH("Conocer",$R982))+ISNUMBER(SEARCH("Aplicar",$R982))+ISNUMBER(SEARCH("Razonar",$R982))),0)</f>
        <v>0</v>
      </c>
      <c r="T982" s="28" t="n">
        <f aca="false">IFERROR(ISNUMBER(SEARCH("Aplicar",$R982))/(ISNUMBER(SEARCH("Conocer",$R982))+ISNUMBER(SEARCH("Aplicar",$R982))+ISNUMBER(SEARCH("Razonar",$R982))),0)</f>
        <v>0.5</v>
      </c>
      <c r="U982" s="28" t="n">
        <f aca="false">IFERROR(ISNUMBER(SEARCH("Razonar",$R982))/(ISNUMBER(SEARCH("Conocer",$R982))+ISNUMBER(SEARCH("Aplicar",$R982))+ISNUMBER(SEARCH("Razonar",$R982))),0)</f>
        <v>0.5</v>
      </c>
      <c r="V982" s="8" t="s">
        <v>383</v>
      </c>
      <c r="W982" s="8" t="s">
        <v>4173</v>
      </c>
    </row>
    <row r="983" customFormat="false" ht="15" hidden="false" customHeight="false" outlineLevel="0" collapsed="false">
      <c r="A983" s="8" t="s">
        <v>4497</v>
      </c>
      <c r="B983" s="8" t="n">
        <v>10</v>
      </c>
      <c r="C983" s="8" t="s">
        <v>90</v>
      </c>
      <c r="D983" s="8" t="s">
        <v>4164</v>
      </c>
      <c r="E983" s="8" t="s">
        <v>4165</v>
      </c>
      <c r="F983" s="8" t="n">
        <v>92</v>
      </c>
      <c r="G983" s="8" t="s">
        <v>4498</v>
      </c>
      <c r="H983" s="8" t="s">
        <v>4499</v>
      </c>
      <c r="I983" s="27" t="s">
        <v>4500</v>
      </c>
      <c r="J983" s="8" t="s">
        <v>4169</v>
      </c>
      <c r="K983" s="8" t="s">
        <v>4170</v>
      </c>
      <c r="L983" s="8"/>
      <c r="M983" s="8" t="str">
        <f aca="false">IF(K983="FUERA","Fuera del marco",IF(K983="N/A","Sin marco",IFERROR(INDEX(Catalogo_TIMSS!$C$5:$C$105,MATCH(K983,Catalogo_TIMSS!$A$5:$A$105,0)),"Pendiente de clasificar")))</f>
        <v>Sin marco</v>
      </c>
      <c r="N983" s="8" t="str">
        <f aca="false">IF(K983="FUERA","Fuera del marco",IF(K983="N/A","Sin marco",IFERROR(INDEX(Catalogo_TIMSS!$F$5:$F$105,MATCH(K983,Catalogo_TIMSS!$A$5:$A$105,0)),"Pendiente de clasificar")))</f>
        <v>Sin marco</v>
      </c>
      <c r="O983" s="8" t="str">
        <f aca="false">IF(L983="","",IFERROR(INDEX(Catalogo_TIMSS!$C$5:$C$105,MATCH(L983,Catalogo_TIMSS!$A$5:$A$105,0)),"?"))</f>
        <v/>
      </c>
      <c r="P983" s="8" t="s">
        <v>4170</v>
      </c>
      <c r="Q983" s="27" t="s">
        <v>4171</v>
      </c>
      <c r="R983" s="27" t="s">
        <v>4501</v>
      </c>
      <c r="S983" s="28" t="n">
        <f aca="false">IFERROR(ISNUMBER(SEARCH("Conocer",$R983))/(ISNUMBER(SEARCH("Conocer",$R983))+ISNUMBER(SEARCH("Aplicar",$R983))+ISNUMBER(SEARCH("Razonar",$R983))),0)</f>
        <v>0</v>
      </c>
      <c r="T983" s="28" t="n">
        <f aca="false">IFERROR(ISNUMBER(SEARCH("Aplicar",$R983))/(ISNUMBER(SEARCH("Conocer",$R983))+ISNUMBER(SEARCH("Aplicar",$R983))+ISNUMBER(SEARCH("Razonar",$R983))),0)</f>
        <v>0.5</v>
      </c>
      <c r="U983" s="28" t="n">
        <f aca="false">IFERROR(ISNUMBER(SEARCH("Razonar",$R983))/(ISNUMBER(SEARCH("Conocer",$R983))+ISNUMBER(SEARCH("Aplicar",$R983))+ISNUMBER(SEARCH("Razonar",$R983))),0)</f>
        <v>0.5</v>
      </c>
      <c r="V983" s="8" t="s">
        <v>383</v>
      </c>
      <c r="W983" s="8" t="s">
        <v>4173</v>
      </c>
    </row>
    <row r="984" customFormat="false" ht="15" hidden="false" customHeight="false" outlineLevel="0" collapsed="false">
      <c r="A984" s="8" t="s">
        <v>4502</v>
      </c>
      <c r="B984" s="8" t="n">
        <v>10</v>
      </c>
      <c r="C984" s="8" t="s">
        <v>90</v>
      </c>
      <c r="D984" s="8" t="s">
        <v>4164</v>
      </c>
      <c r="E984" s="8" t="s">
        <v>4165</v>
      </c>
      <c r="F984" s="8" t="n">
        <v>93</v>
      </c>
      <c r="G984" s="8" t="s">
        <v>4498</v>
      </c>
      <c r="H984" s="8" t="s">
        <v>4499</v>
      </c>
      <c r="I984" s="27" t="s">
        <v>4503</v>
      </c>
      <c r="J984" s="8" t="s">
        <v>4169</v>
      </c>
      <c r="K984" s="8" t="s">
        <v>4170</v>
      </c>
      <c r="L984" s="8"/>
      <c r="M984" s="8" t="str">
        <f aca="false">IF(K984="FUERA","Fuera del marco",IF(K984="N/A","Sin marco",IFERROR(INDEX(Catalogo_TIMSS!$C$5:$C$105,MATCH(K984,Catalogo_TIMSS!$A$5:$A$105,0)),"Pendiente de clasificar")))</f>
        <v>Sin marco</v>
      </c>
      <c r="N984" s="8" t="str">
        <f aca="false">IF(K984="FUERA","Fuera del marco",IF(K984="N/A","Sin marco",IFERROR(INDEX(Catalogo_TIMSS!$F$5:$F$105,MATCH(K984,Catalogo_TIMSS!$A$5:$A$105,0)),"Pendiente de clasificar")))</f>
        <v>Sin marco</v>
      </c>
      <c r="O984" s="8" t="str">
        <f aca="false">IF(L984="","",IFERROR(INDEX(Catalogo_TIMSS!$C$5:$C$105,MATCH(L984,Catalogo_TIMSS!$A$5:$A$105,0)),"?"))</f>
        <v/>
      </c>
      <c r="P984" s="8" t="s">
        <v>4170</v>
      </c>
      <c r="Q984" s="27" t="s">
        <v>4171</v>
      </c>
      <c r="R984" s="27" t="s">
        <v>4504</v>
      </c>
      <c r="S984" s="28" t="n">
        <f aca="false">IFERROR(ISNUMBER(SEARCH("Conocer",$R984))/(ISNUMBER(SEARCH("Conocer",$R984))+ISNUMBER(SEARCH("Aplicar",$R984))+ISNUMBER(SEARCH("Razonar",$R984))),0)</f>
        <v>0</v>
      </c>
      <c r="T984" s="28" t="n">
        <f aca="false">IFERROR(ISNUMBER(SEARCH("Aplicar",$R984))/(ISNUMBER(SEARCH("Conocer",$R984))+ISNUMBER(SEARCH("Aplicar",$R984))+ISNUMBER(SEARCH("Razonar",$R984))),0)</f>
        <v>0.5</v>
      </c>
      <c r="U984" s="28" t="n">
        <f aca="false">IFERROR(ISNUMBER(SEARCH("Razonar",$R984))/(ISNUMBER(SEARCH("Conocer",$R984))+ISNUMBER(SEARCH("Aplicar",$R984))+ISNUMBER(SEARCH("Razonar",$R984))),0)</f>
        <v>0.5</v>
      </c>
      <c r="V984" s="8" t="s">
        <v>383</v>
      </c>
      <c r="W984" s="8" t="s">
        <v>4173</v>
      </c>
    </row>
    <row r="985" customFormat="false" ht="15" hidden="false" customHeight="false" outlineLevel="0" collapsed="false">
      <c r="A985" s="8" t="s">
        <v>4505</v>
      </c>
      <c r="B985" s="8" t="n">
        <v>10</v>
      </c>
      <c r="C985" s="8" t="s">
        <v>90</v>
      </c>
      <c r="D985" s="8" t="s">
        <v>4164</v>
      </c>
      <c r="E985" s="8" t="s">
        <v>4165</v>
      </c>
      <c r="F985" s="8" t="n">
        <v>94</v>
      </c>
      <c r="G985" s="8" t="s">
        <v>4498</v>
      </c>
      <c r="H985" s="8" t="s">
        <v>4499</v>
      </c>
      <c r="I985" s="27" t="s">
        <v>4506</v>
      </c>
      <c r="J985" s="8" t="s">
        <v>4169</v>
      </c>
      <c r="K985" s="8" t="s">
        <v>4170</v>
      </c>
      <c r="L985" s="8"/>
      <c r="M985" s="8" t="str">
        <f aca="false">IF(K985="FUERA","Fuera del marco",IF(K985="N/A","Sin marco",IFERROR(INDEX(Catalogo_TIMSS!$C$5:$C$105,MATCH(K985,Catalogo_TIMSS!$A$5:$A$105,0)),"Pendiente de clasificar")))</f>
        <v>Sin marco</v>
      </c>
      <c r="N985" s="8" t="str">
        <f aca="false">IF(K985="FUERA","Fuera del marco",IF(K985="N/A","Sin marco",IFERROR(INDEX(Catalogo_TIMSS!$F$5:$F$105,MATCH(K985,Catalogo_TIMSS!$A$5:$A$105,0)),"Pendiente de clasificar")))</f>
        <v>Sin marco</v>
      </c>
      <c r="O985" s="8" t="str">
        <f aca="false">IF(L985="","",IFERROR(INDEX(Catalogo_TIMSS!$C$5:$C$105,MATCH(L985,Catalogo_TIMSS!$A$5:$A$105,0)),"?"))</f>
        <v/>
      </c>
      <c r="P985" s="8" t="s">
        <v>4170</v>
      </c>
      <c r="Q985" s="27" t="s">
        <v>4171</v>
      </c>
      <c r="R985" s="27" t="s">
        <v>4507</v>
      </c>
      <c r="S985" s="28" t="n">
        <f aca="false">IFERROR(ISNUMBER(SEARCH("Conocer",$R985))/(ISNUMBER(SEARCH("Conocer",$R985))+ISNUMBER(SEARCH("Aplicar",$R985))+ISNUMBER(SEARCH("Razonar",$R985))),0)</f>
        <v>0</v>
      </c>
      <c r="T985" s="28" t="n">
        <f aca="false">IFERROR(ISNUMBER(SEARCH("Aplicar",$R985))/(ISNUMBER(SEARCH("Conocer",$R985))+ISNUMBER(SEARCH("Aplicar",$R985))+ISNUMBER(SEARCH("Razonar",$R985))),0)</f>
        <v>0.5</v>
      </c>
      <c r="U985" s="28" t="n">
        <f aca="false">IFERROR(ISNUMBER(SEARCH("Razonar",$R985))/(ISNUMBER(SEARCH("Conocer",$R985))+ISNUMBER(SEARCH("Aplicar",$R985))+ISNUMBER(SEARCH("Razonar",$R985))),0)</f>
        <v>0.5</v>
      </c>
      <c r="V985" s="8" t="s">
        <v>383</v>
      </c>
      <c r="W985" s="8" t="s">
        <v>4173</v>
      </c>
    </row>
    <row r="986" customFormat="false" ht="15" hidden="false" customHeight="false" outlineLevel="0" collapsed="false">
      <c r="A986" s="8" t="s">
        <v>4508</v>
      </c>
      <c r="B986" s="8" t="n">
        <v>10</v>
      </c>
      <c r="C986" s="8" t="s">
        <v>90</v>
      </c>
      <c r="D986" s="8" t="s">
        <v>4164</v>
      </c>
      <c r="E986" s="8" t="s">
        <v>4165</v>
      </c>
      <c r="F986" s="8" t="n">
        <v>95</v>
      </c>
      <c r="G986" s="8" t="s">
        <v>4498</v>
      </c>
      <c r="H986" s="8" t="s">
        <v>4509</v>
      </c>
      <c r="I986" s="27" t="s">
        <v>4510</v>
      </c>
      <c r="J986" s="8" t="s">
        <v>4169</v>
      </c>
      <c r="K986" s="8" t="s">
        <v>4170</v>
      </c>
      <c r="L986" s="8"/>
      <c r="M986" s="8" t="str">
        <f aca="false">IF(K986="FUERA","Fuera del marco",IF(K986="N/A","Sin marco",IFERROR(INDEX(Catalogo_TIMSS!$C$5:$C$105,MATCH(K986,Catalogo_TIMSS!$A$5:$A$105,0)),"Pendiente de clasificar")))</f>
        <v>Sin marco</v>
      </c>
      <c r="N986" s="8" t="str">
        <f aca="false">IF(K986="FUERA","Fuera del marco",IF(K986="N/A","Sin marco",IFERROR(INDEX(Catalogo_TIMSS!$F$5:$F$105,MATCH(K986,Catalogo_TIMSS!$A$5:$A$105,0)),"Pendiente de clasificar")))</f>
        <v>Sin marco</v>
      </c>
      <c r="O986" s="8" t="str">
        <f aca="false">IF(L986="","",IFERROR(INDEX(Catalogo_TIMSS!$C$5:$C$105,MATCH(L986,Catalogo_TIMSS!$A$5:$A$105,0)),"?"))</f>
        <v/>
      </c>
      <c r="P986" s="8" t="s">
        <v>4170</v>
      </c>
      <c r="Q986" s="27" t="s">
        <v>4171</v>
      </c>
      <c r="R986" s="27" t="s">
        <v>4511</v>
      </c>
      <c r="S986" s="28" t="n">
        <f aca="false">IFERROR(ISNUMBER(SEARCH("Conocer",$R986))/(ISNUMBER(SEARCH("Conocer",$R986))+ISNUMBER(SEARCH("Aplicar",$R986))+ISNUMBER(SEARCH("Razonar",$R986))),0)</f>
        <v>0.333333333333333</v>
      </c>
      <c r="T986" s="28" t="n">
        <f aca="false">IFERROR(ISNUMBER(SEARCH("Aplicar",$R986))/(ISNUMBER(SEARCH("Conocer",$R986))+ISNUMBER(SEARCH("Aplicar",$R986))+ISNUMBER(SEARCH("Razonar",$R986))),0)</f>
        <v>0.333333333333333</v>
      </c>
      <c r="U986" s="28" t="n">
        <f aca="false">IFERROR(ISNUMBER(SEARCH("Razonar",$R986))/(ISNUMBER(SEARCH("Conocer",$R986))+ISNUMBER(SEARCH("Aplicar",$R986))+ISNUMBER(SEARCH("Razonar",$R986))),0)</f>
        <v>0.333333333333333</v>
      </c>
      <c r="V986" s="8" t="s">
        <v>383</v>
      </c>
      <c r="W986" s="8" t="s">
        <v>4173</v>
      </c>
    </row>
    <row r="987" customFormat="false" ht="15" hidden="false" customHeight="false" outlineLevel="0" collapsed="false">
      <c r="A987" s="8" t="s">
        <v>4512</v>
      </c>
      <c r="B987" s="8" t="n">
        <v>10</v>
      </c>
      <c r="C987" s="8" t="s">
        <v>90</v>
      </c>
      <c r="D987" s="8" t="s">
        <v>4164</v>
      </c>
      <c r="E987" s="8" t="s">
        <v>4165</v>
      </c>
      <c r="F987" s="8" t="n">
        <v>96</v>
      </c>
      <c r="G987" s="8" t="s">
        <v>4498</v>
      </c>
      <c r="H987" s="8" t="s">
        <v>4509</v>
      </c>
      <c r="I987" s="27" t="s">
        <v>4513</v>
      </c>
      <c r="J987" s="8" t="s">
        <v>4169</v>
      </c>
      <c r="K987" s="8" t="s">
        <v>4170</v>
      </c>
      <c r="L987" s="8"/>
      <c r="M987" s="8" t="str">
        <f aca="false">IF(K987="FUERA","Fuera del marco",IF(K987="N/A","Sin marco",IFERROR(INDEX(Catalogo_TIMSS!$C$5:$C$105,MATCH(K987,Catalogo_TIMSS!$A$5:$A$105,0)),"Pendiente de clasificar")))</f>
        <v>Sin marco</v>
      </c>
      <c r="N987" s="8" t="str">
        <f aca="false">IF(K987="FUERA","Fuera del marco",IF(K987="N/A","Sin marco",IFERROR(INDEX(Catalogo_TIMSS!$F$5:$F$105,MATCH(K987,Catalogo_TIMSS!$A$5:$A$105,0)),"Pendiente de clasificar")))</f>
        <v>Sin marco</v>
      </c>
      <c r="O987" s="8" t="str">
        <f aca="false">IF(L987="","",IFERROR(INDEX(Catalogo_TIMSS!$C$5:$C$105,MATCH(L987,Catalogo_TIMSS!$A$5:$A$105,0)),"?"))</f>
        <v/>
      </c>
      <c r="P987" s="8" t="s">
        <v>4170</v>
      </c>
      <c r="Q987" s="27" t="s">
        <v>4171</v>
      </c>
      <c r="R987" s="27" t="s">
        <v>4514</v>
      </c>
      <c r="S987" s="28" t="n">
        <f aca="false">IFERROR(ISNUMBER(SEARCH("Conocer",$R987))/(ISNUMBER(SEARCH("Conocer",$R987))+ISNUMBER(SEARCH("Aplicar",$R987))+ISNUMBER(SEARCH("Razonar",$R987))),0)</f>
        <v>0</v>
      </c>
      <c r="T987" s="28" t="n">
        <f aca="false">IFERROR(ISNUMBER(SEARCH("Aplicar",$R987))/(ISNUMBER(SEARCH("Conocer",$R987))+ISNUMBER(SEARCH("Aplicar",$R987))+ISNUMBER(SEARCH("Razonar",$R987))),0)</f>
        <v>0.5</v>
      </c>
      <c r="U987" s="28" t="n">
        <f aca="false">IFERROR(ISNUMBER(SEARCH("Razonar",$R987))/(ISNUMBER(SEARCH("Conocer",$R987))+ISNUMBER(SEARCH("Aplicar",$R987))+ISNUMBER(SEARCH("Razonar",$R987))),0)</f>
        <v>0.5</v>
      </c>
      <c r="V987" s="8" t="s">
        <v>383</v>
      </c>
      <c r="W987" s="8" t="s">
        <v>4173</v>
      </c>
    </row>
    <row r="988" customFormat="false" ht="15" hidden="false" customHeight="false" outlineLevel="0" collapsed="false">
      <c r="A988" s="8" t="s">
        <v>4515</v>
      </c>
      <c r="B988" s="8" t="n">
        <v>10</v>
      </c>
      <c r="C988" s="8" t="s">
        <v>90</v>
      </c>
      <c r="D988" s="8" t="s">
        <v>4164</v>
      </c>
      <c r="E988" s="8" t="s">
        <v>4165</v>
      </c>
      <c r="F988" s="8" t="n">
        <v>97</v>
      </c>
      <c r="G988" s="8" t="s">
        <v>4498</v>
      </c>
      <c r="H988" s="8" t="s">
        <v>4516</v>
      </c>
      <c r="I988" s="27" t="s">
        <v>4517</v>
      </c>
      <c r="J988" s="8" t="s">
        <v>4169</v>
      </c>
      <c r="K988" s="8" t="s">
        <v>4170</v>
      </c>
      <c r="L988" s="8"/>
      <c r="M988" s="8" t="str">
        <f aca="false">IF(K988="FUERA","Fuera del marco",IF(K988="N/A","Sin marco",IFERROR(INDEX(Catalogo_TIMSS!$C$5:$C$105,MATCH(K988,Catalogo_TIMSS!$A$5:$A$105,0)),"Pendiente de clasificar")))</f>
        <v>Sin marco</v>
      </c>
      <c r="N988" s="8" t="str">
        <f aca="false">IF(K988="FUERA","Fuera del marco",IF(K988="N/A","Sin marco",IFERROR(INDEX(Catalogo_TIMSS!$F$5:$F$105,MATCH(K988,Catalogo_TIMSS!$A$5:$A$105,0)),"Pendiente de clasificar")))</f>
        <v>Sin marco</v>
      </c>
      <c r="O988" s="8" t="str">
        <f aca="false">IF(L988="","",IFERROR(INDEX(Catalogo_TIMSS!$C$5:$C$105,MATCH(L988,Catalogo_TIMSS!$A$5:$A$105,0)),"?"))</f>
        <v/>
      </c>
      <c r="P988" s="8" t="s">
        <v>4170</v>
      </c>
      <c r="Q988" s="27" t="s">
        <v>4171</v>
      </c>
      <c r="R988" s="27" t="s">
        <v>4518</v>
      </c>
      <c r="S988" s="28" t="n">
        <f aca="false">IFERROR(ISNUMBER(SEARCH("Conocer",$R988))/(ISNUMBER(SEARCH("Conocer",$R988))+ISNUMBER(SEARCH("Aplicar",$R988))+ISNUMBER(SEARCH("Razonar",$R988))),0)</f>
        <v>0</v>
      </c>
      <c r="T988" s="28" t="n">
        <f aca="false">IFERROR(ISNUMBER(SEARCH("Aplicar",$R988))/(ISNUMBER(SEARCH("Conocer",$R988))+ISNUMBER(SEARCH("Aplicar",$R988))+ISNUMBER(SEARCH("Razonar",$R988))),0)</f>
        <v>0.5</v>
      </c>
      <c r="U988" s="28" t="n">
        <f aca="false">IFERROR(ISNUMBER(SEARCH("Razonar",$R988))/(ISNUMBER(SEARCH("Conocer",$R988))+ISNUMBER(SEARCH("Aplicar",$R988))+ISNUMBER(SEARCH("Razonar",$R988))),0)</f>
        <v>0.5</v>
      </c>
      <c r="V988" s="8" t="s">
        <v>383</v>
      </c>
      <c r="W988" s="8" t="s">
        <v>4173</v>
      </c>
    </row>
    <row r="989" customFormat="false" ht="15" hidden="false" customHeight="false" outlineLevel="0" collapsed="false">
      <c r="A989" s="8" t="s">
        <v>4519</v>
      </c>
      <c r="B989" s="8" t="n">
        <v>10</v>
      </c>
      <c r="C989" s="8" t="s">
        <v>90</v>
      </c>
      <c r="D989" s="8" t="s">
        <v>4164</v>
      </c>
      <c r="E989" s="8" t="s">
        <v>4165</v>
      </c>
      <c r="F989" s="8" t="n">
        <v>98</v>
      </c>
      <c r="G989" s="8" t="s">
        <v>4498</v>
      </c>
      <c r="H989" s="8" t="s">
        <v>4516</v>
      </c>
      <c r="I989" s="27" t="s">
        <v>4520</v>
      </c>
      <c r="J989" s="8" t="s">
        <v>4169</v>
      </c>
      <c r="K989" s="8" t="s">
        <v>4170</v>
      </c>
      <c r="L989" s="8"/>
      <c r="M989" s="8" t="str">
        <f aca="false">IF(K989="FUERA","Fuera del marco",IF(K989="N/A","Sin marco",IFERROR(INDEX(Catalogo_TIMSS!$C$5:$C$105,MATCH(K989,Catalogo_TIMSS!$A$5:$A$105,0)),"Pendiente de clasificar")))</f>
        <v>Sin marco</v>
      </c>
      <c r="N989" s="8" t="str">
        <f aca="false">IF(K989="FUERA","Fuera del marco",IF(K989="N/A","Sin marco",IFERROR(INDEX(Catalogo_TIMSS!$F$5:$F$105,MATCH(K989,Catalogo_TIMSS!$A$5:$A$105,0)),"Pendiente de clasificar")))</f>
        <v>Sin marco</v>
      </c>
      <c r="O989" s="8" t="str">
        <f aca="false">IF(L989="","",IFERROR(INDEX(Catalogo_TIMSS!$C$5:$C$105,MATCH(L989,Catalogo_TIMSS!$A$5:$A$105,0)),"?"))</f>
        <v/>
      </c>
      <c r="P989" s="8" t="s">
        <v>4170</v>
      </c>
      <c r="Q989" s="27" t="s">
        <v>4171</v>
      </c>
      <c r="R989" s="27" t="s">
        <v>4521</v>
      </c>
      <c r="S989" s="28" t="n">
        <f aca="false">IFERROR(ISNUMBER(SEARCH("Conocer",$R989))/(ISNUMBER(SEARCH("Conocer",$R989))+ISNUMBER(SEARCH("Aplicar",$R989))+ISNUMBER(SEARCH("Razonar",$R989))),0)</f>
        <v>0.333333333333333</v>
      </c>
      <c r="T989" s="28" t="n">
        <f aca="false">IFERROR(ISNUMBER(SEARCH("Aplicar",$R989))/(ISNUMBER(SEARCH("Conocer",$R989))+ISNUMBER(SEARCH("Aplicar",$R989))+ISNUMBER(SEARCH("Razonar",$R989))),0)</f>
        <v>0.333333333333333</v>
      </c>
      <c r="U989" s="28" t="n">
        <f aca="false">IFERROR(ISNUMBER(SEARCH("Razonar",$R989))/(ISNUMBER(SEARCH("Conocer",$R989))+ISNUMBER(SEARCH("Aplicar",$R989))+ISNUMBER(SEARCH("Razonar",$R989))),0)</f>
        <v>0.333333333333333</v>
      </c>
      <c r="V989" s="8" t="s">
        <v>383</v>
      </c>
      <c r="W989" s="8" t="s">
        <v>4173</v>
      </c>
    </row>
    <row r="990" customFormat="false" ht="15" hidden="false" customHeight="false" outlineLevel="0" collapsed="false">
      <c r="A990" s="8" t="s">
        <v>4522</v>
      </c>
      <c r="B990" s="8" t="n">
        <v>10</v>
      </c>
      <c r="C990" s="8" t="s">
        <v>90</v>
      </c>
      <c r="D990" s="8" t="s">
        <v>4164</v>
      </c>
      <c r="E990" s="8" t="s">
        <v>4165</v>
      </c>
      <c r="F990" s="8" t="n">
        <v>99</v>
      </c>
      <c r="G990" s="8" t="s">
        <v>4498</v>
      </c>
      <c r="H990" s="8" t="s">
        <v>4523</v>
      </c>
      <c r="I990" s="27" t="s">
        <v>4524</v>
      </c>
      <c r="J990" s="8" t="s">
        <v>4169</v>
      </c>
      <c r="K990" s="8" t="s">
        <v>4170</v>
      </c>
      <c r="L990" s="8"/>
      <c r="M990" s="8" t="str">
        <f aca="false">IF(K990="FUERA","Fuera del marco",IF(K990="N/A","Sin marco",IFERROR(INDEX(Catalogo_TIMSS!$C$5:$C$105,MATCH(K990,Catalogo_TIMSS!$A$5:$A$105,0)),"Pendiente de clasificar")))</f>
        <v>Sin marco</v>
      </c>
      <c r="N990" s="8" t="str">
        <f aca="false">IF(K990="FUERA","Fuera del marco",IF(K990="N/A","Sin marco",IFERROR(INDEX(Catalogo_TIMSS!$F$5:$F$105,MATCH(K990,Catalogo_TIMSS!$A$5:$A$105,0)),"Pendiente de clasificar")))</f>
        <v>Sin marco</v>
      </c>
      <c r="O990" s="8" t="str">
        <f aca="false">IF(L990="","",IFERROR(INDEX(Catalogo_TIMSS!$C$5:$C$105,MATCH(L990,Catalogo_TIMSS!$A$5:$A$105,0)),"?"))</f>
        <v/>
      </c>
      <c r="P990" s="8" t="s">
        <v>4170</v>
      </c>
      <c r="Q990" s="27" t="s">
        <v>4171</v>
      </c>
      <c r="R990" s="27" t="s">
        <v>4525</v>
      </c>
      <c r="S990" s="28" t="n">
        <f aca="false">IFERROR(ISNUMBER(SEARCH("Conocer",$R990))/(ISNUMBER(SEARCH("Conocer",$R990))+ISNUMBER(SEARCH("Aplicar",$R990))+ISNUMBER(SEARCH("Razonar",$R990))),0)</f>
        <v>0</v>
      </c>
      <c r="T990" s="28" t="n">
        <f aca="false">IFERROR(ISNUMBER(SEARCH("Aplicar",$R990))/(ISNUMBER(SEARCH("Conocer",$R990))+ISNUMBER(SEARCH("Aplicar",$R990))+ISNUMBER(SEARCH("Razonar",$R990))),0)</f>
        <v>0.5</v>
      </c>
      <c r="U990" s="28" t="n">
        <f aca="false">IFERROR(ISNUMBER(SEARCH("Razonar",$R990))/(ISNUMBER(SEARCH("Conocer",$R990))+ISNUMBER(SEARCH("Aplicar",$R990))+ISNUMBER(SEARCH("Razonar",$R990))),0)</f>
        <v>0.5</v>
      </c>
      <c r="V990" s="8" t="s">
        <v>383</v>
      </c>
      <c r="W990" s="8" t="s">
        <v>4173</v>
      </c>
    </row>
    <row r="991" customFormat="false" ht="15" hidden="false" customHeight="false" outlineLevel="0" collapsed="false">
      <c r="A991" s="8" t="s">
        <v>4526</v>
      </c>
      <c r="B991" s="8" t="n">
        <v>10</v>
      </c>
      <c r="C991" s="8" t="s">
        <v>90</v>
      </c>
      <c r="D991" s="8" t="s">
        <v>4164</v>
      </c>
      <c r="E991" s="8" t="s">
        <v>4165</v>
      </c>
      <c r="F991" s="8" t="n">
        <v>100</v>
      </c>
      <c r="G991" s="8" t="s">
        <v>4498</v>
      </c>
      <c r="H991" s="8" t="s">
        <v>4523</v>
      </c>
      <c r="I991" s="27" t="s">
        <v>4527</v>
      </c>
      <c r="J991" s="8" t="s">
        <v>4169</v>
      </c>
      <c r="K991" s="8" t="s">
        <v>4170</v>
      </c>
      <c r="L991" s="8"/>
      <c r="M991" s="8" t="str">
        <f aca="false">IF(K991="FUERA","Fuera del marco",IF(K991="N/A","Sin marco",IFERROR(INDEX(Catalogo_TIMSS!$C$5:$C$105,MATCH(K991,Catalogo_TIMSS!$A$5:$A$105,0)),"Pendiente de clasificar")))</f>
        <v>Sin marco</v>
      </c>
      <c r="N991" s="8" t="str">
        <f aca="false">IF(K991="FUERA","Fuera del marco",IF(K991="N/A","Sin marco",IFERROR(INDEX(Catalogo_TIMSS!$F$5:$F$105,MATCH(K991,Catalogo_TIMSS!$A$5:$A$105,0)),"Pendiente de clasificar")))</f>
        <v>Sin marco</v>
      </c>
      <c r="O991" s="8" t="str">
        <f aca="false">IF(L991="","",IFERROR(INDEX(Catalogo_TIMSS!$C$5:$C$105,MATCH(L991,Catalogo_TIMSS!$A$5:$A$105,0)),"?"))</f>
        <v/>
      </c>
      <c r="P991" s="8" t="s">
        <v>4170</v>
      </c>
      <c r="Q991" s="27" t="s">
        <v>4171</v>
      </c>
      <c r="R991" s="27" t="s">
        <v>4528</v>
      </c>
      <c r="S991" s="28" t="n">
        <f aca="false">IFERROR(ISNUMBER(SEARCH("Conocer",$R991))/(ISNUMBER(SEARCH("Conocer",$R991))+ISNUMBER(SEARCH("Aplicar",$R991))+ISNUMBER(SEARCH("Razonar",$R991))),0)</f>
        <v>0</v>
      </c>
      <c r="T991" s="28" t="n">
        <f aca="false">IFERROR(ISNUMBER(SEARCH("Aplicar",$R991))/(ISNUMBER(SEARCH("Conocer",$R991))+ISNUMBER(SEARCH("Aplicar",$R991))+ISNUMBER(SEARCH("Razonar",$R991))),0)</f>
        <v>0.5</v>
      </c>
      <c r="U991" s="28" t="n">
        <f aca="false">IFERROR(ISNUMBER(SEARCH("Razonar",$R991))/(ISNUMBER(SEARCH("Conocer",$R991))+ISNUMBER(SEARCH("Aplicar",$R991))+ISNUMBER(SEARCH("Razonar",$R991))),0)</f>
        <v>0.5</v>
      </c>
      <c r="V991" s="8" t="s">
        <v>383</v>
      </c>
      <c r="W991" s="8" t="s">
        <v>4173</v>
      </c>
    </row>
    <row r="992" customFormat="false" ht="15" hidden="false" customHeight="false" outlineLevel="0" collapsed="false">
      <c r="A992" s="8" t="s">
        <v>4529</v>
      </c>
      <c r="B992" s="8" t="n">
        <v>10</v>
      </c>
      <c r="C992" s="8" t="s">
        <v>90</v>
      </c>
      <c r="D992" s="8" t="s">
        <v>4164</v>
      </c>
      <c r="E992" s="8" t="s">
        <v>4165</v>
      </c>
      <c r="F992" s="8" t="n">
        <v>101</v>
      </c>
      <c r="G992" s="8" t="s">
        <v>4498</v>
      </c>
      <c r="H992" s="8" t="s">
        <v>4530</v>
      </c>
      <c r="I992" s="27" t="s">
        <v>4531</v>
      </c>
      <c r="J992" s="8" t="s">
        <v>4169</v>
      </c>
      <c r="K992" s="8" t="s">
        <v>4170</v>
      </c>
      <c r="L992" s="8"/>
      <c r="M992" s="8" t="str">
        <f aca="false">IF(K992="FUERA","Fuera del marco",IF(K992="N/A","Sin marco",IFERROR(INDEX(Catalogo_TIMSS!$C$5:$C$105,MATCH(K992,Catalogo_TIMSS!$A$5:$A$105,0)),"Pendiente de clasificar")))</f>
        <v>Sin marco</v>
      </c>
      <c r="N992" s="8" t="str">
        <f aca="false">IF(K992="FUERA","Fuera del marco",IF(K992="N/A","Sin marco",IFERROR(INDEX(Catalogo_TIMSS!$F$5:$F$105,MATCH(K992,Catalogo_TIMSS!$A$5:$A$105,0)),"Pendiente de clasificar")))</f>
        <v>Sin marco</v>
      </c>
      <c r="O992" s="8" t="str">
        <f aca="false">IF(L992="","",IFERROR(INDEX(Catalogo_TIMSS!$C$5:$C$105,MATCH(L992,Catalogo_TIMSS!$A$5:$A$105,0)),"?"))</f>
        <v/>
      </c>
      <c r="P992" s="8" t="s">
        <v>4170</v>
      </c>
      <c r="Q992" s="27" t="s">
        <v>4171</v>
      </c>
      <c r="R992" s="27" t="s">
        <v>4532</v>
      </c>
      <c r="S992" s="28" t="n">
        <f aca="false">IFERROR(ISNUMBER(SEARCH("Conocer",$R992))/(ISNUMBER(SEARCH("Conocer",$R992))+ISNUMBER(SEARCH("Aplicar",$R992))+ISNUMBER(SEARCH("Razonar",$R992))),0)</f>
        <v>0</v>
      </c>
      <c r="T992" s="28" t="n">
        <f aca="false">IFERROR(ISNUMBER(SEARCH("Aplicar",$R992))/(ISNUMBER(SEARCH("Conocer",$R992))+ISNUMBER(SEARCH("Aplicar",$R992))+ISNUMBER(SEARCH("Razonar",$R992))),0)</f>
        <v>0.5</v>
      </c>
      <c r="U992" s="28" t="n">
        <f aca="false">IFERROR(ISNUMBER(SEARCH("Razonar",$R992))/(ISNUMBER(SEARCH("Conocer",$R992))+ISNUMBER(SEARCH("Aplicar",$R992))+ISNUMBER(SEARCH("Razonar",$R992))),0)</f>
        <v>0.5</v>
      </c>
      <c r="V992" s="8" t="s">
        <v>383</v>
      </c>
      <c r="W992" s="8" t="s">
        <v>4173</v>
      </c>
    </row>
    <row r="993" customFormat="false" ht="15" hidden="false" customHeight="false" outlineLevel="0" collapsed="false">
      <c r="A993" s="8" t="s">
        <v>4533</v>
      </c>
      <c r="B993" s="8" t="n">
        <v>10</v>
      </c>
      <c r="C993" s="8" t="s">
        <v>90</v>
      </c>
      <c r="D993" s="8" t="s">
        <v>4164</v>
      </c>
      <c r="E993" s="8" t="s">
        <v>4165</v>
      </c>
      <c r="F993" s="8" t="n">
        <v>102</v>
      </c>
      <c r="G993" s="8" t="s">
        <v>4498</v>
      </c>
      <c r="H993" s="8" t="s">
        <v>4530</v>
      </c>
      <c r="I993" s="27" t="s">
        <v>4534</v>
      </c>
      <c r="J993" s="8" t="s">
        <v>4169</v>
      </c>
      <c r="K993" s="8" t="s">
        <v>4170</v>
      </c>
      <c r="L993" s="8"/>
      <c r="M993" s="8" t="str">
        <f aca="false">IF(K993="FUERA","Fuera del marco",IF(K993="N/A","Sin marco",IFERROR(INDEX(Catalogo_TIMSS!$C$5:$C$105,MATCH(K993,Catalogo_TIMSS!$A$5:$A$105,0)),"Pendiente de clasificar")))</f>
        <v>Sin marco</v>
      </c>
      <c r="N993" s="8" t="str">
        <f aca="false">IF(K993="FUERA","Fuera del marco",IF(K993="N/A","Sin marco",IFERROR(INDEX(Catalogo_TIMSS!$F$5:$F$105,MATCH(K993,Catalogo_TIMSS!$A$5:$A$105,0)),"Pendiente de clasificar")))</f>
        <v>Sin marco</v>
      </c>
      <c r="O993" s="8" t="str">
        <f aca="false">IF(L993="","",IFERROR(INDEX(Catalogo_TIMSS!$C$5:$C$105,MATCH(L993,Catalogo_TIMSS!$A$5:$A$105,0)),"?"))</f>
        <v/>
      </c>
      <c r="P993" s="8" t="s">
        <v>4170</v>
      </c>
      <c r="Q993" s="27" t="s">
        <v>4171</v>
      </c>
      <c r="R993" s="27" t="s">
        <v>4535</v>
      </c>
      <c r="S993" s="28" t="n">
        <f aca="false">IFERROR(ISNUMBER(SEARCH("Conocer",$R993))/(ISNUMBER(SEARCH("Conocer",$R993))+ISNUMBER(SEARCH("Aplicar",$R993))+ISNUMBER(SEARCH("Razonar",$R993))),0)</f>
        <v>0</v>
      </c>
      <c r="T993" s="28" t="n">
        <f aca="false">IFERROR(ISNUMBER(SEARCH("Aplicar",$R993))/(ISNUMBER(SEARCH("Conocer",$R993))+ISNUMBER(SEARCH("Aplicar",$R993))+ISNUMBER(SEARCH("Razonar",$R993))),0)</f>
        <v>0.5</v>
      </c>
      <c r="U993" s="28" t="n">
        <f aca="false">IFERROR(ISNUMBER(SEARCH("Razonar",$R993))/(ISNUMBER(SEARCH("Conocer",$R993))+ISNUMBER(SEARCH("Aplicar",$R993))+ISNUMBER(SEARCH("Razonar",$R993))),0)</f>
        <v>0.5</v>
      </c>
      <c r="V993" s="8" t="s">
        <v>383</v>
      </c>
      <c r="W993" s="8" t="s">
        <v>4173</v>
      </c>
    </row>
    <row r="994" customFormat="false" ht="15" hidden="false" customHeight="false" outlineLevel="0" collapsed="false">
      <c r="A994" s="8" t="s">
        <v>4536</v>
      </c>
      <c r="B994" s="8" t="n">
        <v>10</v>
      </c>
      <c r="C994" s="8" t="s">
        <v>90</v>
      </c>
      <c r="D994" s="8" t="s">
        <v>4164</v>
      </c>
      <c r="E994" s="8" t="s">
        <v>4165</v>
      </c>
      <c r="F994" s="8" t="n">
        <v>103</v>
      </c>
      <c r="G994" s="8" t="s">
        <v>4498</v>
      </c>
      <c r="H994" s="8" t="s">
        <v>4530</v>
      </c>
      <c r="I994" s="27" t="s">
        <v>4537</v>
      </c>
      <c r="J994" s="8" t="s">
        <v>4169</v>
      </c>
      <c r="K994" s="8" t="s">
        <v>4170</v>
      </c>
      <c r="L994" s="8"/>
      <c r="M994" s="8" t="str">
        <f aca="false">IF(K994="FUERA","Fuera del marco",IF(K994="N/A","Sin marco",IFERROR(INDEX(Catalogo_TIMSS!$C$5:$C$105,MATCH(K994,Catalogo_TIMSS!$A$5:$A$105,0)),"Pendiente de clasificar")))</f>
        <v>Sin marco</v>
      </c>
      <c r="N994" s="8" t="str">
        <f aca="false">IF(K994="FUERA","Fuera del marco",IF(K994="N/A","Sin marco",IFERROR(INDEX(Catalogo_TIMSS!$F$5:$F$105,MATCH(K994,Catalogo_TIMSS!$A$5:$A$105,0)),"Pendiente de clasificar")))</f>
        <v>Sin marco</v>
      </c>
      <c r="O994" s="8" t="str">
        <f aca="false">IF(L994="","",IFERROR(INDEX(Catalogo_TIMSS!$C$5:$C$105,MATCH(L994,Catalogo_TIMSS!$A$5:$A$105,0)),"?"))</f>
        <v/>
      </c>
      <c r="P994" s="8" t="s">
        <v>4170</v>
      </c>
      <c r="Q994" s="27" t="s">
        <v>4171</v>
      </c>
      <c r="R994" s="27" t="s">
        <v>4538</v>
      </c>
      <c r="S994" s="28" t="n">
        <f aca="false">IFERROR(ISNUMBER(SEARCH("Conocer",$R994))/(ISNUMBER(SEARCH("Conocer",$R994))+ISNUMBER(SEARCH("Aplicar",$R994))+ISNUMBER(SEARCH("Razonar",$R994))),0)</f>
        <v>0</v>
      </c>
      <c r="T994" s="28" t="n">
        <f aca="false">IFERROR(ISNUMBER(SEARCH("Aplicar",$R994))/(ISNUMBER(SEARCH("Conocer",$R994))+ISNUMBER(SEARCH("Aplicar",$R994))+ISNUMBER(SEARCH("Razonar",$R994))),0)</f>
        <v>0.5</v>
      </c>
      <c r="U994" s="28" t="n">
        <f aca="false">IFERROR(ISNUMBER(SEARCH("Razonar",$R994))/(ISNUMBER(SEARCH("Conocer",$R994))+ISNUMBER(SEARCH("Aplicar",$R994))+ISNUMBER(SEARCH("Razonar",$R994))),0)</f>
        <v>0.5</v>
      </c>
      <c r="V994" s="8" t="s">
        <v>383</v>
      </c>
      <c r="W994" s="8" t="s">
        <v>4173</v>
      </c>
    </row>
    <row r="995" customFormat="false" ht="15" hidden="false" customHeight="false" outlineLevel="0" collapsed="false">
      <c r="A995" s="8" t="s">
        <v>4539</v>
      </c>
      <c r="B995" s="8" t="n">
        <v>10</v>
      </c>
      <c r="C995" s="8" t="s">
        <v>90</v>
      </c>
      <c r="D995" s="8" t="s">
        <v>4164</v>
      </c>
      <c r="E995" s="8" t="s">
        <v>4165</v>
      </c>
      <c r="F995" s="8" t="n">
        <v>104</v>
      </c>
      <c r="G995" s="8" t="s">
        <v>4498</v>
      </c>
      <c r="H995" s="8" t="s">
        <v>4540</v>
      </c>
      <c r="I995" s="27" t="s">
        <v>4541</v>
      </c>
      <c r="J995" s="8" t="s">
        <v>4169</v>
      </c>
      <c r="K995" s="8" t="s">
        <v>4170</v>
      </c>
      <c r="L995" s="8"/>
      <c r="M995" s="8" t="str">
        <f aca="false">IF(K995="FUERA","Fuera del marco",IF(K995="N/A","Sin marco",IFERROR(INDEX(Catalogo_TIMSS!$C$5:$C$105,MATCH(K995,Catalogo_TIMSS!$A$5:$A$105,0)),"Pendiente de clasificar")))</f>
        <v>Sin marco</v>
      </c>
      <c r="N995" s="8" t="str">
        <f aca="false">IF(K995="FUERA","Fuera del marco",IF(K995="N/A","Sin marco",IFERROR(INDEX(Catalogo_TIMSS!$F$5:$F$105,MATCH(K995,Catalogo_TIMSS!$A$5:$A$105,0)),"Pendiente de clasificar")))</f>
        <v>Sin marco</v>
      </c>
      <c r="O995" s="8" t="str">
        <f aca="false">IF(L995="","",IFERROR(INDEX(Catalogo_TIMSS!$C$5:$C$105,MATCH(L995,Catalogo_TIMSS!$A$5:$A$105,0)),"?"))</f>
        <v/>
      </c>
      <c r="P995" s="8" t="s">
        <v>4170</v>
      </c>
      <c r="Q995" s="27" t="s">
        <v>4171</v>
      </c>
      <c r="R995" s="27" t="s">
        <v>4542</v>
      </c>
      <c r="S995" s="28" t="n">
        <f aca="false">IFERROR(ISNUMBER(SEARCH("Conocer",$R995))/(ISNUMBER(SEARCH("Conocer",$R995))+ISNUMBER(SEARCH("Aplicar",$R995))+ISNUMBER(SEARCH("Razonar",$R995))),0)</f>
        <v>0</v>
      </c>
      <c r="T995" s="28" t="n">
        <f aca="false">IFERROR(ISNUMBER(SEARCH("Aplicar",$R995))/(ISNUMBER(SEARCH("Conocer",$R995))+ISNUMBER(SEARCH("Aplicar",$R995))+ISNUMBER(SEARCH("Razonar",$R995))),0)</f>
        <v>0.5</v>
      </c>
      <c r="U995" s="28" t="n">
        <f aca="false">IFERROR(ISNUMBER(SEARCH("Razonar",$R995))/(ISNUMBER(SEARCH("Conocer",$R995))+ISNUMBER(SEARCH("Aplicar",$R995))+ISNUMBER(SEARCH("Razonar",$R995))),0)</f>
        <v>0.5</v>
      </c>
      <c r="V995" s="8" t="s">
        <v>383</v>
      </c>
      <c r="W995" s="8" t="s">
        <v>4173</v>
      </c>
    </row>
    <row r="996" customFormat="false" ht="15" hidden="false" customHeight="false" outlineLevel="0" collapsed="false">
      <c r="A996" s="8" t="s">
        <v>4543</v>
      </c>
      <c r="B996" s="8" t="n">
        <v>10</v>
      </c>
      <c r="C996" s="8" t="s">
        <v>90</v>
      </c>
      <c r="D996" s="8" t="s">
        <v>4164</v>
      </c>
      <c r="E996" s="8" t="s">
        <v>4165</v>
      </c>
      <c r="F996" s="8" t="n">
        <v>105</v>
      </c>
      <c r="G996" s="8" t="s">
        <v>4498</v>
      </c>
      <c r="H996" s="8" t="s">
        <v>4540</v>
      </c>
      <c r="I996" s="27" t="s">
        <v>4544</v>
      </c>
      <c r="J996" s="8" t="s">
        <v>4169</v>
      </c>
      <c r="K996" s="8" t="s">
        <v>4170</v>
      </c>
      <c r="L996" s="8"/>
      <c r="M996" s="8" t="str">
        <f aca="false">IF(K996="FUERA","Fuera del marco",IF(K996="N/A","Sin marco",IFERROR(INDEX(Catalogo_TIMSS!$C$5:$C$105,MATCH(K996,Catalogo_TIMSS!$A$5:$A$105,0)),"Pendiente de clasificar")))</f>
        <v>Sin marco</v>
      </c>
      <c r="N996" s="8" t="str">
        <f aca="false">IF(K996="FUERA","Fuera del marco",IF(K996="N/A","Sin marco",IFERROR(INDEX(Catalogo_TIMSS!$F$5:$F$105,MATCH(K996,Catalogo_TIMSS!$A$5:$A$105,0)),"Pendiente de clasificar")))</f>
        <v>Sin marco</v>
      </c>
      <c r="O996" s="8" t="str">
        <f aca="false">IF(L996="","",IFERROR(INDEX(Catalogo_TIMSS!$C$5:$C$105,MATCH(L996,Catalogo_TIMSS!$A$5:$A$105,0)),"?"))</f>
        <v/>
      </c>
      <c r="P996" s="8" t="s">
        <v>4170</v>
      </c>
      <c r="Q996" s="27" t="s">
        <v>4171</v>
      </c>
      <c r="R996" s="27" t="s">
        <v>4545</v>
      </c>
      <c r="S996" s="28" t="n">
        <f aca="false">IFERROR(ISNUMBER(SEARCH("Conocer",$R996))/(ISNUMBER(SEARCH("Conocer",$R996))+ISNUMBER(SEARCH("Aplicar",$R996))+ISNUMBER(SEARCH("Razonar",$R996))),0)</f>
        <v>0</v>
      </c>
      <c r="T996" s="28" t="n">
        <f aca="false">IFERROR(ISNUMBER(SEARCH("Aplicar",$R996))/(ISNUMBER(SEARCH("Conocer",$R996))+ISNUMBER(SEARCH("Aplicar",$R996))+ISNUMBER(SEARCH("Razonar",$R996))),0)</f>
        <v>0.5</v>
      </c>
      <c r="U996" s="28" t="n">
        <f aca="false">IFERROR(ISNUMBER(SEARCH("Razonar",$R996))/(ISNUMBER(SEARCH("Conocer",$R996))+ISNUMBER(SEARCH("Aplicar",$R996))+ISNUMBER(SEARCH("Razonar",$R996))),0)</f>
        <v>0.5</v>
      </c>
      <c r="V996" s="8" t="s">
        <v>383</v>
      </c>
      <c r="W996" s="8" t="s">
        <v>4173</v>
      </c>
    </row>
    <row r="997" customFormat="false" ht="15" hidden="false" customHeight="false" outlineLevel="0" collapsed="false">
      <c r="A997" s="8" t="s">
        <v>4546</v>
      </c>
      <c r="B997" s="8" t="n">
        <v>10</v>
      </c>
      <c r="C997" s="8" t="s">
        <v>90</v>
      </c>
      <c r="D997" s="8" t="s">
        <v>4164</v>
      </c>
      <c r="E997" s="8" t="s">
        <v>4165</v>
      </c>
      <c r="F997" s="8" t="n">
        <v>106</v>
      </c>
      <c r="G997" s="8" t="s">
        <v>4547</v>
      </c>
      <c r="H997" s="8" t="s">
        <v>4548</v>
      </c>
      <c r="I997" s="27" t="s">
        <v>4549</v>
      </c>
      <c r="J997" s="8" t="s">
        <v>4169</v>
      </c>
      <c r="K997" s="8" t="s">
        <v>4170</v>
      </c>
      <c r="L997" s="8"/>
      <c r="M997" s="8" t="str">
        <f aca="false">IF(K997="FUERA","Fuera del marco",IF(K997="N/A","Sin marco",IFERROR(INDEX(Catalogo_TIMSS!$C$5:$C$105,MATCH(K997,Catalogo_TIMSS!$A$5:$A$105,0)),"Pendiente de clasificar")))</f>
        <v>Sin marco</v>
      </c>
      <c r="N997" s="8" t="str">
        <f aca="false">IF(K997="FUERA","Fuera del marco",IF(K997="N/A","Sin marco",IFERROR(INDEX(Catalogo_TIMSS!$F$5:$F$105,MATCH(K997,Catalogo_TIMSS!$A$5:$A$105,0)),"Pendiente de clasificar")))</f>
        <v>Sin marco</v>
      </c>
      <c r="O997" s="8" t="str">
        <f aca="false">IF(L997="","",IFERROR(INDEX(Catalogo_TIMSS!$C$5:$C$105,MATCH(L997,Catalogo_TIMSS!$A$5:$A$105,0)),"?"))</f>
        <v/>
      </c>
      <c r="P997" s="8" t="s">
        <v>4170</v>
      </c>
      <c r="Q997" s="27" t="s">
        <v>4171</v>
      </c>
      <c r="R997" s="27" t="s">
        <v>4550</v>
      </c>
      <c r="S997" s="28" t="n">
        <f aca="false">IFERROR(ISNUMBER(SEARCH("Conocer",$R997))/(ISNUMBER(SEARCH("Conocer",$R997))+ISNUMBER(SEARCH("Aplicar",$R997))+ISNUMBER(SEARCH("Razonar",$R997))),0)</f>
        <v>0.333333333333333</v>
      </c>
      <c r="T997" s="28" t="n">
        <f aca="false">IFERROR(ISNUMBER(SEARCH("Aplicar",$R997))/(ISNUMBER(SEARCH("Conocer",$R997))+ISNUMBER(SEARCH("Aplicar",$R997))+ISNUMBER(SEARCH("Razonar",$R997))),0)</f>
        <v>0.333333333333333</v>
      </c>
      <c r="U997" s="28" t="n">
        <f aca="false">IFERROR(ISNUMBER(SEARCH("Razonar",$R997))/(ISNUMBER(SEARCH("Conocer",$R997))+ISNUMBER(SEARCH("Aplicar",$R997))+ISNUMBER(SEARCH("Razonar",$R997))),0)</f>
        <v>0.333333333333333</v>
      </c>
      <c r="V997" s="8" t="s">
        <v>383</v>
      </c>
      <c r="W997" s="8" t="s">
        <v>4173</v>
      </c>
    </row>
    <row r="998" customFormat="false" ht="15" hidden="false" customHeight="false" outlineLevel="0" collapsed="false">
      <c r="A998" s="8" t="s">
        <v>4551</v>
      </c>
      <c r="B998" s="8" t="n">
        <v>10</v>
      </c>
      <c r="C998" s="8" t="s">
        <v>90</v>
      </c>
      <c r="D998" s="8" t="s">
        <v>4164</v>
      </c>
      <c r="E998" s="8" t="s">
        <v>4165</v>
      </c>
      <c r="F998" s="8" t="n">
        <v>107</v>
      </c>
      <c r="G998" s="8" t="s">
        <v>4547</v>
      </c>
      <c r="H998" s="8" t="s">
        <v>4548</v>
      </c>
      <c r="I998" s="27" t="s">
        <v>4552</v>
      </c>
      <c r="J998" s="8" t="s">
        <v>4169</v>
      </c>
      <c r="K998" s="8" t="s">
        <v>4170</v>
      </c>
      <c r="L998" s="8"/>
      <c r="M998" s="8" t="str">
        <f aca="false">IF(K998="FUERA","Fuera del marco",IF(K998="N/A","Sin marco",IFERROR(INDEX(Catalogo_TIMSS!$C$5:$C$105,MATCH(K998,Catalogo_TIMSS!$A$5:$A$105,0)),"Pendiente de clasificar")))</f>
        <v>Sin marco</v>
      </c>
      <c r="N998" s="8" t="str">
        <f aca="false">IF(K998="FUERA","Fuera del marco",IF(K998="N/A","Sin marco",IFERROR(INDEX(Catalogo_TIMSS!$F$5:$F$105,MATCH(K998,Catalogo_TIMSS!$A$5:$A$105,0)),"Pendiente de clasificar")))</f>
        <v>Sin marco</v>
      </c>
      <c r="O998" s="8" t="str">
        <f aca="false">IF(L998="","",IFERROR(INDEX(Catalogo_TIMSS!$C$5:$C$105,MATCH(L998,Catalogo_TIMSS!$A$5:$A$105,0)),"?"))</f>
        <v/>
      </c>
      <c r="P998" s="8" t="s">
        <v>4170</v>
      </c>
      <c r="Q998" s="27" t="s">
        <v>4171</v>
      </c>
      <c r="R998" s="27" t="s">
        <v>4553</v>
      </c>
      <c r="S998" s="28" t="n">
        <f aca="false">IFERROR(ISNUMBER(SEARCH("Conocer",$R998))/(ISNUMBER(SEARCH("Conocer",$R998))+ISNUMBER(SEARCH("Aplicar",$R998))+ISNUMBER(SEARCH("Razonar",$R998))),0)</f>
        <v>0.333333333333333</v>
      </c>
      <c r="T998" s="28" t="n">
        <f aca="false">IFERROR(ISNUMBER(SEARCH("Aplicar",$R998))/(ISNUMBER(SEARCH("Conocer",$R998))+ISNUMBER(SEARCH("Aplicar",$R998))+ISNUMBER(SEARCH("Razonar",$R998))),0)</f>
        <v>0.333333333333333</v>
      </c>
      <c r="U998" s="28" t="n">
        <f aca="false">IFERROR(ISNUMBER(SEARCH("Razonar",$R998))/(ISNUMBER(SEARCH("Conocer",$R998))+ISNUMBER(SEARCH("Aplicar",$R998))+ISNUMBER(SEARCH("Razonar",$R998))),0)</f>
        <v>0.333333333333333</v>
      </c>
      <c r="V998" s="8" t="s">
        <v>383</v>
      </c>
      <c r="W998" s="8" t="s">
        <v>4173</v>
      </c>
    </row>
    <row r="999" customFormat="false" ht="15" hidden="false" customHeight="false" outlineLevel="0" collapsed="false">
      <c r="A999" s="8" t="s">
        <v>4554</v>
      </c>
      <c r="B999" s="8" t="n">
        <v>10</v>
      </c>
      <c r="C999" s="8" t="s">
        <v>90</v>
      </c>
      <c r="D999" s="8" t="s">
        <v>4164</v>
      </c>
      <c r="E999" s="8" t="s">
        <v>4165</v>
      </c>
      <c r="F999" s="8" t="n">
        <v>108</v>
      </c>
      <c r="G999" s="8" t="s">
        <v>4547</v>
      </c>
      <c r="H999" s="8" t="s">
        <v>4548</v>
      </c>
      <c r="I999" s="27" t="s">
        <v>4555</v>
      </c>
      <c r="J999" s="8" t="s">
        <v>4169</v>
      </c>
      <c r="K999" s="8" t="s">
        <v>4170</v>
      </c>
      <c r="L999" s="8"/>
      <c r="M999" s="8" t="str">
        <f aca="false">IF(K999="FUERA","Fuera del marco",IF(K999="N/A","Sin marco",IFERROR(INDEX(Catalogo_TIMSS!$C$5:$C$105,MATCH(K999,Catalogo_TIMSS!$A$5:$A$105,0)),"Pendiente de clasificar")))</f>
        <v>Sin marco</v>
      </c>
      <c r="N999" s="8" t="str">
        <f aca="false">IF(K999="FUERA","Fuera del marco",IF(K999="N/A","Sin marco",IFERROR(INDEX(Catalogo_TIMSS!$F$5:$F$105,MATCH(K999,Catalogo_TIMSS!$A$5:$A$105,0)),"Pendiente de clasificar")))</f>
        <v>Sin marco</v>
      </c>
      <c r="O999" s="8" t="str">
        <f aca="false">IF(L999="","",IFERROR(INDEX(Catalogo_TIMSS!$C$5:$C$105,MATCH(L999,Catalogo_TIMSS!$A$5:$A$105,0)),"?"))</f>
        <v/>
      </c>
      <c r="P999" s="8" t="s">
        <v>4170</v>
      </c>
      <c r="Q999" s="27" t="s">
        <v>4171</v>
      </c>
      <c r="R999" s="27" t="s">
        <v>4556</v>
      </c>
      <c r="S999" s="28" t="n">
        <f aca="false">IFERROR(ISNUMBER(SEARCH("Conocer",$R999))/(ISNUMBER(SEARCH("Conocer",$R999))+ISNUMBER(SEARCH("Aplicar",$R999))+ISNUMBER(SEARCH("Razonar",$R999))),0)</f>
        <v>0.333333333333333</v>
      </c>
      <c r="T999" s="28" t="n">
        <f aca="false">IFERROR(ISNUMBER(SEARCH("Aplicar",$R999))/(ISNUMBER(SEARCH("Conocer",$R999))+ISNUMBER(SEARCH("Aplicar",$R999))+ISNUMBER(SEARCH("Razonar",$R999))),0)</f>
        <v>0.333333333333333</v>
      </c>
      <c r="U999" s="28" t="n">
        <f aca="false">IFERROR(ISNUMBER(SEARCH("Razonar",$R999))/(ISNUMBER(SEARCH("Conocer",$R999))+ISNUMBER(SEARCH("Aplicar",$R999))+ISNUMBER(SEARCH("Razonar",$R999))),0)</f>
        <v>0.333333333333333</v>
      </c>
      <c r="V999" s="8" t="s">
        <v>383</v>
      </c>
      <c r="W999" s="8" t="s">
        <v>4173</v>
      </c>
    </row>
    <row r="1000" customFormat="false" ht="15" hidden="false" customHeight="false" outlineLevel="0" collapsed="false">
      <c r="A1000" s="8" t="s">
        <v>4557</v>
      </c>
      <c r="B1000" s="8" t="n">
        <v>10</v>
      </c>
      <c r="C1000" s="8" t="s">
        <v>90</v>
      </c>
      <c r="D1000" s="8" t="s">
        <v>4164</v>
      </c>
      <c r="E1000" s="8" t="s">
        <v>4165</v>
      </c>
      <c r="F1000" s="8" t="n">
        <v>109</v>
      </c>
      <c r="G1000" s="8" t="s">
        <v>4547</v>
      </c>
      <c r="H1000" s="8" t="s">
        <v>4558</v>
      </c>
      <c r="I1000" s="27" t="s">
        <v>4559</v>
      </c>
      <c r="J1000" s="8" t="s">
        <v>4169</v>
      </c>
      <c r="K1000" s="8" t="s">
        <v>4170</v>
      </c>
      <c r="L1000" s="8"/>
      <c r="M1000" s="8" t="str">
        <f aca="false">IF(K1000="FUERA","Fuera del marco",IF(K1000="N/A","Sin marco",IFERROR(INDEX(Catalogo_TIMSS!$C$5:$C$105,MATCH(K1000,Catalogo_TIMSS!$A$5:$A$105,0)),"Pendiente de clasificar")))</f>
        <v>Sin marco</v>
      </c>
      <c r="N1000" s="8" t="str">
        <f aca="false">IF(K1000="FUERA","Fuera del marco",IF(K1000="N/A","Sin marco",IFERROR(INDEX(Catalogo_TIMSS!$F$5:$F$105,MATCH(K1000,Catalogo_TIMSS!$A$5:$A$105,0)),"Pendiente de clasificar")))</f>
        <v>Sin marco</v>
      </c>
      <c r="O1000" s="8" t="str">
        <f aca="false">IF(L1000="","",IFERROR(INDEX(Catalogo_TIMSS!$C$5:$C$105,MATCH(L1000,Catalogo_TIMSS!$A$5:$A$105,0)),"?"))</f>
        <v/>
      </c>
      <c r="P1000" s="8" t="s">
        <v>4170</v>
      </c>
      <c r="Q1000" s="27" t="s">
        <v>4171</v>
      </c>
      <c r="R1000" s="27" t="s">
        <v>4560</v>
      </c>
      <c r="S1000" s="28" t="n">
        <f aca="false">IFERROR(ISNUMBER(SEARCH("Conocer",$R1000))/(ISNUMBER(SEARCH("Conocer",$R1000))+ISNUMBER(SEARCH("Aplicar",$R1000))+ISNUMBER(SEARCH("Razonar",$R1000))),0)</f>
        <v>0.333333333333333</v>
      </c>
      <c r="T1000" s="28" t="n">
        <f aca="false">IFERROR(ISNUMBER(SEARCH("Aplicar",$R1000))/(ISNUMBER(SEARCH("Conocer",$R1000))+ISNUMBER(SEARCH("Aplicar",$R1000))+ISNUMBER(SEARCH("Razonar",$R1000))),0)</f>
        <v>0.333333333333333</v>
      </c>
      <c r="U1000" s="28" t="n">
        <f aca="false">IFERROR(ISNUMBER(SEARCH("Razonar",$R1000))/(ISNUMBER(SEARCH("Conocer",$R1000))+ISNUMBER(SEARCH("Aplicar",$R1000))+ISNUMBER(SEARCH("Razonar",$R1000))),0)</f>
        <v>0.333333333333333</v>
      </c>
      <c r="V1000" s="8" t="s">
        <v>383</v>
      </c>
      <c r="W1000" s="8" t="s">
        <v>4173</v>
      </c>
    </row>
    <row r="1001" customFormat="false" ht="15" hidden="false" customHeight="false" outlineLevel="0" collapsed="false">
      <c r="A1001" s="8" t="s">
        <v>4561</v>
      </c>
      <c r="B1001" s="8" t="n">
        <v>10</v>
      </c>
      <c r="C1001" s="8" t="s">
        <v>90</v>
      </c>
      <c r="D1001" s="8" t="s">
        <v>4164</v>
      </c>
      <c r="E1001" s="8" t="s">
        <v>4165</v>
      </c>
      <c r="F1001" s="8" t="n">
        <v>110</v>
      </c>
      <c r="G1001" s="8" t="s">
        <v>4547</v>
      </c>
      <c r="H1001" s="8" t="s">
        <v>4558</v>
      </c>
      <c r="I1001" s="27" t="s">
        <v>4562</v>
      </c>
      <c r="J1001" s="8" t="s">
        <v>4169</v>
      </c>
      <c r="K1001" s="8" t="s">
        <v>4170</v>
      </c>
      <c r="L1001" s="8"/>
      <c r="M1001" s="8" t="str">
        <f aca="false">IF(K1001="FUERA","Fuera del marco",IF(K1001="N/A","Sin marco",IFERROR(INDEX(Catalogo_TIMSS!$C$5:$C$105,MATCH(K1001,Catalogo_TIMSS!$A$5:$A$105,0)),"Pendiente de clasificar")))</f>
        <v>Sin marco</v>
      </c>
      <c r="N1001" s="8" t="str">
        <f aca="false">IF(K1001="FUERA","Fuera del marco",IF(K1001="N/A","Sin marco",IFERROR(INDEX(Catalogo_TIMSS!$F$5:$F$105,MATCH(K1001,Catalogo_TIMSS!$A$5:$A$105,0)),"Pendiente de clasificar")))</f>
        <v>Sin marco</v>
      </c>
      <c r="O1001" s="8" t="str">
        <f aca="false">IF(L1001="","",IFERROR(INDEX(Catalogo_TIMSS!$C$5:$C$105,MATCH(L1001,Catalogo_TIMSS!$A$5:$A$105,0)),"?"))</f>
        <v/>
      </c>
      <c r="P1001" s="8" t="s">
        <v>4170</v>
      </c>
      <c r="Q1001" s="27" t="s">
        <v>4171</v>
      </c>
      <c r="R1001" s="27" t="s">
        <v>4563</v>
      </c>
      <c r="S1001" s="28" t="n">
        <f aca="false">IFERROR(ISNUMBER(SEARCH("Conocer",$R1001))/(ISNUMBER(SEARCH("Conocer",$R1001))+ISNUMBER(SEARCH("Aplicar",$R1001))+ISNUMBER(SEARCH("Razonar",$R1001))),0)</f>
        <v>0.333333333333333</v>
      </c>
      <c r="T1001" s="28" t="n">
        <f aca="false">IFERROR(ISNUMBER(SEARCH("Aplicar",$R1001))/(ISNUMBER(SEARCH("Conocer",$R1001))+ISNUMBER(SEARCH("Aplicar",$R1001))+ISNUMBER(SEARCH("Razonar",$R1001))),0)</f>
        <v>0.333333333333333</v>
      </c>
      <c r="U1001" s="28" t="n">
        <f aca="false">IFERROR(ISNUMBER(SEARCH("Razonar",$R1001))/(ISNUMBER(SEARCH("Conocer",$R1001))+ISNUMBER(SEARCH("Aplicar",$R1001))+ISNUMBER(SEARCH("Razonar",$R1001))),0)</f>
        <v>0.333333333333333</v>
      </c>
      <c r="V1001" s="8" t="s">
        <v>383</v>
      </c>
      <c r="W1001" s="8" t="s">
        <v>4173</v>
      </c>
    </row>
    <row r="1002" customFormat="false" ht="15" hidden="false" customHeight="false" outlineLevel="0" collapsed="false">
      <c r="A1002" s="8" t="s">
        <v>4564</v>
      </c>
      <c r="B1002" s="8" t="n">
        <v>10</v>
      </c>
      <c r="C1002" s="8" t="s">
        <v>90</v>
      </c>
      <c r="D1002" s="8" t="s">
        <v>4164</v>
      </c>
      <c r="E1002" s="8" t="s">
        <v>4165</v>
      </c>
      <c r="F1002" s="8" t="n">
        <v>111</v>
      </c>
      <c r="G1002" s="8" t="s">
        <v>4547</v>
      </c>
      <c r="H1002" s="8" t="s">
        <v>4558</v>
      </c>
      <c r="I1002" s="27" t="s">
        <v>4565</v>
      </c>
      <c r="J1002" s="8" t="s">
        <v>4169</v>
      </c>
      <c r="K1002" s="8" t="s">
        <v>4170</v>
      </c>
      <c r="L1002" s="8"/>
      <c r="M1002" s="8" t="str">
        <f aca="false">IF(K1002="FUERA","Fuera del marco",IF(K1002="N/A","Sin marco",IFERROR(INDEX(Catalogo_TIMSS!$C$5:$C$105,MATCH(K1002,Catalogo_TIMSS!$A$5:$A$105,0)),"Pendiente de clasificar")))</f>
        <v>Sin marco</v>
      </c>
      <c r="N1002" s="8" t="str">
        <f aca="false">IF(K1002="FUERA","Fuera del marco",IF(K1002="N/A","Sin marco",IFERROR(INDEX(Catalogo_TIMSS!$F$5:$F$105,MATCH(K1002,Catalogo_TIMSS!$A$5:$A$105,0)),"Pendiente de clasificar")))</f>
        <v>Sin marco</v>
      </c>
      <c r="O1002" s="8" t="str">
        <f aca="false">IF(L1002="","",IFERROR(INDEX(Catalogo_TIMSS!$C$5:$C$105,MATCH(L1002,Catalogo_TIMSS!$A$5:$A$105,0)),"?"))</f>
        <v/>
      </c>
      <c r="P1002" s="8" t="s">
        <v>4170</v>
      </c>
      <c r="Q1002" s="27" t="s">
        <v>4171</v>
      </c>
      <c r="R1002" s="27" t="s">
        <v>4566</v>
      </c>
      <c r="S1002" s="28" t="n">
        <f aca="false">IFERROR(ISNUMBER(SEARCH("Conocer",$R1002))/(ISNUMBER(SEARCH("Conocer",$R1002))+ISNUMBER(SEARCH("Aplicar",$R1002))+ISNUMBER(SEARCH("Razonar",$R1002))),0)</f>
        <v>0.333333333333333</v>
      </c>
      <c r="T1002" s="28" t="n">
        <f aca="false">IFERROR(ISNUMBER(SEARCH("Aplicar",$R1002))/(ISNUMBER(SEARCH("Conocer",$R1002))+ISNUMBER(SEARCH("Aplicar",$R1002))+ISNUMBER(SEARCH("Razonar",$R1002))),0)</f>
        <v>0.333333333333333</v>
      </c>
      <c r="U1002" s="28" t="n">
        <f aca="false">IFERROR(ISNUMBER(SEARCH("Razonar",$R1002))/(ISNUMBER(SEARCH("Conocer",$R1002))+ISNUMBER(SEARCH("Aplicar",$R1002))+ISNUMBER(SEARCH("Razonar",$R1002))),0)</f>
        <v>0.333333333333333</v>
      </c>
      <c r="V1002" s="8" t="s">
        <v>383</v>
      </c>
      <c r="W1002" s="8" t="s">
        <v>4173</v>
      </c>
    </row>
    <row r="1003" customFormat="false" ht="15" hidden="false" customHeight="false" outlineLevel="0" collapsed="false">
      <c r="A1003" s="8" t="s">
        <v>4567</v>
      </c>
      <c r="B1003" s="8" t="n">
        <v>10</v>
      </c>
      <c r="C1003" s="8" t="s">
        <v>90</v>
      </c>
      <c r="D1003" s="8" t="s">
        <v>4164</v>
      </c>
      <c r="E1003" s="8" t="s">
        <v>4165</v>
      </c>
      <c r="F1003" s="8" t="n">
        <v>112</v>
      </c>
      <c r="G1003" s="8" t="s">
        <v>4547</v>
      </c>
      <c r="H1003" s="8" t="s">
        <v>4558</v>
      </c>
      <c r="I1003" s="27" t="s">
        <v>4568</v>
      </c>
      <c r="J1003" s="8" t="s">
        <v>4169</v>
      </c>
      <c r="K1003" s="8" t="s">
        <v>4170</v>
      </c>
      <c r="L1003" s="8"/>
      <c r="M1003" s="8" t="str">
        <f aca="false">IF(K1003="FUERA","Fuera del marco",IF(K1003="N/A","Sin marco",IFERROR(INDEX(Catalogo_TIMSS!$C$5:$C$105,MATCH(K1003,Catalogo_TIMSS!$A$5:$A$105,0)),"Pendiente de clasificar")))</f>
        <v>Sin marco</v>
      </c>
      <c r="N1003" s="8" t="str">
        <f aca="false">IF(K1003="FUERA","Fuera del marco",IF(K1003="N/A","Sin marco",IFERROR(INDEX(Catalogo_TIMSS!$F$5:$F$105,MATCH(K1003,Catalogo_TIMSS!$A$5:$A$105,0)),"Pendiente de clasificar")))</f>
        <v>Sin marco</v>
      </c>
      <c r="O1003" s="8" t="str">
        <f aca="false">IF(L1003="","",IFERROR(INDEX(Catalogo_TIMSS!$C$5:$C$105,MATCH(L1003,Catalogo_TIMSS!$A$5:$A$105,0)),"?"))</f>
        <v/>
      </c>
      <c r="P1003" s="8" t="s">
        <v>4170</v>
      </c>
      <c r="Q1003" s="27" t="s">
        <v>4171</v>
      </c>
      <c r="R1003" s="27" t="s">
        <v>4569</v>
      </c>
      <c r="S1003" s="28" t="n">
        <f aca="false">IFERROR(ISNUMBER(SEARCH("Conocer",$R1003))/(ISNUMBER(SEARCH("Conocer",$R1003))+ISNUMBER(SEARCH("Aplicar",$R1003))+ISNUMBER(SEARCH("Razonar",$R1003))),0)</f>
        <v>0.333333333333333</v>
      </c>
      <c r="T1003" s="28" t="n">
        <f aca="false">IFERROR(ISNUMBER(SEARCH("Aplicar",$R1003))/(ISNUMBER(SEARCH("Conocer",$R1003))+ISNUMBER(SEARCH("Aplicar",$R1003))+ISNUMBER(SEARCH("Razonar",$R1003))),0)</f>
        <v>0.333333333333333</v>
      </c>
      <c r="U1003" s="28" t="n">
        <f aca="false">IFERROR(ISNUMBER(SEARCH("Razonar",$R1003))/(ISNUMBER(SEARCH("Conocer",$R1003))+ISNUMBER(SEARCH("Aplicar",$R1003))+ISNUMBER(SEARCH("Razonar",$R1003))),0)</f>
        <v>0.333333333333333</v>
      </c>
      <c r="V1003" s="8" t="s">
        <v>383</v>
      </c>
      <c r="W1003" s="8" t="s">
        <v>4173</v>
      </c>
    </row>
    <row r="1004" customFormat="false" ht="15" hidden="false" customHeight="false" outlineLevel="0" collapsed="false">
      <c r="A1004" s="8" t="s">
        <v>4570</v>
      </c>
      <c r="B1004" s="8" t="n">
        <v>10</v>
      </c>
      <c r="C1004" s="8" t="s">
        <v>90</v>
      </c>
      <c r="D1004" s="8" t="s">
        <v>4164</v>
      </c>
      <c r="E1004" s="8" t="s">
        <v>4165</v>
      </c>
      <c r="F1004" s="8" t="n">
        <v>113</v>
      </c>
      <c r="G1004" s="8" t="s">
        <v>4547</v>
      </c>
      <c r="H1004" s="8" t="s">
        <v>4571</v>
      </c>
      <c r="I1004" s="27" t="s">
        <v>4572</v>
      </c>
      <c r="J1004" s="8" t="s">
        <v>4169</v>
      </c>
      <c r="K1004" s="8" t="s">
        <v>4170</v>
      </c>
      <c r="L1004" s="8"/>
      <c r="M1004" s="8" t="str">
        <f aca="false">IF(K1004="FUERA","Fuera del marco",IF(K1004="N/A","Sin marco",IFERROR(INDEX(Catalogo_TIMSS!$C$5:$C$105,MATCH(K1004,Catalogo_TIMSS!$A$5:$A$105,0)),"Pendiente de clasificar")))</f>
        <v>Sin marco</v>
      </c>
      <c r="N1004" s="8" t="str">
        <f aca="false">IF(K1004="FUERA","Fuera del marco",IF(K1004="N/A","Sin marco",IFERROR(INDEX(Catalogo_TIMSS!$F$5:$F$105,MATCH(K1004,Catalogo_TIMSS!$A$5:$A$105,0)),"Pendiente de clasificar")))</f>
        <v>Sin marco</v>
      </c>
      <c r="O1004" s="8" t="str">
        <f aca="false">IF(L1004="","",IFERROR(INDEX(Catalogo_TIMSS!$C$5:$C$105,MATCH(L1004,Catalogo_TIMSS!$A$5:$A$105,0)),"?"))</f>
        <v/>
      </c>
      <c r="P1004" s="8" t="s">
        <v>4170</v>
      </c>
      <c r="Q1004" s="27" t="s">
        <v>4171</v>
      </c>
      <c r="R1004" s="27" t="s">
        <v>4573</v>
      </c>
      <c r="S1004" s="28" t="n">
        <f aca="false">IFERROR(ISNUMBER(SEARCH("Conocer",$R1004))/(ISNUMBER(SEARCH("Conocer",$R1004))+ISNUMBER(SEARCH("Aplicar",$R1004))+ISNUMBER(SEARCH("Razonar",$R1004))),0)</f>
        <v>0.333333333333333</v>
      </c>
      <c r="T1004" s="28" t="n">
        <f aca="false">IFERROR(ISNUMBER(SEARCH("Aplicar",$R1004))/(ISNUMBER(SEARCH("Conocer",$R1004))+ISNUMBER(SEARCH("Aplicar",$R1004))+ISNUMBER(SEARCH("Razonar",$R1004))),0)</f>
        <v>0.333333333333333</v>
      </c>
      <c r="U1004" s="28" t="n">
        <f aca="false">IFERROR(ISNUMBER(SEARCH("Razonar",$R1004))/(ISNUMBER(SEARCH("Conocer",$R1004))+ISNUMBER(SEARCH("Aplicar",$R1004))+ISNUMBER(SEARCH("Razonar",$R1004))),0)</f>
        <v>0.333333333333333</v>
      </c>
      <c r="V1004" s="8" t="s">
        <v>383</v>
      </c>
      <c r="W1004" s="8" t="s">
        <v>4173</v>
      </c>
    </row>
    <row r="1005" customFormat="false" ht="15" hidden="false" customHeight="false" outlineLevel="0" collapsed="false">
      <c r="A1005" s="8" t="s">
        <v>4574</v>
      </c>
      <c r="B1005" s="8" t="n">
        <v>10</v>
      </c>
      <c r="C1005" s="8" t="s">
        <v>90</v>
      </c>
      <c r="D1005" s="8" t="s">
        <v>4164</v>
      </c>
      <c r="E1005" s="8" t="s">
        <v>4165</v>
      </c>
      <c r="F1005" s="8" t="n">
        <v>114</v>
      </c>
      <c r="G1005" s="8" t="s">
        <v>4547</v>
      </c>
      <c r="H1005" s="8" t="s">
        <v>4575</v>
      </c>
      <c r="I1005" s="27" t="s">
        <v>4576</v>
      </c>
      <c r="J1005" s="8" t="s">
        <v>4169</v>
      </c>
      <c r="K1005" s="8" t="s">
        <v>4170</v>
      </c>
      <c r="L1005" s="8"/>
      <c r="M1005" s="8" t="str">
        <f aca="false">IF(K1005="FUERA","Fuera del marco",IF(K1005="N/A","Sin marco",IFERROR(INDEX(Catalogo_TIMSS!$C$5:$C$105,MATCH(K1005,Catalogo_TIMSS!$A$5:$A$105,0)),"Pendiente de clasificar")))</f>
        <v>Sin marco</v>
      </c>
      <c r="N1005" s="8" t="str">
        <f aca="false">IF(K1005="FUERA","Fuera del marco",IF(K1005="N/A","Sin marco",IFERROR(INDEX(Catalogo_TIMSS!$F$5:$F$105,MATCH(K1005,Catalogo_TIMSS!$A$5:$A$105,0)),"Pendiente de clasificar")))</f>
        <v>Sin marco</v>
      </c>
      <c r="O1005" s="8" t="str">
        <f aca="false">IF(L1005="","",IFERROR(INDEX(Catalogo_TIMSS!$C$5:$C$105,MATCH(L1005,Catalogo_TIMSS!$A$5:$A$105,0)),"?"))</f>
        <v/>
      </c>
      <c r="P1005" s="8" t="s">
        <v>4170</v>
      </c>
      <c r="Q1005" s="27" t="s">
        <v>4171</v>
      </c>
      <c r="R1005" s="27" t="s">
        <v>4577</v>
      </c>
      <c r="S1005" s="28" t="n">
        <f aca="false">IFERROR(ISNUMBER(SEARCH("Conocer",$R1005))/(ISNUMBER(SEARCH("Conocer",$R1005))+ISNUMBER(SEARCH("Aplicar",$R1005))+ISNUMBER(SEARCH("Razonar",$R1005))),0)</f>
        <v>0.333333333333333</v>
      </c>
      <c r="T1005" s="28" t="n">
        <f aca="false">IFERROR(ISNUMBER(SEARCH("Aplicar",$R1005))/(ISNUMBER(SEARCH("Conocer",$R1005))+ISNUMBER(SEARCH("Aplicar",$R1005))+ISNUMBER(SEARCH("Razonar",$R1005))),0)</f>
        <v>0.333333333333333</v>
      </c>
      <c r="U1005" s="28" t="n">
        <f aca="false">IFERROR(ISNUMBER(SEARCH("Razonar",$R1005))/(ISNUMBER(SEARCH("Conocer",$R1005))+ISNUMBER(SEARCH("Aplicar",$R1005))+ISNUMBER(SEARCH("Razonar",$R1005))),0)</f>
        <v>0.333333333333333</v>
      </c>
      <c r="V1005" s="8" t="s">
        <v>383</v>
      </c>
      <c r="W1005" s="8" t="s">
        <v>4173</v>
      </c>
    </row>
    <row r="1006" customFormat="false" ht="15" hidden="false" customHeight="false" outlineLevel="0" collapsed="false">
      <c r="A1006" s="8" t="s">
        <v>4578</v>
      </c>
      <c r="B1006" s="8" t="n">
        <v>11</v>
      </c>
      <c r="C1006" s="8" t="s">
        <v>90</v>
      </c>
      <c r="D1006" s="8" t="s">
        <v>4164</v>
      </c>
      <c r="E1006" s="8" t="s">
        <v>4579</v>
      </c>
      <c r="F1006" s="8" t="n">
        <v>3</v>
      </c>
      <c r="G1006" s="8" t="s">
        <v>4580</v>
      </c>
      <c r="H1006" s="8" t="s">
        <v>4581</v>
      </c>
      <c r="I1006" s="27" t="s">
        <v>4582</v>
      </c>
      <c r="J1006" s="8" t="s">
        <v>4169</v>
      </c>
      <c r="K1006" s="8" t="s">
        <v>4170</v>
      </c>
      <c r="L1006" s="8"/>
      <c r="M1006" s="8" t="str">
        <f aca="false">IF(K1006="FUERA","Fuera del marco",IF(K1006="N/A","Sin marco",IFERROR(INDEX(Catalogo_TIMSS!$C$5:$C$105,MATCH(K1006,Catalogo_TIMSS!$A$5:$A$105,0)),"Pendiente de clasificar")))</f>
        <v>Sin marco</v>
      </c>
      <c r="N1006" s="8" t="str">
        <f aca="false">IF(K1006="FUERA","Fuera del marco",IF(K1006="N/A","Sin marco",IFERROR(INDEX(Catalogo_TIMSS!$F$5:$F$105,MATCH(K1006,Catalogo_TIMSS!$A$5:$A$105,0)),"Pendiente de clasificar")))</f>
        <v>Sin marco</v>
      </c>
      <c r="O1006" s="8" t="str">
        <f aca="false">IF(L1006="","",IFERROR(INDEX(Catalogo_TIMSS!$C$5:$C$105,MATCH(L1006,Catalogo_TIMSS!$A$5:$A$105,0)),"?"))</f>
        <v/>
      </c>
      <c r="P1006" s="8" t="s">
        <v>4170</v>
      </c>
      <c r="Q1006" s="27" t="s">
        <v>4171</v>
      </c>
      <c r="R1006" s="27" t="s">
        <v>4583</v>
      </c>
      <c r="S1006" s="28" t="n">
        <f aca="false">IFERROR(ISNUMBER(SEARCH("Conocer",$R1006))/(ISNUMBER(SEARCH("Conocer",$R1006))+ISNUMBER(SEARCH("Aplicar",$R1006))+ISNUMBER(SEARCH("Razonar",$R1006))),0)</f>
        <v>0.333333333333333</v>
      </c>
      <c r="T1006" s="28" t="n">
        <f aca="false">IFERROR(ISNUMBER(SEARCH("Aplicar",$R1006))/(ISNUMBER(SEARCH("Conocer",$R1006))+ISNUMBER(SEARCH("Aplicar",$R1006))+ISNUMBER(SEARCH("Razonar",$R1006))),0)</f>
        <v>0.333333333333333</v>
      </c>
      <c r="U1006" s="28" t="n">
        <f aca="false">IFERROR(ISNUMBER(SEARCH("Razonar",$R1006))/(ISNUMBER(SEARCH("Conocer",$R1006))+ISNUMBER(SEARCH("Aplicar",$R1006))+ISNUMBER(SEARCH("Razonar",$R1006))),0)</f>
        <v>0.333333333333333</v>
      </c>
      <c r="V1006" s="8" t="s">
        <v>385</v>
      </c>
      <c r="W1006" s="8" t="s">
        <v>4173</v>
      </c>
    </row>
    <row r="1007" customFormat="false" ht="15" hidden="false" customHeight="false" outlineLevel="0" collapsed="false">
      <c r="A1007" s="8" t="s">
        <v>4584</v>
      </c>
      <c r="B1007" s="8" t="n">
        <v>11</v>
      </c>
      <c r="C1007" s="8" t="s">
        <v>90</v>
      </c>
      <c r="D1007" s="8" t="s">
        <v>4164</v>
      </c>
      <c r="E1007" s="8" t="s">
        <v>4579</v>
      </c>
      <c r="F1007" s="8" t="n">
        <v>4</v>
      </c>
      <c r="G1007" s="8" t="s">
        <v>4580</v>
      </c>
      <c r="H1007" s="8" t="s">
        <v>4581</v>
      </c>
      <c r="I1007" s="27" t="s">
        <v>4585</v>
      </c>
      <c r="J1007" s="8" t="s">
        <v>4169</v>
      </c>
      <c r="K1007" s="8" t="s">
        <v>4170</v>
      </c>
      <c r="L1007" s="8"/>
      <c r="M1007" s="8" t="str">
        <f aca="false">IF(K1007="FUERA","Fuera del marco",IF(K1007="N/A","Sin marco",IFERROR(INDEX(Catalogo_TIMSS!$C$5:$C$105,MATCH(K1007,Catalogo_TIMSS!$A$5:$A$105,0)),"Pendiente de clasificar")))</f>
        <v>Sin marco</v>
      </c>
      <c r="N1007" s="8" t="str">
        <f aca="false">IF(K1007="FUERA","Fuera del marco",IF(K1007="N/A","Sin marco",IFERROR(INDEX(Catalogo_TIMSS!$F$5:$F$105,MATCH(K1007,Catalogo_TIMSS!$A$5:$A$105,0)),"Pendiente de clasificar")))</f>
        <v>Sin marco</v>
      </c>
      <c r="O1007" s="8" t="str">
        <f aca="false">IF(L1007="","",IFERROR(INDEX(Catalogo_TIMSS!$C$5:$C$105,MATCH(L1007,Catalogo_TIMSS!$A$5:$A$105,0)),"?"))</f>
        <v/>
      </c>
      <c r="P1007" s="8" t="s">
        <v>4170</v>
      </c>
      <c r="Q1007" s="27" t="s">
        <v>4171</v>
      </c>
      <c r="R1007" s="27" t="s">
        <v>4586</v>
      </c>
      <c r="S1007" s="28" t="n">
        <f aca="false">IFERROR(ISNUMBER(SEARCH("Conocer",$R1007))/(ISNUMBER(SEARCH("Conocer",$R1007))+ISNUMBER(SEARCH("Aplicar",$R1007))+ISNUMBER(SEARCH("Razonar",$R1007))),0)</f>
        <v>0.5</v>
      </c>
      <c r="T1007" s="28" t="n">
        <f aca="false">IFERROR(ISNUMBER(SEARCH("Aplicar",$R1007))/(ISNUMBER(SEARCH("Conocer",$R1007))+ISNUMBER(SEARCH("Aplicar",$R1007))+ISNUMBER(SEARCH("Razonar",$R1007))),0)</f>
        <v>0</v>
      </c>
      <c r="U1007" s="28" t="n">
        <f aca="false">IFERROR(ISNUMBER(SEARCH("Razonar",$R1007))/(ISNUMBER(SEARCH("Conocer",$R1007))+ISNUMBER(SEARCH("Aplicar",$R1007))+ISNUMBER(SEARCH("Razonar",$R1007))),0)</f>
        <v>0.5</v>
      </c>
      <c r="V1007" s="8" t="s">
        <v>385</v>
      </c>
      <c r="W1007" s="8" t="s">
        <v>4173</v>
      </c>
    </row>
    <row r="1008" customFormat="false" ht="15" hidden="false" customHeight="false" outlineLevel="0" collapsed="false">
      <c r="A1008" s="8" t="s">
        <v>4587</v>
      </c>
      <c r="B1008" s="8" t="n">
        <v>11</v>
      </c>
      <c r="C1008" s="8" t="s">
        <v>90</v>
      </c>
      <c r="D1008" s="8" t="s">
        <v>4164</v>
      </c>
      <c r="E1008" s="8" t="s">
        <v>4579</v>
      </c>
      <c r="F1008" s="8" t="n">
        <v>5</v>
      </c>
      <c r="G1008" s="8" t="s">
        <v>4580</v>
      </c>
      <c r="H1008" s="8" t="s">
        <v>4581</v>
      </c>
      <c r="I1008" s="27" t="s">
        <v>4588</v>
      </c>
      <c r="J1008" s="8" t="s">
        <v>4169</v>
      </c>
      <c r="K1008" s="8" t="s">
        <v>4170</v>
      </c>
      <c r="L1008" s="8"/>
      <c r="M1008" s="8" t="str">
        <f aca="false">IF(K1008="FUERA","Fuera del marco",IF(K1008="N/A","Sin marco",IFERROR(INDEX(Catalogo_TIMSS!$C$5:$C$105,MATCH(K1008,Catalogo_TIMSS!$A$5:$A$105,0)),"Pendiente de clasificar")))</f>
        <v>Sin marco</v>
      </c>
      <c r="N1008" s="8" t="str">
        <f aca="false">IF(K1008="FUERA","Fuera del marco",IF(K1008="N/A","Sin marco",IFERROR(INDEX(Catalogo_TIMSS!$F$5:$F$105,MATCH(K1008,Catalogo_TIMSS!$A$5:$A$105,0)),"Pendiente de clasificar")))</f>
        <v>Sin marco</v>
      </c>
      <c r="O1008" s="8" t="str">
        <f aca="false">IF(L1008="","",IFERROR(INDEX(Catalogo_TIMSS!$C$5:$C$105,MATCH(L1008,Catalogo_TIMSS!$A$5:$A$105,0)),"?"))</f>
        <v/>
      </c>
      <c r="P1008" s="8" t="s">
        <v>4170</v>
      </c>
      <c r="Q1008" s="27" t="s">
        <v>4171</v>
      </c>
      <c r="R1008" s="27" t="s">
        <v>4589</v>
      </c>
      <c r="S1008" s="28" t="n">
        <f aca="false">IFERROR(ISNUMBER(SEARCH("Conocer",$R1008))/(ISNUMBER(SEARCH("Conocer",$R1008))+ISNUMBER(SEARCH("Aplicar",$R1008))+ISNUMBER(SEARCH("Razonar",$R1008))),0)</f>
        <v>0</v>
      </c>
      <c r="T1008" s="28" t="n">
        <f aca="false">IFERROR(ISNUMBER(SEARCH("Aplicar",$R1008))/(ISNUMBER(SEARCH("Conocer",$R1008))+ISNUMBER(SEARCH("Aplicar",$R1008))+ISNUMBER(SEARCH("Razonar",$R1008))),0)</f>
        <v>0.5</v>
      </c>
      <c r="U1008" s="28" t="n">
        <f aca="false">IFERROR(ISNUMBER(SEARCH("Razonar",$R1008))/(ISNUMBER(SEARCH("Conocer",$R1008))+ISNUMBER(SEARCH("Aplicar",$R1008))+ISNUMBER(SEARCH("Razonar",$R1008))),0)</f>
        <v>0.5</v>
      </c>
      <c r="V1008" s="8" t="s">
        <v>385</v>
      </c>
      <c r="W1008" s="8" t="s">
        <v>4173</v>
      </c>
    </row>
    <row r="1009" customFormat="false" ht="15" hidden="false" customHeight="false" outlineLevel="0" collapsed="false">
      <c r="A1009" s="8" t="s">
        <v>4590</v>
      </c>
      <c r="B1009" s="8" t="n">
        <v>11</v>
      </c>
      <c r="C1009" s="8" t="s">
        <v>90</v>
      </c>
      <c r="D1009" s="8" t="s">
        <v>4164</v>
      </c>
      <c r="E1009" s="8" t="s">
        <v>4579</v>
      </c>
      <c r="F1009" s="8" t="n">
        <v>6</v>
      </c>
      <c r="G1009" s="8" t="s">
        <v>4580</v>
      </c>
      <c r="H1009" s="8" t="s">
        <v>4591</v>
      </c>
      <c r="I1009" s="27" t="s">
        <v>4592</v>
      </c>
      <c r="J1009" s="8" t="s">
        <v>4169</v>
      </c>
      <c r="K1009" s="8" t="s">
        <v>4170</v>
      </c>
      <c r="L1009" s="8"/>
      <c r="M1009" s="8" t="str">
        <f aca="false">IF(K1009="FUERA","Fuera del marco",IF(K1009="N/A","Sin marco",IFERROR(INDEX(Catalogo_TIMSS!$C$5:$C$105,MATCH(K1009,Catalogo_TIMSS!$A$5:$A$105,0)),"Pendiente de clasificar")))</f>
        <v>Sin marco</v>
      </c>
      <c r="N1009" s="8" t="str">
        <f aca="false">IF(K1009="FUERA","Fuera del marco",IF(K1009="N/A","Sin marco",IFERROR(INDEX(Catalogo_TIMSS!$F$5:$F$105,MATCH(K1009,Catalogo_TIMSS!$A$5:$A$105,0)),"Pendiente de clasificar")))</f>
        <v>Sin marco</v>
      </c>
      <c r="O1009" s="8" t="str">
        <f aca="false">IF(L1009="","",IFERROR(INDEX(Catalogo_TIMSS!$C$5:$C$105,MATCH(L1009,Catalogo_TIMSS!$A$5:$A$105,0)),"?"))</f>
        <v/>
      </c>
      <c r="P1009" s="8" t="s">
        <v>4170</v>
      </c>
      <c r="Q1009" s="27" t="s">
        <v>4171</v>
      </c>
      <c r="R1009" s="27" t="s">
        <v>4593</v>
      </c>
      <c r="S1009" s="28" t="n">
        <f aca="false">IFERROR(ISNUMBER(SEARCH("Conocer",$R1009))/(ISNUMBER(SEARCH("Conocer",$R1009))+ISNUMBER(SEARCH("Aplicar",$R1009))+ISNUMBER(SEARCH("Razonar",$R1009))),0)</f>
        <v>0.5</v>
      </c>
      <c r="T1009" s="28" t="n">
        <f aca="false">IFERROR(ISNUMBER(SEARCH("Aplicar",$R1009))/(ISNUMBER(SEARCH("Conocer",$R1009))+ISNUMBER(SEARCH("Aplicar",$R1009))+ISNUMBER(SEARCH("Razonar",$R1009))),0)</f>
        <v>0.5</v>
      </c>
      <c r="U1009" s="28" t="n">
        <f aca="false">IFERROR(ISNUMBER(SEARCH("Razonar",$R1009))/(ISNUMBER(SEARCH("Conocer",$R1009))+ISNUMBER(SEARCH("Aplicar",$R1009))+ISNUMBER(SEARCH("Razonar",$R1009))),0)</f>
        <v>0</v>
      </c>
      <c r="V1009" s="8" t="s">
        <v>385</v>
      </c>
      <c r="W1009" s="8" t="s">
        <v>4173</v>
      </c>
    </row>
    <row r="1010" customFormat="false" ht="15" hidden="false" customHeight="false" outlineLevel="0" collapsed="false">
      <c r="A1010" s="8" t="s">
        <v>4594</v>
      </c>
      <c r="B1010" s="8" t="n">
        <v>11</v>
      </c>
      <c r="C1010" s="8" t="s">
        <v>90</v>
      </c>
      <c r="D1010" s="8" t="s">
        <v>4164</v>
      </c>
      <c r="E1010" s="8" t="s">
        <v>4579</v>
      </c>
      <c r="F1010" s="8" t="n">
        <v>7</v>
      </c>
      <c r="G1010" s="8" t="s">
        <v>4580</v>
      </c>
      <c r="H1010" s="8" t="s">
        <v>4591</v>
      </c>
      <c r="I1010" s="27" t="s">
        <v>4595</v>
      </c>
      <c r="J1010" s="8" t="s">
        <v>4169</v>
      </c>
      <c r="K1010" s="8" t="s">
        <v>4170</v>
      </c>
      <c r="L1010" s="8"/>
      <c r="M1010" s="8" t="str">
        <f aca="false">IF(K1010="FUERA","Fuera del marco",IF(K1010="N/A","Sin marco",IFERROR(INDEX(Catalogo_TIMSS!$C$5:$C$105,MATCH(K1010,Catalogo_TIMSS!$A$5:$A$105,0)),"Pendiente de clasificar")))</f>
        <v>Sin marco</v>
      </c>
      <c r="N1010" s="8" t="str">
        <f aca="false">IF(K1010="FUERA","Fuera del marco",IF(K1010="N/A","Sin marco",IFERROR(INDEX(Catalogo_TIMSS!$F$5:$F$105,MATCH(K1010,Catalogo_TIMSS!$A$5:$A$105,0)),"Pendiente de clasificar")))</f>
        <v>Sin marco</v>
      </c>
      <c r="O1010" s="8" t="str">
        <f aca="false">IF(L1010="","",IFERROR(INDEX(Catalogo_TIMSS!$C$5:$C$105,MATCH(L1010,Catalogo_TIMSS!$A$5:$A$105,0)),"?"))</f>
        <v/>
      </c>
      <c r="P1010" s="8" t="s">
        <v>4170</v>
      </c>
      <c r="Q1010" s="27" t="s">
        <v>4171</v>
      </c>
      <c r="R1010" s="27" t="s">
        <v>4596</v>
      </c>
      <c r="S1010" s="28" t="n">
        <f aca="false">IFERROR(ISNUMBER(SEARCH("Conocer",$R1010))/(ISNUMBER(SEARCH("Conocer",$R1010))+ISNUMBER(SEARCH("Aplicar",$R1010))+ISNUMBER(SEARCH("Razonar",$R1010))),0)</f>
        <v>0</v>
      </c>
      <c r="T1010" s="28" t="n">
        <f aca="false">IFERROR(ISNUMBER(SEARCH("Aplicar",$R1010))/(ISNUMBER(SEARCH("Conocer",$R1010))+ISNUMBER(SEARCH("Aplicar",$R1010))+ISNUMBER(SEARCH("Razonar",$R1010))),0)</f>
        <v>0.5</v>
      </c>
      <c r="U1010" s="28" t="n">
        <f aca="false">IFERROR(ISNUMBER(SEARCH("Razonar",$R1010))/(ISNUMBER(SEARCH("Conocer",$R1010))+ISNUMBER(SEARCH("Aplicar",$R1010))+ISNUMBER(SEARCH("Razonar",$R1010))),0)</f>
        <v>0.5</v>
      </c>
      <c r="V1010" s="8" t="s">
        <v>385</v>
      </c>
      <c r="W1010" s="8" t="s">
        <v>4173</v>
      </c>
    </row>
    <row r="1011" customFormat="false" ht="15" hidden="false" customHeight="false" outlineLevel="0" collapsed="false">
      <c r="A1011" s="8" t="s">
        <v>4597</v>
      </c>
      <c r="B1011" s="8" t="n">
        <v>11</v>
      </c>
      <c r="C1011" s="8" t="s">
        <v>90</v>
      </c>
      <c r="D1011" s="8" t="s">
        <v>4164</v>
      </c>
      <c r="E1011" s="8" t="s">
        <v>4579</v>
      </c>
      <c r="F1011" s="8" t="n">
        <v>8</v>
      </c>
      <c r="G1011" s="8" t="s">
        <v>4580</v>
      </c>
      <c r="H1011" s="8" t="s">
        <v>4591</v>
      </c>
      <c r="I1011" s="27" t="s">
        <v>4598</v>
      </c>
      <c r="J1011" s="8" t="s">
        <v>4169</v>
      </c>
      <c r="K1011" s="8" t="s">
        <v>4170</v>
      </c>
      <c r="L1011" s="8"/>
      <c r="M1011" s="8" t="str">
        <f aca="false">IF(K1011="FUERA","Fuera del marco",IF(K1011="N/A","Sin marco",IFERROR(INDEX(Catalogo_TIMSS!$C$5:$C$105,MATCH(K1011,Catalogo_TIMSS!$A$5:$A$105,0)),"Pendiente de clasificar")))</f>
        <v>Sin marco</v>
      </c>
      <c r="N1011" s="8" t="str">
        <f aca="false">IF(K1011="FUERA","Fuera del marco",IF(K1011="N/A","Sin marco",IFERROR(INDEX(Catalogo_TIMSS!$F$5:$F$105,MATCH(K1011,Catalogo_TIMSS!$A$5:$A$105,0)),"Pendiente de clasificar")))</f>
        <v>Sin marco</v>
      </c>
      <c r="O1011" s="8" t="str">
        <f aca="false">IF(L1011="","",IFERROR(INDEX(Catalogo_TIMSS!$C$5:$C$105,MATCH(L1011,Catalogo_TIMSS!$A$5:$A$105,0)),"?"))</f>
        <v/>
      </c>
      <c r="P1011" s="8" t="s">
        <v>4170</v>
      </c>
      <c r="Q1011" s="27" t="s">
        <v>4171</v>
      </c>
      <c r="R1011" s="27" t="s">
        <v>4599</v>
      </c>
      <c r="S1011" s="28" t="n">
        <f aca="false">IFERROR(ISNUMBER(SEARCH("Conocer",$R1011))/(ISNUMBER(SEARCH("Conocer",$R1011))+ISNUMBER(SEARCH("Aplicar",$R1011))+ISNUMBER(SEARCH("Razonar",$R1011))),0)</f>
        <v>0.5</v>
      </c>
      <c r="T1011" s="28" t="n">
        <f aca="false">IFERROR(ISNUMBER(SEARCH("Aplicar",$R1011))/(ISNUMBER(SEARCH("Conocer",$R1011))+ISNUMBER(SEARCH("Aplicar",$R1011))+ISNUMBER(SEARCH("Razonar",$R1011))),0)</f>
        <v>0</v>
      </c>
      <c r="U1011" s="28" t="n">
        <f aca="false">IFERROR(ISNUMBER(SEARCH("Razonar",$R1011))/(ISNUMBER(SEARCH("Conocer",$R1011))+ISNUMBER(SEARCH("Aplicar",$R1011))+ISNUMBER(SEARCH("Razonar",$R1011))),0)</f>
        <v>0.5</v>
      </c>
      <c r="V1011" s="8" t="s">
        <v>385</v>
      </c>
      <c r="W1011" s="8" t="s">
        <v>4173</v>
      </c>
    </row>
    <row r="1012" customFormat="false" ht="15" hidden="false" customHeight="false" outlineLevel="0" collapsed="false">
      <c r="A1012" s="8" t="s">
        <v>4600</v>
      </c>
      <c r="B1012" s="8" t="n">
        <v>11</v>
      </c>
      <c r="C1012" s="8" t="s">
        <v>90</v>
      </c>
      <c r="D1012" s="8" t="s">
        <v>4164</v>
      </c>
      <c r="E1012" s="8" t="s">
        <v>4579</v>
      </c>
      <c r="F1012" s="8" t="n">
        <v>9</v>
      </c>
      <c r="G1012" s="8" t="s">
        <v>4580</v>
      </c>
      <c r="H1012" s="8" t="s">
        <v>4601</v>
      </c>
      <c r="I1012" s="27" t="s">
        <v>4602</v>
      </c>
      <c r="J1012" s="8" t="s">
        <v>4169</v>
      </c>
      <c r="K1012" s="8" t="s">
        <v>4170</v>
      </c>
      <c r="L1012" s="8"/>
      <c r="M1012" s="8" t="str">
        <f aca="false">IF(K1012="FUERA","Fuera del marco",IF(K1012="N/A","Sin marco",IFERROR(INDEX(Catalogo_TIMSS!$C$5:$C$105,MATCH(K1012,Catalogo_TIMSS!$A$5:$A$105,0)),"Pendiente de clasificar")))</f>
        <v>Sin marco</v>
      </c>
      <c r="N1012" s="8" t="str">
        <f aca="false">IF(K1012="FUERA","Fuera del marco",IF(K1012="N/A","Sin marco",IFERROR(INDEX(Catalogo_TIMSS!$F$5:$F$105,MATCH(K1012,Catalogo_TIMSS!$A$5:$A$105,0)),"Pendiente de clasificar")))</f>
        <v>Sin marco</v>
      </c>
      <c r="O1012" s="8" t="str">
        <f aca="false">IF(L1012="","",IFERROR(INDEX(Catalogo_TIMSS!$C$5:$C$105,MATCH(L1012,Catalogo_TIMSS!$A$5:$A$105,0)),"?"))</f>
        <v/>
      </c>
      <c r="P1012" s="8" t="s">
        <v>4170</v>
      </c>
      <c r="Q1012" s="27" t="s">
        <v>4171</v>
      </c>
      <c r="R1012" s="27" t="s">
        <v>4603</v>
      </c>
      <c r="S1012" s="28" t="n">
        <f aca="false">IFERROR(ISNUMBER(SEARCH("Conocer",$R1012))/(ISNUMBER(SEARCH("Conocer",$R1012))+ISNUMBER(SEARCH("Aplicar",$R1012))+ISNUMBER(SEARCH("Razonar",$R1012))),0)</f>
        <v>0</v>
      </c>
      <c r="T1012" s="28" t="n">
        <f aca="false">IFERROR(ISNUMBER(SEARCH("Aplicar",$R1012))/(ISNUMBER(SEARCH("Conocer",$R1012))+ISNUMBER(SEARCH("Aplicar",$R1012))+ISNUMBER(SEARCH("Razonar",$R1012))),0)</f>
        <v>0.5</v>
      </c>
      <c r="U1012" s="28" t="n">
        <f aca="false">IFERROR(ISNUMBER(SEARCH("Razonar",$R1012))/(ISNUMBER(SEARCH("Conocer",$R1012))+ISNUMBER(SEARCH("Aplicar",$R1012))+ISNUMBER(SEARCH("Razonar",$R1012))),0)</f>
        <v>0.5</v>
      </c>
      <c r="V1012" s="8" t="s">
        <v>385</v>
      </c>
      <c r="W1012" s="8" t="s">
        <v>4173</v>
      </c>
    </row>
    <row r="1013" customFormat="false" ht="15" hidden="false" customHeight="false" outlineLevel="0" collapsed="false">
      <c r="A1013" s="8" t="s">
        <v>4604</v>
      </c>
      <c r="B1013" s="8" t="n">
        <v>11</v>
      </c>
      <c r="C1013" s="8" t="s">
        <v>90</v>
      </c>
      <c r="D1013" s="8" t="s">
        <v>4164</v>
      </c>
      <c r="E1013" s="8" t="s">
        <v>4579</v>
      </c>
      <c r="F1013" s="8" t="n">
        <v>10</v>
      </c>
      <c r="G1013" s="8" t="s">
        <v>4580</v>
      </c>
      <c r="H1013" s="8" t="s">
        <v>4605</v>
      </c>
      <c r="I1013" s="27" t="s">
        <v>4606</v>
      </c>
      <c r="J1013" s="8" t="s">
        <v>4169</v>
      </c>
      <c r="K1013" s="8" t="s">
        <v>4170</v>
      </c>
      <c r="L1013" s="8"/>
      <c r="M1013" s="8" t="str">
        <f aca="false">IF(K1013="FUERA","Fuera del marco",IF(K1013="N/A","Sin marco",IFERROR(INDEX(Catalogo_TIMSS!$C$5:$C$105,MATCH(K1013,Catalogo_TIMSS!$A$5:$A$105,0)),"Pendiente de clasificar")))</f>
        <v>Sin marco</v>
      </c>
      <c r="N1013" s="8" t="str">
        <f aca="false">IF(K1013="FUERA","Fuera del marco",IF(K1013="N/A","Sin marco",IFERROR(INDEX(Catalogo_TIMSS!$F$5:$F$105,MATCH(K1013,Catalogo_TIMSS!$A$5:$A$105,0)),"Pendiente de clasificar")))</f>
        <v>Sin marco</v>
      </c>
      <c r="O1013" s="8" t="str">
        <f aca="false">IF(L1013="","",IFERROR(INDEX(Catalogo_TIMSS!$C$5:$C$105,MATCH(L1013,Catalogo_TIMSS!$A$5:$A$105,0)),"?"))</f>
        <v/>
      </c>
      <c r="P1013" s="8" t="s">
        <v>4170</v>
      </c>
      <c r="Q1013" s="27" t="s">
        <v>4171</v>
      </c>
      <c r="R1013" s="27" t="s">
        <v>4607</v>
      </c>
      <c r="S1013" s="28" t="n">
        <f aca="false">IFERROR(ISNUMBER(SEARCH("Conocer",$R1013))/(ISNUMBER(SEARCH("Conocer",$R1013))+ISNUMBER(SEARCH("Aplicar",$R1013))+ISNUMBER(SEARCH("Razonar",$R1013))),0)</f>
        <v>0</v>
      </c>
      <c r="T1013" s="28" t="n">
        <f aca="false">IFERROR(ISNUMBER(SEARCH("Aplicar",$R1013))/(ISNUMBER(SEARCH("Conocer",$R1013))+ISNUMBER(SEARCH("Aplicar",$R1013))+ISNUMBER(SEARCH("Razonar",$R1013))),0)</f>
        <v>0.5</v>
      </c>
      <c r="U1013" s="28" t="n">
        <f aca="false">IFERROR(ISNUMBER(SEARCH("Razonar",$R1013))/(ISNUMBER(SEARCH("Conocer",$R1013))+ISNUMBER(SEARCH("Aplicar",$R1013))+ISNUMBER(SEARCH("Razonar",$R1013))),0)</f>
        <v>0.5</v>
      </c>
      <c r="V1013" s="8" t="s">
        <v>385</v>
      </c>
      <c r="W1013" s="8" t="s">
        <v>4173</v>
      </c>
    </row>
    <row r="1014" customFormat="false" ht="15" hidden="false" customHeight="false" outlineLevel="0" collapsed="false">
      <c r="A1014" s="8" t="s">
        <v>4608</v>
      </c>
      <c r="B1014" s="8" t="n">
        <v>11</v>
      </c>
      <c r="C1014" s="8" t="s">
        <v>90</v>
      </c>
      <c r="D1014" s="8" t="s">
        <v>4164</v>
      </c>
      <c r="E1014" s="8" t="s">
        <v>4579</v>
      </c>
      <c r="F1014" s="8" t="n">
        <v>11</v>
      </c>
      <c r="G1014" s="8" t="s">
        <v>4580</v>
      </c>
      <c r="H1014" s="8" t="s">
        <v>4605</v>
      </c>
      <c r="I1014" s="27" t="s">
        <v>4609</v>
      </c>
      <c r="J1014" s="8" t="s">
        <v>4169</v>
      </c>
      <c r="K1014" s="8" t="s">
        <v>4170</v>
      </c>
      <c r="L1014" s="8"/>
      <c r="M1014" s="8" t="str">
        <f aca="false">IF(K1014="FUERA","Fuera del marco",IF(K1014="N/A","Sin marco",IFERROR(INDEX(Catalogo_TIMSS!$C$5:$C$105,MATCH(K1014,Catalogo_TIMSS!$A$5:$A$105,0)),"Pendiente de clasificar")))</f>
        <v>Sin marco</v>
      </c>
      <c r="N1014" s="8" t="str">
        <f aca="false">IF(K1014="FUERA","Fuera del marco",IF(K1014="N/A","Sin marco",IFERROR(INDEX(Catalogo_TIMSS!$F$5:$F$105,MATCH(K1014,Catalogo_TIMSS!$A$5:$A$105,0)),"Pendiente de clasificar")))</f>
        <v>Sin marco</v>
      </c>
      <c r="O1014" s="8" t="str">
        <f aca="false">IF(L1014="","",IFERROR(INDEX(Catalogo_TIMSS!$C$5:$C$105,MATCH(L1014,Catalogo_TIMSS!$A$5:$A$105,0)),"?"))</f>
        <v/>
      </c>
      <c r="P1014" s="8" t="s">
        <v>4170</v>
      </c>
      <c r="Q1014" s="27" t="s">
        <v>4171</v>
      </c>
      <c r="R1014" s="27" t="s">
        <v>4610</v>
      </c>
      <c r="S1014" s="28" t="n">
        <f aca="false">IFERROR(ISNUMBER(SEARCH("Conocer",$R1014))/(ISNUMBER(SEARCH("Conocer",$R1014))+ISNUMBER(SEARCH("Aplicar",$R1014))+ISNUMBER(SEARCH("Razonar",$R1014))),0)</f>
        <v>0.5</v>
      </c>
      <c r="T1014" s="28" t="n">
        <f aca="false">IFERROR(ISNUMBER(SEARCH("Aplicar",$R1014))/(ISNUMBER(SEARCH("Conocer",$R1014))+ISNUMBER(SEARCH("Aplicar",$R1014))+ISNUMBER(SEARCH("Razonar",$R1014))),0)</f>
        <v>0</v>
      </c>
      <c r="U1014" s="28" t="n">
        <f aca="false">IFERROR(ISNUMBER(SEARCH("Razonar",$R1014))/(ISNUMBER(SEARCH("Conocer",$R1014))+ISNUMBER(SEARCH("Aplicar",$R1014))+ISNUMBER(SEARCH("Razonar",$R1014))),0)</f>
        <v>0.5</v>
      </c>
      <c r="V1014" s="8" t="s">
        <v>385</v>
      </c>
      <c r="W1014" s="8" t="s">
        <v>4173</v>
      </c>
    </row>
    <row r="1015" customFormat="false" ht="15" hidden="false" customHeight="false" outlineLevel="0" collapsed="false">
      <c r="A1015" s="8" t="s">
        <v>4611</v>
      </c>
      <c r="B1015" s="8" t="n">
        <v>11</v>
      </c>
      <c r="C1015" s="8" t="s">
        <v>90</v>
      </c>
      <c r="D1015" s="8" t="s">
        <v>4164</v>
      </c>
      <c r="E1015" s="8" t="s">
        <v>4579</v>
      </c>
      <c r="F1015" s="8" t="n">
        <v>12</v>
      </c>
      <c r="G1015" s="8" t="s">
        <v>4612</v>
      </c>
      <c r="H1015" s="8" t="s">
        <v>4613</v>
      </c>
      <c r="I1015" s="27" t="s">
        <v>4614</v>
      </c>
      <c r="J1015" s="8" t="s">
        <v>4169</v>
      </c>
      <c r="K1015" s="8" t="s">
        <v>4170</v>
      </c>
      <c r="L1015" s="8"/>
      <c r="M1015" s="8" t="str">
        <f aca="false">IF(K1015="FUERA","Fuera del marco",IF(K1015="N/A","Sin marco",IFERROR(INDEX(Catalogo_TIMSS!$C$5:$C$105,MATCH(K1015,Catalogo_TIMSS!$A$5:$A$105,0)),"Pendiente de clasificar")))</f>
        <v>Sin marco</v>
      </c>
      <c r="N1015" s="8" t="str">
        <f aca="false">IF(K1015="FUERA","Fuera del marco",IF(K1015="N/A","Sin marco",IFERROR(INDEX(Catalogo_TIMSS!$F$5:$F$105,MATCH(K1015,Catalogo_TIMSS!$A$5:$A$105,0)),"Pendiente de clasificar")))</f>
        <v>Sin marco</v>
      </c>
      <c r="O1015" s="8" t="str">
        <f aca="false">IF(L1015="","",IFERROR(INDEX(Catalogo_TIMSS!$C$5:$C$105,MATCH(L1015,Catalogo_TIMSS!$A$5:$A$105,0)),"?"))</f>
        <v/>
      </c>
      <c r="P1015" s="8" t="s">
        <v>4170</v>
      </c>
      <c r="Q1015" s="27" t="s">
        <v>4171</v>
      </c>
      <c r="R1015" s="27" t="s">
        <v>4615</v>
      </c>
      <c r="S1015" s="28" t="n">
        <f aca="false">IFERROR(ISNUMBER(SEARCH("Conocer",$R1015))/(ISNUMBER(SEARCH("Conocer",$R1015))+ISNUMBER(SEARCH("Aplicar",$R1015))+ISNUMBER(SEARCH("Razonar",$R1015))),0)</f>
        <v>0.5</v>
      </c>
      <c r="T1015" s="28" t="n">
        <f aca="false">IFERROR(ISNUMBER(SEARCH("Aplicar",$R1015))/(ISNUMBER(SEARCH("Conocer",$R1015))+ISNUMBER(SEARCH("Aplicar",$R1015))+ISNUMBER(SEARCH("Razonar",$R1015))),0)</f>
        <v>0.5</v>
      </c>
      <c r="U1015" s="28" t="n">
        <f aca="false">IFERROR(ISNUMBER(SEARCH("Razonar",$R1015))/(ISNUMBER(SEARCH("Conocer",$R1015))+ISNUMBER(SEARCH("Aplicar",$R1015))+ISNUMBER(SEARCH("Razonar",$R1015))),0)</f>
        <v>0</v>
      </c>
      <c r="V1015" s="8" t="s">
        <v>385</v>
      </c>
      <c r="W1015" s="8" t="s">
        <v>4173</v>
      </c>
    </row>
    <row r="1016" customFormat="false" ht="15" hidden="false" customHeight="false" outlineLevel="0" collapsed="false">
      <c r="A1016" s="8" t="s">
        <v>4616</v>
      </c>
      <c r="B1016" s="8" t="n">
        <v>11</v>
      </c>
      <c r="C1016" s="8" t="s">
        <v>90</v>
      </c>
      <c r="D1016" s="8" t="s">
        <v>4164</v>
      </c>
      <c r="E1016" s="8" t="s">
        <v>4579</v>
      </c>
      <c r="F1016" s="8" t="n">
        <v>13</v>
      </c>
      <c r="G1016" s="8" t="s">
        <v>4612</v>
      </c>
      <c r="H1016" s="8" t="s">
        <v>4613</v>
      </c>
      <c r="I1016" s="27" t="s">
        <v>4617</v>
      </c>
      <c r="J1016" s="8" t="s">
        <v>4169</v>
      </c>
      <c r="K1016" s="8" t="s">
        <v>4170</v>
      </c>
      <c r="L1016" s="8"/>
      <c r="M1016" s="8" t="str">
        <f aca="false">IF(K1016="FUERA","Fuera del marco",IF(K1016="N/A","Sin marco",IFERROR(INDEX(Catalogo_TIMSS!$C$5:$C$105,MATCH(K1016,Catalogo_TIMSS!$A$5:$A$105,0)),"Pendiente de clasificar")))</f>
        <v>Sin marco</v>
      </c>
      <c r="N1016" s="8" t="str">
        <f aca="false">IF(K1016="FUERA","Fuera del marco",IF(K1016="N/A","Sin marco",IFERROR(INDEX(Catalogo_TIMSS!$F$5:$F$105,MATCH(K1016,Catalogo_TIMSS!$A$5:$A$105,0)),"Pendiente de clasificar")))</f>
        <v>Sin marco</v>
      </c>
      <c r="O1016" s="8" t="str">
        <f aca="false">IF(L1016="","",IFERROR(INDEX(Catalogo_TIMSS!$C$5:$C$105,MATCH(L1016,Catalogo_TIMSS!$A$5:$A$105,0)),"?"))</f>
        <v/>
      </c>
      <c r="P1016" s="8" t="s">
        <v>4170</v>
      </c>
      <c r="Q1016" s="27" t="s">
        <v>4171</v>
      </c>
      <c r="R1016" s="27" t="s">
        <v>4618</v>
      </c>
      <c r="S1016" s="28" t="n">
        <f aca="false">IFERROR(ISNUMBER(SEARCH("Conocer",$R1016))/(ISNUMBER(SEARCH("Conocer",$R1016))+ISNUMBER(SEARCH("Aplicar",$R1016))+ISNUMBER(SEARCH("Razonar",$R1016))),0)</f>
        <v>0</v>
      </c>
      <c r="T1016" s="28" t="n">
        <f aca="false">IFERROR(ISNUMBER(SEARCH("Aplicar",$R1016))/(ISNUMBER(SEARCH("Conocer",$R1016))+ISNUMBER(SEARCH("Aplicar",$R1016))+ISNUMBER(SEARCH("Razonar",$R1016))),0)</f>
        <v>0.5</v>
      </c>
      <c r="U1016" s="28" t="n">
        <f aca="false">IFERROR(ISNUMBER(SEARCH("Razonar",$R1016))/(ISNUMBER(SEARCH("Conocer",$R1016))+ISNUMBER(SEARCH("Aplicar",$R1016))+ISNUMBER(SEARCH("Razonar",$R1016))),0)</f>
        <v>0.5</v>
      </c>
      <c r="V1016" s="8" t="s">
        <v>385</v>
      </c>
      <c r="W1016" s="8" t="s">
        <v>4173</v>
      </c>
    </row>
    <row r="1017" customFormat="false" ht="15" hidden="false" customHeight="false" outlineLevel="0" collapsed="false">
      <c r="A1017" s="8" t="s">
        <v>4619</v>
      </c>
      <c r="B1017" s="8" t="n">
        <v>11</v>
      </c>
      <c r="C1017" s="8" t="s">
        <v>90</v>
      </c>
      <c r="D1017" s="8" t="s">
        <v>4164</v>
      </c>
      <c r="E1017" s="8" t="s">
        <v>4579</v>
      </c>
      <c r="F1017" s="8" t="n">
        <v>14</v>
      </c>
      <c r="G1017" s="8" t="s">
        <v>4612</v>
      </c>
      <c r="H1017" s="8" t="s">
        <v>4613</v>
      </c>
      <c r="I1017" s="27" t="s">
        <v>4620</v>
      </c>
      <c r="J1017" s="8" t="s">
        <v>4169</v>
      </c>
      <c r="K1017" s="8" t="s">
        <v>4170</v>
      </c>
      <c r="L1017" s="8"/>
      <c r="M1017" s="8" t="str">
        <f aca="false">IF(K1017="FUERA","Fuera del marco",IF(K1017="N/A","Sin marco",IFERROR(INDEX(Catalogo_TIMSS!$C$5:$C$105,MATCH(K1017,Catalogo_TIMSS!$A$5:$A$105,0)),"Pendiente de clasificar")))</f>
        <v>Sin marco</v>
      </c>
      <c r="N1017" s="8" t="str">
        <f aca="false">IF(K1017="FUERA","Fuera del marco",IF(K1017="N/A","Sin marco",IFERROR(INDEX(Catalogo_TIMSS!$F$5:$F$105,MATCH(K1017,Catalogo_TIMSS!$A$5:$A$105,0)),"Pendiente de clasificar")))</f>
        <v>Sin marco</v>
      </c>
      <c r="O1017" s="8" t="str">
        <f aca="false">IF(L1017="","",IFERROR(INDEX(Catalogo_TIMSS!$C$5:$C$105,MATCH(L1017,Catalogo_TIMSS!$A$5:$A$105,0)),"?"))</f>
        <v/>
      </c>
      <c r="P1017" s="8" t="s">
        <v>4170</v>
      </c>
      <c r="Q1017" s="27" t="s">
        <v>4171</v>
      </c>
      <c r="R1017" s="27" t="s">
        <v>4621</v>
      </c>
      <c r="S1017" s="28" t="n">
        <f aca="false">IFERROR(ISNUMBER(SEARCH("Conocer",$R1017))/(ISNUMBER(SEARCH("Conocer",$R1017))+ISNUMBER(SEARCH("Aplicar",$R1017))+ISNUMBER(SEARCH("Razonar",$R1017))),0)</f>
        <v>0.5</v>
      </c>
      <c r="T1017" s="28" t="n">
        <f aca="false">IFERROR(ISNUMBER(SEARCH("Aplicar",$R1017))/(ISNUMBER(SEARCH("Conocer",$R1017))+ISNUMBER(SEARCH("Aplicar",$R1017))+ISNUMBER(SEARCH("Razonar",$R1017))),0)</f>
        <v>0.5</v>
      </c>
      <c r="U1017" s="28" t="n">
        <f aca="false">IFERROR(ISNUMBER(SEARCH("Razonar",$R1017))/(ISNUMBER(SEARCH("Conocer",$R1017))+ISNUMBER(SEARCH("Aplicar",$R1017))+ISNUMBER(SEARCH("Razonar",$R1017))),0)</f>
        <v>0</v>
      </c>
      <c r="V1017" s="8" t="s">
        <v>385</v>
      </c>
      <c r="W1017" s="8" t="s">
        <v>4173</v>
      </c>
    </row>
    <row r="1018" customFormat="false" ht="15" hidden="false" customHeight="false" outlineLevel="0" collapsed="false">
      <c r="A1018" s="8" t="s">
        <v>4622</v>
      </c>
      <c r="B1018" s="8" t="n">
        <v>11</v>
      </c>
      <c r="C1018" s="8" t="s">
        <v>90</v>
      </c>
      <c r="D1018" s="8" t="s">
        <v>4164</v>
      </c>
      <c r="E1018" s="8" t="s">
        <v>4579</v>
      </c>
      <c r="F1018" s="8" t="n">
        <v>15</v>
      </c>
      <c r="G1018" s="8" t="s">
        <v>4612</v>
      </c>
      <c r="H1018" s="8" t="s">
        <v>4623</v>
      </c>
      <c r="I1018" s="27" t="s">
        <v>4624</v>
      </c>
      <c r="J1018" s="8" t="s">
        <v>4169</v>
      </c>
      <c r="K1018" s="8" t="s">
        <v>4170</v>
      </c>
      <c r="L1018" s="8"/>
      <c r="M1018" s="8" t="str">
        <f aca="false">IF(K1018="FUERA","Fuera del marco",IF(K1018="N/A","Sin marco",IFERROR(INDEX(Catalogo_TIMSS!$C$5:$C$105,MATCH(K1018,Catalogo_TIMSS!$A$5:$A$105,0)),"Pendiente de clasificar")))</f>
        <v>Sin marco</v>
      </c>
      <c r="N1018" s="8" t="str">
        <f aca="false">IF(K1018="FUERA","Fuera del marco",IF(K1018="N/A","Sin marco",IFERROR(INDEX(Catalogo_TIMSS!$F$5:$F$105,MATCH(K1018,Catalogo_TIMSS!$A$5:$A$105,0)),"Pendiente de clasificar")))</f>
        <v>Sin marco</v>
      </c>
      <c r="O1018" s="8" t="str">
        <f aca="false">IF(L1018="","",IFERROR(INDEX(Catalogo_TIMSS!$C$5:$C$105,MATCH(L1018,Catalogo_TIMSS!$A$5:$A$105,0)),"?"))</f>
        <v/>
      </c>
      <c r="P1018" s="8" t="s">
        <v>4170</v>
      </c>
      <c r="Q1018" s="27" t="s">
        <v>4171</v>
      </c>
      <c r="R1018" s="27" t="s">
        <v>4625</v>
      </c>
      <c r="S1018" s="28" t="n">
        <f aca="false">IFERROR(ISNUMBER(SEARCH("Conocer",$R1018))/(ISNUMBER(SEARCH("Conocer",$R1018))+ISNUMBER(SEARCH("Aplicar",$R1018))+ISNUMBER(SEARCH("Razonar",$R1018))),0)</f>
        <v>0.5</v>
      </c>
      <c r="T1018" s="28" t="n">
        <f aca="false">IFERROR(ISNUMBER(SEARCH("Aplicar",$R1018))/(ISNUMBER(SEARCH("Conocer",$R1018))+ISNUMBER(SEARCH("Aplicar",$R1018))+ISNUMBER(SEARCH("Razonar",$R1018))),0)</f>
        <v>0</v>
      </c>
      <c r="U1018" s="28" t="n">
        <f aca="false">IFERROR(ISNUMBER(SEARCH("Razonar",$R1018))/(ISNUMBER(SEARCH("Conocer",$R1018))+ISNUMBER(SEARCH("Aplicar",$R1018))+ISNUMBER(SEARCH("Razonar",$R1018))),0)</f>
        <v>0.5</v>
      </c>
      <c r="V1018" s="8" t="s">
        <v>385</v>
      </c>
      <c r="W1018" s="8" t="s">
        <v>4173</v>
      </c>
    </row>
    <row r="1019" customFormat="false" ht="15" hidden="false" customHeight="false" outlineLevel="0" collapsed="false">
      <c r="A1019" s="8" t="s">
        <v>4626</v>
      </c>
      <c r="B1019" s="8" t="n">
        <v>11</v>
      </c>
      <c r="C1019" s="8" t="s">
        <v>90</v>
      </c>
      <c r="D1019" s="8" t="s">
        <v>4164</v>
      </c>
      <c r="E1019" s="8" t="s">
        <v>4579</v>
      </c>
      <c r="F1019" s="8" t="n">
        <v>16</v>
      </c>
      <c r="G1019" s="8" t="s">
        <v>4612</v>
      </c>
      <c r="H1019" s="8" t="s">
        <v>4623</v>
      </c>
      <c r="I1019" s="27" t="s">
        <v>4627</v>
      </c>
      <c r="J1019" s="8" t="s">
        <v>4169</v>
      </c>
      <c r="K1019" s="8" t="s">
        <v>4170</v>
      </c>
      <c r="L1019" s="8"/>
      <c r="M1019" s="8" t="str">
        <f aca="false">IF(K1019="FUERA","Fuera del marco",IF(K1019="N/A","Sin marco",IFERROR(INDEX(Catalogo_TIMSS!$C$5:$C$105,MATCH(K1019,Catalogo_TIMSS!$A$5:$A$105,0)),"Pendiente de clasificar")))</f>
        <v>Sin marco</v>
      </c>
      <c r="N1019" s="8" t="str">
        <f aca="false">IF(K1019="FUERA","Fuera del marco",IF(K1019="N/A","Sin marco",IFERROR(INDEX(Catalogo_TIMSS!$F$5:$F$105,MATCH(K1019,Catalogo_TIMSS!$A$5:$A$105,0)),"Pendiente de clasificar")))</f>
        <v>Sin marco</v>
      </c>
      <c r="O1019" s="8" t="str">
        <f aca="false">IF(L1019="","",IFERROR(INDEX(Catalogo_TIMSS!$C$5:$C$105,MATCH(L1019,Catalogo_TIMSS!$A$5:$A$105,0)),"?"))</f>
        <v/>
      </c>
      <c r="P1019" s="8" t="s">
        <v>4170</v>
      </c>
      <c r="Q1019" s="27" t="s">
        <v>4171</v>
      </c>
      <c r="R1019" s="27" t="s">
        <v>4628</v>
      </c>
      <c r="S1019" s="28" t="n">
        <f aca="false">IFERROR(ISNUMBER(SEARCH("Conocer",$R1019))/(ISNUMBER(SEARCH("Conocer",$R1019))+ISNUMBER(SEARCH("Aplicar",$R1019))+ISNUMBER(SEARCH("Razonar",$R1019))),0)</f>
        <v>0</v>
      </c>
      <c r="T1019" s="28" t="n">
        <f aca="false">IFERROR(ISNUMBER(SEARCH("Aplicar",$R1019))/(ISNUMBER(SEARCH("Conocer",$R1019))+ISNUMBER(SEARCH("Aplicar",$R1019))+ISNUMBER(SEARCH("Razonar",$R1019))),0)</f>
        <v>0.5</v>
      </c>
      <c r="U1019" s="28" t="n">
        <f aca="false">IFERROR(ISNUMBER(SEARCH("Razonar",$R1019))/(ISNUMBER(SEARCH("Conocer",$R1019))+ISNUMBER(SEARCH("Aplicar",$R1019))+ISNUMBER(SEARCH("Razonar",$R1019))),0)</f>
        <v>0.5</v>
      </c>
      <c r="V1019" s="8" t="s">
        <v>385</v>
      </c>
      <c r="W1019" s="8" t="s">
        <v>4173</v>
      </c>
    </row>
    <row r="1020" customFormat="false" ht="15" hidden="false" customHeight="false" outlineLevel="0" collapsed="false">
      <c r="A1020" s="8" t="s">
        <v>4629</v>
      </c>
      <c r="B1020" s="8" t="n">
        <v>11</v>
      </c>
      <c r="C1020" s="8" t="s">
        <v>90</v>
      </c>
      <c r="D1020" s="8" t="s">
        <v>4164</v>
      </c>
      <c r="E1020" s="8" t="s">
        <v>4579</v>
      </c>
      <c r="F1020" s="8" t="n">
        <v>17</v>
      </c>
      <c r="G1020" s="8" t="s">
        <v>4612</v>
      </c>
      <c r="H1020" s="8" t="s">
        <v>4623</v>
      </c>
      <c r="I1020" s="27" t="s">
        <v>4630</v>
      </c>
      <c r="J1020" s="8" t="s">
        <v>4169</v>
      </c>
      <c r="K1020" s="8" t="s">
        <v>4170</v>
      </c>
      <c r="L1020" s="8"/>
      <c r="M1020" s="8" t="str">
        <f aca="false">IF(K1020="FUERA","Fuera del marco",IF(K1020="N/A","Sin marco",IFERROR(INDEX(Catalogo_TIMSS!$C$5:$C$105,MATCH(K1020,Catalogo_TIMSS!$A$5:$A$105,0)),"Pendiente de clasificar")))</f>
        <v>Sin marco</v>
      </c>
      <c r="N1020" s="8" t="str">
        <f aca="false">IF(K1020="FUERA","Fuera del marco",IF(K1020="N/A","Sin marco",IFERROR(INDEX(Catalogo_TIMSS!$F$5:$F$105,MATCH(K1020,Catalogo_TIMSS!$A$5:$A$105,0)),"Pendiente de clasificar")))</f>
        <v>Sin marco</v>
      </c>
      <c r="O1020" s="8" t="str">
        <f aca="false">IF(L1020="","",IFERROR(INDEX(Catalogo_TIMSS!$C$5:$C$105,MATCH(L1020,Catalogo_TIMSS!$A$5:$A$105,0)),"?"))</f>
        <v/>
      </c>
      <c r="P1020" s="8" t="s">
        <v>4170</v>
      </c>
      <c r="Q1020" s="27" t="s">
        <v>4171</v>
      </c>
      <c r="R1020" s="27" t="s">
        <v>4631</v>
      </c>
      <c r="S1020" s="28" t="n">
        <f aca="false">IFERROR(ISNUMBER(SEARCH("Conocer",$R1020))/(ISNUMBER(SEARCH("Conocer",$R1020))+ISNUMBER(SEARCH("Aplicar",$R1020))+ISNUMBER(SEARCH("Razonar",$R1020))),0)</f>
        <v>0</v>
      </c>
      <c r="T1020" s="28" t="n">
        <f aca="false">IFERROR(ISNUMBER(SEARCH("Aplicar",$R1020))/(ISNUMBER(SEARCH("Conocer",$R1020))+ISNUMBER(SEARCH("Aplicar",$R1020))+ISNUMBER(SEARCH("Razonar",$R1020))),0)</f>
        <v>0.5</v>
      </c>
      <c r="U1020" s="28" t="n">
        <f aca="false">IFERROR(ISNUMBER(SEARCH("Razonar",$R1020))/(ISNUMBER(SEARCH("Conocer",$R1020))+ISNUMBER(SEARCH("Aplicar",$R1020))+ISNUMBER(SEARCH("Razonar",$R1020))),0)</f>
        <v>0.5</v>
      </c>
      <c r="V1020" s="8" t="s">
        <v>385</v>
      </c>
      <c r="W1020" s="8" t="s">
        <v>4173</v>
      </c>
    </row>
    <row r="1021" customFormat="false" ht="15" hidden="false" customHeight="false" outlineLevel="0" collapsed="false">
      <c r="A1021" s="8" t="s">
        <v>4632</v>
      </c>
      <c r="B1021" s="8" t="n">
        <v>11</v>
      </c>
      <c r="C1021" s="8" t="s">
        <v>90</v>
      </c>
      <c r="D1021" s="8" t="s">
        <v>4164</v>
      </c>
      <c r="E1021" s="8" t="s">
        <v>4579</v>
      </c>
      <c r="F1021" s="8" t="n">
        <v>18</v>
      </c>
      <c r="G1021" s="8" t="s">
        <v>4612</v>
      </c>
      <c r="H1021" s="8" t="s">
        <v>4633</v>
      </c>
      <c r="I1021" s="27" t="s">
        <v>4634</v>
      </c>
      <c r="J1021" s="8" t="s">
        <v>4169</v>
      </c>
      <c r="K1021" s="8" t="s">
        <v>4170</v>
      </c>
      <c r="L1021" s="8"/>
      <c r="M1021" s="8" t="str">
        <f aca="false">IF(K1021="FUERA","Fuera del marco",IF(K1021="N/A","Sin marco",IFERROR(INDEX(Catalogo_TIMSS!$C$5:$C$105,MATCH(K1021,Catalogo_TIMSS!$A$5:$A$105,0)),"Pendiente de clasificar")))</f>
        <v>Sin marco</v>
      </c>
      <c r="N1021" s="8" t="str">
        <f aca="false">IF(K1021="FUERA","Fuera del marco",IF(K1021="N/A","Sin marco",IFERROR(INDEX(Catalogo_TIMSS!$F$5:$F$105,MATCH(K1021,Catalogo_TIMSS!$A$5:$A$105,0)),"Pendiente de clasificar")))</f>
        <v>Sin marco</v>
      </c>
      <c r="O1021" s="8" t="str">
        <f aca="false">IF(L1021="","",IFERROR(INDEX(Catalogo_TIMSS!$C$5:$C$105,MATCH(L1021,Catalogo_TIMSS!$A$5:$A$105,0)),"?"))</f>
        <v/>
      </c>
      <c r="P1021" s="8" t="s">
        <v>4170</v>
      </c>
      <c r="Q1021" s="27" t="s">
        <v>4171</v>
      </c>
      <c r="R1021" s="27" t="s">
        <v>4635</v>
      </c>
      <c r="S1021" s="28" t="n">
        <f aca="false">IFERROR(ISNUMBER(SEARCH("Conocer",$R1021))/(ISNUMBER(SEARCH("Conocer",$R1021))+ISNUMBER(SEARCH("Aplicar",$R1021))+ISNUMBER(SEARCH("Razonar",$R1021))),0)</f>
        <v>0.5</v>
      </c>
      <c r="T1021" s="28" t="n">
        <f aca="false">IFERROR(ISNUMBER(SEARCH("Aplicar",$R1021))/(ISNUMBER(SEARCH("Conocer",$R1021))+ISNUMBER(SEARCH("Aplicar",$R1021))+ISNUMBER(SEARCH("Razonar",$R1021))),0)</f>
        <v>0</v>
      </c>
      <c r="U1021" s="28" t="n">
        <f aca="false">IFERROR(ISNUMBER(SEARCH("Razonar",$R1021))/(ISNUMBER(SEARCH("Conocer",$R1021))+ISNUMBER(SEARCH("Aplicar",$R1021))+ISNUMBER(SEARCH("Razonar",$R1021))),0)</f>
        <v>0.5</v>
      </c>
      <c r="V1021" s="8" t="s">
        <v>385</v>
      </c>
      <c r="W1021" s="8" t="s">
        <v>4173</v>
      </c>
    </row>
    <row r="1022" customFormat="false" ht="15" hidden="false" customHeight="false" outlineLevel="0" collapsed="false">
      <c r="A1022" s="8" t="s">
        <v>4636</v>
      </c>
      <c r="B1022" s="8" t="n">
        <v>11</v>
      </c>
      <c r="C1022" s="8" t="s">
        <v>90</v>
      </c>
      <c r="D1022" s="8" t="s">
        <v>4164</v>
      </c>
      <c r="E1022" s="8" t="s">
        <v>4579</v>
      </c>
      <c r="F1022" s="8" t="n">
        <v>19</v>
      </c>
      <c r="G1022" s="8" t="s">
        <v>4612</v>
      </c>
      <c r="H1022" s="8" t="s">
        <v>4633</v>
      </c>
      <c r="I1022" s="27" t="s">
        <v>4637</v>
      </c>
      <c r="J1022" s="8" t="s">
        <v>4169</v>
      </c>
      <c r="K1022" s="8" t="s">
        <v>4170</v>
      </c>
      <c r="L1022" s="8"/>
      <c r="M1022" s="8" t="str">
        <f aca="false">IF(K1022="FUERA","Fuera del marco",IF(K1022="N/A","Sin marco",IFERROR(INDEX(Catalogo_TIMSS!$C$5:$C$105,MATCH(K1022,Catalogo_TIMSS!$A$5:$A$105,0)),"Pendiente de clasificar")))</f>
        <v>Sin marco</v>
      </c>
      <c r="N1022" s="8" t="str">
        <f aca="false">IF(K1022="FUERA","Fuera del marco",IF(K1022="N/A","Sin marco",IFERROR(INDEX(Catalogo_TIMSS!$F$5:$F$105,MATCH(K1022,Catalogo_TIMSS!$A$5:$A$105,0)),"Pendiente de clasificar")))</f>
        <v>Sin marco</v>
      </c>
      <c r="O1022" s="8" t="str">
        <f aca="false">IF(L1022="","",IFERROR(INDEX(Catalogo_TIMSS!$C$5:$C$105,MATCH(L1022,Catalogo_TIMSS!$A$5:$A$105,0)),"?"))</f>
        <v/>
      </c>
      <c r="P1022" s="8" t="s">
        <v>4170</v>
      </c>
      <c r="Q1022" s="27" t="s">
        <v>4171</v>
      </c>
      <c r="R1022" s="27" t="s">
        <v>4638</v>
      </c>
      <c r="S1022" s="28" t="n">
        <f aca="false">IFERROR(ISNUMBER(SEARCH("Conocer",$R1022))/(ISNUMBER(SEARCH("Conocer",$R1022))+ISNUMBER(SEARCH("Aplicar",$R1022))+ISNUMBER(SEARCH("Razonar",$R1022))),0)</f>
        <v>0</v>
      </c>
      <c r="T1022" s="28" t="n">
        <f aca="false">IFERROR(ISNUMBER(SEARCH("Aplicar",$R1022))/(ISNUMBER(SEARCH("Conocer",$R1022))+ISNUMBER(SEARCH("Aplicar",$R1022))+ISNUMBER(SEARCH("Razonar",$R1022))),0)</f>
        <v>0.5</v>
      </c>
      <c r="U1022" s="28" t="n">
        <f aca="false">IFERROR(ISNUMBER(SEARCH("Razonar",$R1022))/(ISNUMBER(SEARCH("Conocer",$R1022))+ISNUMBER(SEARCH("Aplicar",$R1022))+ISNUMBER(SEARCH("Razonar",$R1022))),0)</f>
        <v>0.5</v>
      </c>
      <c r="V1022" s="8" t="s">
        <v>385</v>
      </c>
      <c r="W1022" s="8" t="s">
        <v>4173</v>
      </c>
    </row>
    <row r="1023" customFormat="false" ht="15" hidden="false" customHeight="false" outlineLevel="0" collapsed="false">
      <c r="A1023" s="8" t="s">
        <v>4639</v>
      </c>
      <c r="B1023" s="8" t="n">
        <v>11</v>
      </c>
      <c r="C1023" s="8" t="s">
        <v>90</v>
      </c>
      <c r="D1023" s="8" t="s">
        <v>4164</v>
      </c>
      <c r="E1023" s="8" t="s">
        <v>4579</v>
      </c>
      <c r="F1023" s="8" t="n">
        <v>20</v>
      </c>
      <c r="G1023" s="8" t="s">
        <v>4612</v>
      </c>
      <c r="H1023" s="8" t="s">
        <v>4633</v>
      </c>
      <c r="I1023" s="27" t="s">
        <v>4640</v>
      </c>
      <c r="J1023" s="8" t="s">
        <v>4169</v>
      </c>
      <c r="K1023" s="8" t="s">
        <v>4170</v>
      </c>
      <c r="L1023" s="8"/>
      <c r="M1023" s="8" t="str">
        <f aca="false">IF(K1023="FUERA","Fuera del marco",IF(K1023="N/A","Sin marco",IFERROR(INDEX(Catalogo_TIMSS!$C$5:$C$105,MATCH(K1023,Catalogo_TIMSS!$A$5:$A$105,0)),"Pendiente de clasificar")))</f>
        <v>Sin marco</v>
      </c>
      <c r="N1023" s="8" t="str">
        <f aca="false">IF(K1023="FUERA","Fuera del marco",IF(K1023="N/A","Sin marco",IFERROR(INDEX(Catalogo_TIMSS!$F$5:$F$105,MATCH(K1023,Catalogo_TIMSS!$A$5:$A$105,0)),"Pendiente de clasificar")))</f>
        <v>Sin marco</v>
      </c>
      <c r="O1023" s="8" t="str">
        <f aca="false">IF(L1023="","",IFERROR(INDEX(Catalogo_TIMSS!$C$5:$C$105,MATCH(L1023,Catalogo_TIMSS!$A$5:$A$105,0)),"?"))</f>
        <v/>
      </c>
      <c r="P1023" s="8" t="s">
        <v>4170</v>
      </c>
      <c r="Q1023" s="27" t="s">
        <v>4171</v>
      </c>
      <c r="R1023" s="27" t="s">
        <v>4641</v>
      </c>
      <c r="S1023" s="28" t="n">
        <f aca="false">IFERROR(ISNUMBER(SEARCH("Conocer",$R1023))/(ISNUMBER(SEARCH("Conocer",$R1023))+ISNUMBER(SEARCH("Aplicar",$R1023))+ISNUMBER(SEARCH("Razonar",$R1023))),0)</f>
        <v>0</v>
      </c>
      <c r="T1023" s="28" t="n">
        <f aca="false">IFERROR(ISNUMBER(SEARCH("Aplicar",$R1023))/(ISNUMBER(SEARCH("Conocer",$R1023))+ISNUMBER(SEARCH("Aplicar",$R1023))+ISNUMBER(SEARCH("Razonar",$R1023))),0)</f>
        <v>0.5</v>
      </c>
      <c r="U1023" s="28" t="n">
        <f aca="false">IFERROR(ISNUMBER(SEARCH("Razonar",$R1023))/(ISNUMBER(SEARCH("Conocer",$R1023))+ISNUMBER(SEARCH("Aplicar",$R1023))+ISNUMBER(SEARCH("Razonar",$R1023))),0)</f>
        <v>0.5</v>
      </c>
      <c r="V1023" s="8" t="s">
        <v>385</v>
      </c>
      <c r="W1023" s="8" t="s">
        <v>4173</v>
      </c>
    </row>
    <row r="1024" customFormat="false" ht="15" hidden="false" customHeight="false" outlineLevel="0" collapsed="false">
      <c r="A1024" s="8" t="s">
        <v>4642</v>
      </c>
      <c r="B1024" s="8" t="n">
        <v>11</v>
      </c>
      <c r="C1024" s="8" t="s">
        <v>90</v>
      </c>
      <c r="D1024" s="8" t="s">
        <v>4164</v>
      </c>
      <c r="E1024" s="8" t="s">
        <v>4579</v>
      </c>
      <c r="F1024" s="8" t="n">
        <v>21</v>
      </c>
      <c r="G1024" s="8" t="s">
        <v>4612</v>
      </c>
      <c r="H1024" s="8" t="s">
        <v>4643</v>
      </c>
      <c r="I1024" s="27" t="s">
        <v>4644</v>
      </c>
      <c r="J1024" s="8" t="s">
        <v>4169</v>
      </c>
      <c r="K1024" s="8" t="s">
        <v>4170</v>
      </c>
      <c r="L1024" s="8"/>
      <c r="M1024" s="8" t="str">
        <f aca="false">IF(K1024="FUERA","Fuera del marco",IF(K1024="N/A","Sin marco",IFERROR(INDEX(Catalogo_TIMSS!$C$5:$C$105,MATCH(K1024,Catalogo_TIMSS!$A$5:$A$105,0)),"Pendiente de clasificar")))</f>
        <v>Sin marco</v>
      </c>
      <c r="N1024" s="8" t="str">
        <f aca="false">IF(K1024="FUERA","Fuera del marco",IF(K1024="N/A","Sin marco",IFERROR(INDEX(Catalogo_TIMSS!$F$5:$F$105,MATCH(K1024,Catalogo_TIMSS!$A$5:$A$105,0)),"Pendiente de clasificar")))</f>
        <v>Sin marco</v>
      </c>
      <c r="O1024" s="8" t="str">
        <f aca="false">IF(L1024="","",IFERROR(INDEX(Catalogo_TIMSS!$C$5:$C$105,MATCH(L1024,Catalogo_TIMSS!$A$5:$A$105,0)),"?"))</f>
        <v/>
      </c>
      <c r="P1024" s="8" t="s">
        <v>4170</v>
      </c>
      <c r="Q1024" s="27" t="s">
        <v>4171</v>
      </c>
      <c r="R1024" s="27" t="s">
        <v>4645</v>
      </c>
      <c r="S1024" s="28" t="n">
        <f aca="false">IFERROR(ISNUMBER(SEARCH("Conocer",$R1024))/(ISNUMBER(SEARCH("Conocer",$R1024))+ISNUMBER(SEARCH("Aplicar",$R1024))+ISNUMBER(SEARCH("Razonar",$R1024))),0)</f>
        <v>0.5</v>
      </c>
      <c r="T1024" s="28" t="n">
        <f aca="false">IFERROR(ISNUMBER(SEARCH("Aplicar",$R1024))/(ISNUMBER(SEARCH("Conocer",$R1024))+ISNUMBER(SEARCH("Aplicar",$R1024))+ISNUMBER(SEARCH("Razonar",$R1024))),0)</f>
        <v>0.5</v>
      </c>
      <c r="U1024" s="28" t="n">
        <f aca="false">IFERROR(ISNUMBER(SEARCH("Razonar",$R1024))/(ISNUMBER(SEARCH("Conocer",$R1024))+ISNUMBER(SEARCH("Aplicar",$R1024))+ISNUMBER(SEARCH("Razonar",$R1024))),0)</f>
        <v>0</v>
      </c>
      <c r="V1024" s="8" t="s">
        <v>385</v>
      </c>
      <c r="W1024" s="8" t="s">
        <v>4173</v>
      </c>
    </row>
    <row r="1025" customFormat="false" ht="15" hidden="false" customHeight="false" outlineLevel="0" collapsed="false">
      <c r="A1025" s="8" t="s">
        <v>4646</v>
      </c>
      <c r="B1025" s="8" t="n">
        <v>11</v>
      </c>
      <c r="C1025" s="8" t="s">
        <v>90</v>
      </c>
      <c r="D1025" s="8" t="s">
        <v>4164</v>
      </c>
      <c r="E1025" s="8" t="s">
        <v>4579</v>
      </c>
      <c r="F1025" s="8" t="n">
        <v>22</v>
      </c>
      <c r="G1025" s="8" t="s">
        <v>4612</v>
      </c>
      <c r="H1025" s="8" t="s">
        <v>4643</v>
      </c>
      <c r="I1025" s="27" t="s">
        <v>4647</v>
      </c>
      <c r="J1025" s="8" t="s">
        <v>4169</v>
      </c>
      <c r="K1025" s="8" t="s">
        <v>4170</v>
      </c>
      <c r="L1025" s="8"/>
      <c r="M1025" s="8" t="str">
        <f aca="false">IF(K1025="FUERA","Fuera del marco",IF(K1025="N/A","Sin marco",IFERROR(INDEX(Catalogo_TIMSS!$C$5:$C$105,MATCH(K1025,Catalogo_TIMSS!$A$5:$A$105,0)),"Pendiente de clasificar")))</f>
        <v>Sin marco</v>
      </c>
      <c r="N1025" s="8" t="str">
        <f aca="false">IF(K1025="FUERA","Fuera del marco",IF(K1025="N/A","Sin marco",IFERROR(INDEX(Catalogo_TIMSS!$F$5:$F$105,MATCH(K1025,Catalogo_TIMSS!$A$5:$A$105,0)),"Pendiente de clasificar")))</f>
        <v>Sin marco</v>
      </c>
      <c r="O1025" s="8" t="str">
        <f aca="false">IF(L1025="","",IFERROR(INDEX(Catalogo_TIMSS!$C$5:$C$105,MATCH(L1025,Catalogo_TIMSS!$A$5:$A$105,0)),"?"))</f>
        <v/>
      </c>
      <c r="P1025" s="8" t="s">
        <v>4170</v>
      </c>
      <c r="Q1025" s="27" t="s">
        <v>4171</v>
      </c>
      <c r="R1025" s="27" t="s">
        <v>4648</v>
      </c>
      <c r="S1025" s="28" t="n">
        <f aca="false">IFERROR(ISNUMBER(SEARCH("Conocer",$R1025))/(ISNUMBER(SEARCH("Conocer",$R1025))+ISNUMBER(SEARCH("Aplicar",$R1025))+ISNUMBER(SEARCH("Razonar",$R1025))),0)</f>
        <v>0</v>
      </c>
      <c r="T1025" s="28" t="n">
        <f aca="false">IFERROR(ISNUMBER(SEARCH("Aplicar",$R1025))/(ISNUMBER(SEARCH("Conocer",$R1025))+ISNUMBER(SEARCH("Aplicar",$R1025))+ISNUMBER(SEARCH("Razonar",$R1025))),0)</f>
        <v>0.5</v>
      </c>
      <c r="U1025" s="28" t="n">
        <f aca="false">IFERROR(ISNUMBER(SEARCH("Razonar",$R1025))/(ISNUMBER(SEARCH("Conocer",$R1025))+ISNUMBER(SEARCH("Aplicar",$R1025))+ISNUMBER(SEARCH("Razonar",$R1025))),0)</f>
        <v>0.5</v>
      </c>
      <c r="V1025" s="8" t="s">
        <v>385</v>
      </c>
      <c r="W1025" s="8" t="s">
        <v>4173</v>
      </c>
    </row>
    <row r="1026" customFormat="false" ht="15" hidden="false" customHeight="false" outlineLevel="0" collapsed="false">
      <c r="A1026" s="8" t="s">
        <v>4649</v>
      </c>
      <c r="B1026" s="8" t="n">
        <v>11</v>
      </c>
      <c r="C1026" s="8" t="s">
        <v>90</v>
      </c>
      <c r="D1026" s="8" t="s">
        <v>4164</v>
      </c>
      <c r="E1026" s="8" t="s">
        <v>4579</v>
      </c>
      <c r="F1026" s="8" t="n">
        <v>23</v>
      </c>
      <c r="G1026" s="8" t="s">
        <v>4612</v>
      </c>
      <c r="H1026" s="8" t="s">
        <v>4643</v>
      </c>
      <c r="I1026" s="27" t="s">
        <v>4650</v>
      </c>
      <c r="J1026" s="8" t="s">
        <v>4169</v>
      </c>
      <c r="K1026" s="8" t="s">
        <v>4170</v>
      </c>
      <c r="L1026" s="8"/>
      <c r="M1026" s="8" t="str">
        <f aca="false">IF(K1026="FUERA","Fuera del marco",IF(K1026="N/A","Sin marco",IFERROR(INDEX(Catalogo_TIMSS!$C$5:$C$105,MATCH(K1026,Catalogo_TIMSS!$A$5:$A$105,0)),"Pendiente de clasificar")))</f>
        <v>Sin marco</v>
      </c>
      <c r="N1026" s="8" t="str">
        <f aca="false">IF(K1026="FUERA","Fuera del marco",IF(K1026="N/A","Sin marco",IFERROR(INDEX(Catalogo_TIMSS!$F$5:$F$105,MATCH(K1026,Catalogo_TIMSS!$A$5:$A$105,0)),"Pendiente de clasificar")))</f>
        <v>Sin marco</v>
      </c>
      <c r="O1026" s="8" t="str">
        <f aca="false">IF(L1026="","",IFERROR(INDEX(Catalogo_TIMSS!$C$5:$C$105,MATCH(L1026,Catalogo_TIMSS!$A$5:$A$105,0)),"?"))</f>
        <v/>
      </c>
      <c r="P1026" s="8" t="s">
        <v>4170</v>
      </c>
      <c r="Q1026" s="27" t="s">
        <v>4171</v>
      </c>
      <c r="R1026" s="27" t="s">
        <v>4651</v>
      </c>
      <c r="S1026" s="28" t="n">
        <f aca="false">IFERROR(ISNUMBER(SEARCH("Conocer",$R1026))/(ISNUMBER(SEARCH("Conocer",$R1026))+ISNUMBER(SEARCH("Aplicar",$R1026))+ISNUMBER(SEARCH("Razonar",$R1026))),0)</f>
        <v>0</v>
      </c>
      <c r="T1026" s="28" t="n">
        <f aca="false">IFERROR(ISNUMBER(SEARCH("Aplicar",$R1026))/(ISNUMBER(SEARCH("Conocer",$R1026))+ISNUMBER(SEARCH("Aplicar",$R1026))+ISNUMBER(SEARCH("Razonar",$R1026))),0)</f>
        <v>0.5</v>
      </c>
      <c r="U1026" s="28" t="n">
        <f aca="false">IFERROR(ISNUMBER(SEARCH("Razonar",$R1026))/(ISNUMBER(SEARCH("Conocer",$R1026))+ISNUMBER(SEARCH("Aplicar",$R1026))+ISNUMBER(SEARCH("Razonar",$R1026))),0)</f>
        <v>0.5</v>
      </c>
      <c r="V1026" s="8" t="s">
        <v>385</v>
      </c>
      <c r="W1026" s="8" t="s">
        <v>4173</v>
      </c>
    </row>
    <row r="1027" customFormat="false" ht="15" hidden="false" customHeight="false" outlineLevel="0" collapsed="false">
      <c r="A1027" s="8" t="s">
        <v>4652</v>
      </c>
      <c r="B1027" s="8" t="n">
        <v>11</v>
      </c>
      <c r="C1027" s="8" t="s">
        <v>90</v>
      </c>
      <c r="D1027" s="8" t="s">
        <v>4164</v>
      </c>
      <c r="E1027" s="8" t="s">
        <v>4579</v>
      </c>
      <c r="F1027" s="8" t="n">
        <v>24</v>
      </c>
      <c r="G1027" s="8" t="s">
        <v>4653</v>
      </c>
      <c r="H1027" s="8" t="s">
        <v>4654</v>
      </c>
      <c r="I1027" s="27" t="s">
        <v>4655</v>
      </c>
      <c r="J1027" s="8" t="s">
        <v>4169</v>
      </c>
      <c r="K1027" s="8" t="s">
        <v>4170</v>
      </c>
      <c r="L1027" s="8"/>
      <c r="M1027" s="8" t="str">
        <f aca="false">IF(K1027="FUERA","Fuera del marco",IF(K1027="N/A","Sin marco",IFERROR(INDEX(Catalogo_TIMSS!$C$5:$C$105,MATCH(K1027,Catalogo_TIMSS!$A$5:$A$105,0)),"Pendiente de clasificar")))</f>
        <v>Sin marco</v>
      </c>
      <c r="N1027" s="8" t="str">
        <f aca="false">IF(K1027="FUERA","Fuera del marco",IF(K1027="N/A","Sin marco",IFERROR(INDEX(Catalogo_TIMSS!$F$5:$F$105,MATCH(K1027,Catalogo_TIMSS!$A$5:$A$105,0)),"Pendiente de clasificar")))</f>
        <v>Sin marco</v>
      </c>
      <c r="O1027" s="8" t="str">
        <f aca="false">IF(L1027="","",IFERROR(INDEX(Catalogo_TIMSS!$C$5:$C$105,MATCH(L1027,Catalogo_TIMSS!$A$5:$A$105,0)),"?"))</f>
        <v/>
      </c>
      <c r="P1027" s="8" t="s">
        <v>4170</v>
      </c>
      <c r="Q1027" s="27" t="s">
        <v>4171</v>
      </c>
      <c r="R1027" s="27" t="s">
        <v>4656</v>
      </c>
      <c r="S1027" s="28" t="n">
        <f aca="false">IFERROR(ISNUMBER(SEARCH("Conocer",$R1027))/(ISNUMBER(SEARCH("Conocer",$R1027))+ISNUMBER(SEARCH("Aplicar",$R1027))+ISNUMBER(SEARCH("Razonar",$R1027))),0)</f>
        <v>0.333333333333333</v>
      </c>
      <c r="T1027" s="28" t="n">
        <f aca="false">IFERROR(ISNUMBER(SEARCH("Aplicar",$R1027))/(ISNUMBER(SEARCH("Conocer",$R1027))+ISNUMBER(SEARCH("Aplicar",$R1027))+ISNUMBER(SEARCH("Razonar",$R1027))),0)</f>
        <v>0.333333333333333</v>
      </c>
      <c r="U1027" s="28" t="n">
        <f aca="false">IFERROR(ISNUMBER(SEARCH("Razonar",$R1027))/(ISNUMBER(SEARCH("Conocer",$R1027))+ISNUMBER(SEARCH("Aplicar",$R1027))+ISNUMBER(SEARCH("Razonar",$R1027))),0)</f>
        <v>0.333333333333333</v>
      </c>
      <c r="V1027" s="8" t="s">
        <v>385</v>
      </c>
      <c r="W1027" s="8" t="s">
        <v>4173</v>
      </c>
    </row>
    <row r="1028" customFormat="false" ht="15" hidden="false" customHeight="false" outlineLevel="0" collapsed="false">
      <c r="A1028" s="8" t="s">
        <v>4657</v>
      </c>
      <c r="B1028" s="8" t="n">
        <v>11</v>
      </c>
      <c r="C1028" s="8" t="s">
        <v>90</v>
      </c>
      <c r="D1028" s="8" t="s">
        <v>4164</v>
      </c>
      <c r="E1028" s="8" t="s">
        <v>4579</v>
      </c>
      <c r="F1028" s="8" t="n">
        <v>25</v>
      </c>
      <c r="G1028" s="8" t="s">
        <v>4653</v>
      </c>
      <c r="H1028" s="8" t="s">
        <v>4654</v>
      </c>
      <c r="I1028" s="27" t="s">
        <v>4658</v>
      </c>
      <c r="J1028" s="8" t="s">
        <v>4169</v>
      </c>
      <c r="K1028" s="8" t="s">
        <v>4170</v>
      </c>
      <c r="L1028" s="8"/>
      <c r="M1028" s="8" t="str">
        <f aca="false">IF(K1028="FUERA","Fuera del marco",IF(K1028="N/A","Sin marco",IFERROR(INDEX(Catalogo_TIMSS!$C$5:$C$105,MATCH(K1028,Catalogo_TIMSS!$A$5:$A$105,0)),"Pendiente de clasificar")))</f>
        <v>Sin marco</v>
      </c>
      <c r="N1028" s="8" t="str">
        <f aca="false">IF(K1028="FUERA","Fuera del marco",IF(K1028="N/A","Sin marco",IFERROR(INDEX(Catalogo_TIMSS!$F$5:$F$105,MATCH(K1028,Catalogo_TIMSS!$A$5:$A$105,0)),"Pendiente de clasificar")))</f>
        <v>Sin marco</v>
      </c>
      <c r="O1028" s="8" t="str">
        <f aca="false">IF(L1028="","",IFERROR(INDEX(Catalogo_TIMSS!$C$5:$C$105,MATCH(L1028,Catalogo_TIMSS!$A$5:$A$105,0)),"?"))</f>
        <v/>
      </c>
      <c r="P1028" s="8" t="s">
        <v>4170</v>
      </c>
      <c r="Q1028" s="27" t="s">
        <v>4171</v>
      </c>
      <c r="R1028" s="27" t="s">
        <v>4659</v>
      </c>
      <c r="S1028" s="28" t="n">
        <f aca="false">IFERROR(ISNUMBER(SEARCH("Conocer",$R1028))/(ISNUMBER(SEARCH("Conocer",$R1028))+ISNUMBER(SEARCH("Aplicar",$R1028))+ISNUMBER(SEARCH("Razonar",$R1028))),0)</f>
        <v>0</v>
      </c>
      <c r="T1028" s="28" t="n">
        <f aca="false">IFERROR(ISNUMBER(SEARCH("Aplicar",$R1028))/(ISNUMBER(SEARCH("Conocer",$R1028))+ISNUMBER(SEARCH("Aplicar",$R1028))+ISNUMBER(SEARCH("Razonar",$R1028))),0)</f>
        <v>0.5</v>
      </c>
      <c r="U1028" s="28" t="n">
        <f aca="false">IFERROR(ISNUMBER(SEARCH("Razonar",$R1028))/(ISNUMBER(SEARCH("Conocer",$R1028))+ISNUMBER(SEARCH("Aplicar",$R1028))+ISNUMBER(SEARCH("Razonar",$R1028))),0)</f>
        <v>0.5</v>
      </c>
      <c r="V1028" s="8" t="s">
        <v>385</v>
      </c>
      <c r="W1028" s="8" t="s">
        <v>4173</v>
      </c>
    </row>
    <row r="1029" customFormat="false" ht="15" hidden="false" customHeight="false" outlineLevel="0" collapsed="false">
      <c r="A1029" s="8" t="s">
        <v>4660</v>
      </c>
      <c r="B1029" s="8" t="n">
        <v>11</v>
      </c>
      <c r="C1029" s="8" t="s">
        <v>90</v>
      </c>
      <c r="D1029" s="8" t="s">
        <v>4164</v>
      </c>
      <c r="E1029" s="8" t="s">
        <v>4579</v>
      </c>
      <c r="F1029" s="8" t="n">
        <v>26</v>
      </c>
      <c r="G1029" s="8" t="s">
        <v>4653</v>
      </c>
      <c r="H1029" s="8" t="s">
        <v>4654</v>
      </c>
      <c r="I1029" s="27" t="s">
        <v>4661</v>
      </c>
      <c r="J1029" s="8" t="s">
        <v>4169</v>
      </c>
      <c r="K1029" s="8" t="s">
        <v>4170</v>
      </c>
      <c r="L1029" s="8"/>
      <c r="M1029" s="8" t="str">
        <f aca="false">IF(K1029="FUERA","Fuera del marco",IF(K1029="N/A","Sin marco",IFERROR(INDEX(Catalogo_TIMSS!$C$5:$C$105,MATCH(K1029,Catalogo_TIMSS!$A$5:$A$105,0)),"Pendiente de clasificar")))</f>
        <v>Sin marco</v>
      </c>
      <c r="N1029" s="8" t="str">
        <f aca="false">IF(K1029="FUERA","Fuera del marco",IF(K1029="N/A","Sin marco",IFERROR(INDEX(Catalogo_TIMSS!$F$5:$F$105,MATCH(K1029,Catalogo_TIMSS!$A$5:$A$105,0)),"Pendiente de clasificar")))</f>
        <v>Sin marco</v>
      </c>
      <c r="O1029" s="8" t="str">
        <f aca="false">IF(L1029="","",IFERROR(INDEX(Catalogo_TIMSS!$C$5:$C$105,MATCH(L1029,Catalogo_TIMSS!$A$5:$A$105,0)),"?"))</f>
        <v/>
      </c>
      <c r="P1029" s="8" t="s">
        <v>4170</v>
      </c>
      <c r="Q1029" s="27" t="s">
        <v>4171</v>
      </c>
      <c r="R1029" s="27" t="s">
        <v>4662</v>
      </c>
      <c r="S1029" s="28" t="n">
        <f aca="false">IFERROR(ISNUMBER(SEARCH("Conocer",$R1029))/(ISNUMBER(SEARCH("Conocer",$R1029))+ISNUMBER(SEARCH("Aplicar",$R1029))+ISNUMBER(SEARCH("Razonar",$R1029))),0)</f>
        <v>0</v>
      </c>
      <c r="T1029" s="28" t="n">
        <f aca="false">IFERROR(ISNUMBER(SEARCH("Aplicar",$R1029))/(ISNUMBER(SEARCH("Conocer",$R1029))+ISNUMBER(SEARCH("Aplicar",$R1029))+ISNUMBER(SEARCH("Razonar",$R1029))),0)</f>
        <v>0.5</v>
      </c>
      <c r="U1029" s="28" t="n">
        <f aca="false">IFERROR(ISNUMBER(SEARCH("Razonar",$R1029))/(ISNUMBER(SEARCH("Conocer",$R1029))+ISNUMBER(SEARCH("Aplicar",$R1029))+ISNUMBER(SEARCH("Razonar",$R1029))),0)</f>
        <v>0.5</v>
      </c>
      <c r="V1029" s="8" t="s">
        <v>385</v>
      </c>
      <c r="W1029" s="8" t="s">
        <v>4173</v>
      </c>
    </row>
    <row r="1030" customFormat="false" ht="15" hidden="false" customHeight="false" outlineLevel="0" collapsed="false">
      <c r="A1030" s="8" t="s">
        <v>4663</v>
      </c>
      <c r="B1030" s="8" t="n">
        <v>11</v>
      </c>
      <c r="C1030" s="8" t="s">
        <v>90</v>
      </c>
      <c r="D1030" s="8" t="s">
        <v>4164</v>
      </c>
      <c r="E1030" s="8" t="s">
        <v>4579</v>
      </c>
      <c r="F1030" s="8" t="n">
        <v>27</v>
      </c>
      <c r="G1030" s="8" t="s">
        <v>4653</v>
      </c>
      <c r="H1030" s="8" t="s">
        <v>4664</v>
      </c>
      <c r="I1030" s="27" t="s">
        <v>4665</v>
      </c>
      <c r="J1030" s="8" t="s">
        <v>4169</v>
      </c>
      <c r="K1030" s="8" t="s">
        <v>4170</v>
      </c>
      <c r="L1030" s="8"/>
      <c r="M1030" s="8" t="str">
        <f aca="false">IF(K1030="FUERA","Fuera del marco",IF(K1030="N/A","Sin marco",IFERROR(INDEX(Catalogo_TIMSS!$C$5:$C$105,MATCH(K1030,Catalogo_TIMSS!$A$5:$A$105,0)),"Pendiente de clasificar")))</f>
        <v>Sin marco</v>
      </c>
      <c r="N1030" s="8" t="str">
        <f aca="false">IF(K1030="FUERA","Fuera del marco",IF(K1030="N/A","Sin marco",IFERROR(INDEX(Catalogo_TIMSS!$F$5:$F$105,MATCH(K1030,Catalogo_TIMSS!$A$5:$A$105,0)),"Pendiente de clasificar")))</f>
        <v>Sin marco</v>
      </c>
      <c r="O1030" s="8" t="str">
        <f aca="false">IF(L1030="","",IFERROR(INDEX(Catalogo_TIMSS!$C$5:$C$105,MATCH(L1030,Catalogo_TIMSS!$A$5:$A$105,0)),"?"))</f>
        <v/>
      </c>
      <c r="P1030" s="8" t="s">
        <v>4170</v>
      </c>
      <c r="Q1030" s="27" t="s">
        <v>4171</v>
      </c>
      <c r="R1030" s="27" t="s">
        <v>4666</v>
      </c>
      <c r="S1030" s="28" t="n">
        <f aca="false">IFERROR(ISNUMBER(SEARCH("Conocer",$R1030))/(ISNUMBER(SEARCH("Conocer",$R1030))+ISNUMBER(SEARCH("Aplicar",$R1030))+ISNUMBER(SEARCH("Razonar",$R1030))),0)</f>
        <v>0.5</v>
      </c>
      <c r="T1030" s="28" t="n">
        <f aca="false">IFERROR(ISNUMBER(SEARCH("Aplicar",$R1030))/(ISNUMBER(SEARCH("Conocer",$R1030))+ISNUMBER(SEARCH("Aplicar",$R1030))+ISNUMBER(SEARCH("Razonar",$R1030))),0)</f>
        <v>0.5</v>
      </c>
      <c r="U1030" s="28" t="n">
        <f aca="false">IFERROR(ISNUMBER(SEARCH("Razonar",$R1030))/(ISNUMBER(SEARCH("Conocer",$R1030))+ISNUMBER(SEARCH("Aplicar",$R1030))+ISNUMBER(SEARCH("Razonar",$R1030))),0)</f>
        <v>0</v>
      </c>
      <c r="V1030" s="8" t="s">
        <v>385</v>
      </c>
      <c r="W1030" s="8" t="s">
        <v>4173</v>
      </c>
    </row>
    <row r="1031" customFormat="false" ht="15" hidden="false" customHeight="false" outlineLevel="0" collapsed="false">
      <c r="A1031" s="8" t="s">
        <v>4667</v>
      </c>
      <c r="B1031" s="8" t="n">
        <v>11</v>
      </c>
      <c r="C1031" s="8" t="s">
        <v>90</v>
      </c>
      <c r="D1031" s="8" t="s">
        <v>4164</v>
      </c>
      <c r="E1031" s="8" t="s">
        <v>4579</v>
      </c>
      <c r="F1031" s="8" t="n">
        <v>28</v>
      </c>
      <c r="G1031" s="8" t="s">
        <v>4653</v>
      </c>
      <c r="H1031" s="8" t="s">
        <v>4664</v>
      </c>
      <c r="I1031" s="27" t="s">
        <v>4668</v>
      </c>
      <c r="J1031" s="8" t="s">
        <v>4169</v>
      </c>
      <c r="K1031" s="8" t="s">
        <v>4170</v>
      </c>
      <c r="L1031" s="8"/>
      <c r="M1031" s="8" t="str">
        <f aca="false">IF(K1031="FUERA","Fuera del marco",IF(K1031="N/A","Sin marco",IFERROR(INDEX(Catalogo_TIMSS!$C$5:$C$105,MATCH(K1031,Catalogo_TIMSS!$A$5:$A$105,0)),"Pendiente de clasificar")))</f>
        <v>Sin marco</v>
      </c>
      <c r="N1031" s="8" t="str">
        <f aca="false">IF(K1031="FUERA","Fuera del marco",IF(K1031="N/A","Sin marco",IFERROR(INDEX(Catalogo_TIMSS!$F$5:$F$105,MATCH(K1031,Catalogo_TIMSS!$A$5:$A$105,0)),"Pendiente de clasificar")))</f>
        <v>Sin marco</v>
      </c>
      <c r="O1031" s="8" t="str">
        <f aca="false">IF(L1031="","",IFERROR(INDEX(Catalogo_TIMSS!$C$5:$C$105,MATCH(L1031,Catalogo_TIMSS!$A$5:$A$105,0)),"?"))</f>
        <v/>
      </c>
      <c r="P1031" s="8" t="s">
        <v>4170</v>
      </c>
      <c r="Q1031" s="27" t="s">
        <v>4171</v>
      </c>
      <c r="R1031" s="27" t="s">
        <v>4669</v>
      </c>
      <c r="S1031" s="28" t="n">
        <f aca="false">IFERROR(ISNUMBER(SEARCH("Conocer",$R1031))/(ISNUMBER(SEARCH("Conocer",$R1031))+ISNUMBER(SEARCH("Aplicar",$R1031))+ISNUMBER(SEARCH("Razonar",$R1031))),0)</f>
        <v>0</v>
      </c>
      <c r="T1031" s="28" t="n">
        <f aca="false">IFERROR(ISNUMBER(SEARCH("Aplicar",$R1031))/(ISNUMBER(SEARCH("Conocer",$R1031))+ISNUMBER(SEARCH("Aplicar",$R1031))+ISNUMBER(SEARCH("Razonar",$R1031))),0)</f>
        <v>0.5</v>
      </c>
      <c r="U1031" s="28" t="n">
        <f aca="false">IFERROR(ISNUMBER(SEARCH("Razonar",$R1031))/(ISNUMBER(SEARCH("Conocer",$R1031))+ISNUMBER(SEARCH("Aplicar",$R1031))+ISNUMBER(SEARCH("Razonar",$R1031))),0)</f>
        <v>0.5</v>
      </c>
      <c r="V1031" s="8" t="s">
        <v>385</v>
      </c>
      <c r="W1031" s="8" t="s">
        <v>4173</v>
      </c>
    </row>
    <row r="1032" customFormat="false" ht="15" hidden="false" customHeight="false" outlineLevel="0" collapsed="false">
      <c r="A1032" s="8" t="s">
        <v>4670</v>
      </c>
      <c r="B1032" s="8" t="n">
        <v>11</v>
      </c>
      <c r="C1032" s="8" t="s">
        <v>90</v>
      </c>
      <c r="D1032" s="8" t="s">
        <v>4164</v>
      </c>
      <c r="E1032" s="8" t="s">
        <v>4579</v>
      </c>
      <c r="F1032" s="8" t="n">
        <v>29</v>
      </c>
      <c r="G1032" s="8" t="s">
        <v>4653</v>
      </c>
      <c r="H1032" s="8" t="s">
        <v>4664</v>
      </c>
      <c r="I1032" s="27" t="s">
        <v>4671</v>
      </c>
      <c r="J1032" s="8" t="s">
        <v>4169</v>
      </c>
      <c r="K1032" s="8" t="s">
        <v>4170</v>
      </c>
      <c r="L1032" s="8"/>
      <c r="M1032" s="8" t="str">
        <f aca="false">IF(K1032="FUERA","Fuera del marco",IF(K1032="N/A","Sin marco",IFERROR(INDEX(Catalogo_TIMSS!$C$5:$C$105,MATCH(K1032,Catalogo_TIMSS!$A$5:$A$105,0)),"Pendiente de clasificar")))</f>
        <v>Sin marco</v>
      </c>
      <c r="N1032" s="8" t="str">
        <f aca="false">IF(K1032="FUERA","Fuera del marco",IF(K1032="N/A","Sin marco",IFERROR(INDEX(Catalogo_TIMSS!$F$5:$F$105,MATCH(K1032,Catalogo_TIMSS!$A$5:$A$105,0)),"Pendiente de clasificar")))</f>
        <v>Sin marco</v>
      </c>
      <c r="O1032" s="8" t="str">
        <f aca="false">IF(L1032="","",IFERROR(INDEX(Catalogo_TIMSS!$C$5:$C$105,MATCH(L1032,Catalogo_TIMSS!$A$5:$A$105,0)),"?"))</f>
        <v/>
      </c>
      <c r="P1032" s="8" t="s">
        <v>4170</v>
      </c>
      <c r="Q1032" s="27" t="s">
        <v>4171</v>
      </c>
      <c r="R1032" s="27" t="s">
        <v>4672</v>
      </c>
      <c r="S1032" s="28" t="n">
        <f aca="false">IFERROR(ISNUMBER(SEARCH("Conocer",$R1032))/(ISNUMBER(SEARCH("Conocer",$R1032))+ISNUMBER(SEARCH("Aplicar",$R1032))+ISNUMBER(SEARCH("Razonar",$R1032))),0)</f>
        <v>0</v>
      </c>
      <c r="T1032" s="28" t="n">
        <f aca="false">IFERROR(ISNUMBER(SEARCH("Aplicar",$R1032))/(ISNUMBER(SEARCH("Conocer",$R1032))+ISNUMBER(SEARCH("Aplicar",$R1032))+ISNUMBER(SEARCH("Razonar",$R1032))),0)</f>
        <v>0.5</v>
      </c>
      <c r="U1032" s="28" t="n">
        <f aca="false">IFERROR(ISNUMBER(SEARCH("Razonar",$R1032))/(ISNUMBER(SEARCH("Conocer",$R1032))+ISNUMBER(SEARCH("Aplicar",$R1032))+ISNUMBER(SEARCH("Razonar",$R1032))),0)</f>
        <v>0.5</v>
      </c>
      <c r="V1032" s="8" t="s">
        <v>385</v>
      </c>
      <c r="W1032" s="8" t="s">
        <v>4173</v>
      </c>
    </row>
    <row r="1033" customFormat="false" ht="15" hidden="false" customHeight="false" outlineLevel="0" collapsed="false">
      <c r="A1033" s="8" t="s">
        <v>4673</v>
      </c>
      <c r="B1033" s="8" t="n">
        <v>11</v>
      </c>
      <c r="C1033" s="8" t="s">
        <v>90</v>
      </c>
      <c r="D1033" s="8" t="s">
        <v>4164</v>
      </c>
      <c r="E1033" s="8" t="s">
        <v>4579</v>
      </c>
      <c r="F1033" s="8" t="n">
        <v>30</v>
      </c>
      <c r="G1033" s="8" t="s">
        <v>4653</v>
      </c>
      <c r="H1033" s="8" t="s">
        <v>4664</v>
      </c>
      <c r="I1033" s="27" t="s">
        <v>4674</v>
      </c>
      <c r="J1033" s="8" t="s">
        <v>4169</v>
      </c>
      <c r="K1033" s="8" t="s">
        <v>4170</v>
      </c>
      <c r="L1033" s="8"/>
      <c r="M1033" s="8" t="str">
        <f aca="false">IF(K1033="FUERA","Fuera del marco",IF(K1033="N/A","Sin marco",IFERROR(INDEX(Catalogo_TIMSS!$C$5:$C$105,MATCH(K1033,Catalogo_TIMSS!$A$5:$A$105,0)),"Pendiente de clasificar")))</f>
        <v>Sin marco</v>
      </c>
      <c r="N1033" s="8" t="str">
        <f aca="false">IF(K1033="FUERA","Fuera del marco",IF(K1033="N/A","Sin marco",IFERROR(INDEX(Catalogo_TIMSS!$F$5:$F$105,MATCH(K1033,Catalogo_TIMSS!$A$5:$A$105,0)),"Pendiente de clasificar")))</f>
        <v>Sin marco</v>
      </c>
      <c r="O1033" s="8" t="str">
        <f aca="false">IF(L1033="","",IFERROR(INDEX(Catalogo_TIMSS!$C$5:$C$105,MATCH(L1033,Catalogo_TIMSS!$A$5:$A$105,0)),"?"))</f>
        <v/>
      </c>
      <c r="P1033" s="8" t="s">
        <v>4170</v>
      </c>
      <c r="Q1033" s="27" t="s">
        <v>4171</v>
      </c>
      <c r="R1033" s="27" t="s">
        <v>4675</v>
      </c>
      <c r="S1033" s="28" t="n">
        <f aca="false">IFERROR(ISNUMBER(SEARCH("Conocer",$R1033))/(ISNUMBER(SEARCH("Conocer",$R1033))+ISNUMBER(SEARCH("Aplicar",$R1033))+ISNUMBER(SEARCH("Razonar",$R1033))),0)</f>
        <v>0.5</v>
      </c>
      <c r="T1033" s="28" t="n">
        <f aca="false">IFERROR(ISNUMBER(SEARCH("Aplicar",$R1033))/(ISNUMBER(SEARCH("Conocer",$R1033))+ISNUMBER(SEARCH("Aplicar",$R1033))+ISNUMBER(SEARCH("Razonar",$R1033))),0)</f>
        <v>0.5</v>
      </c>
      <c r="U1033" s="28" t="n">
        <f aca="false">IFERROR(ISNUMBER(SEARCH("Razonar",$R1033))/(ISNUMBER(SEARCH("Conocer",$R1033))+ISNUMBER(SEARCH("Aplicar",$R1033))+ISNUMBER(SEARCH("Razonar",$R1033))),0)</f>
        <v>0</v>
      </c>
      <c r="V1033" s="8" t="s">
        <v>385</v>
      </c>
      <c r="W1033" s="8" t="s">
        <v>4173</v>
      </c>
    </row>
    <row r="1034" customFormat="false" ht="15" hidden="false" customHeight="false" outlineLevel="0" collapsed="false">
      <c r="A1034" s="8" t="s">
        <v>4676</v>
      </c>
      <c r="B1034" s="8" t="n">
        <v>11</v>
      </c>
      <c r="C1034" s="8" t="s">
        <v>90</v>
      </c>
      <c r="D1034" s="8" t="s">
        <v>4164</v>
      </c>
      <c r="E1034" s="8" t="s">
        <v>4579</v>
      </c>
      <c r="F1034" s="8" t="n">
        <v>31</v>
      </c>
      <c r="G1034" s="8" t="s">
        <v>4653</v>
      </c>
      <c r="H1034" s="8" t="s">
        <v>4664</v>
      </c>
      <c r="I1034" s="27" t="s">
        <v>4677</v>
      </c>
      <c r="J1034" s="8" t="s">
        <v>4169</v>
      </c>
      <c r="K1034" s="8" t="s">
        <v>4170</v>
      </c>
      <c r="L1034" s="8"/>
      <c r="M1034" s="8" t="str">
        <f aca="false">IF(K1034="FUERA","Fuera del marco",IF(K1034="N/A","Sin marco",IFERROR(INDEX(Catalogo_TIMSS!$C$5:$C$105,MATCH(K1034,Catalogo_TIMSS!$A$5:$A$105,0)),"Pendiente de clasificar")))</f>
        <v>Sin marco</v>
      </c>
      <c r="N1034" s="8" t="str">
        <f aca="false">IF(K1034="FUERA","Fuera del marco",IF(K1034="N/A","Sin marco",IFERROR(INDEX(Catalogo_TIMSS!$F$5:$F$105,MATCH(K1034,Catalogo_TIMSS!$A$5:$A$105,0)),"Pendiente de clasificar")))</f>
        <v>Sin marco</v>
      </c>
      <c r="O1034" s="8" t="str">
        <f aca="false">IF(L1034="","",IFERROR(INDEX(Catalogo_TIMSS!$C$5:$C$105,MATCH(L1034,Catalogo_TIMSS!$A$5:$A$105,0)),"?"))</f>
        <v/>
      </c>
      <c r="P1034" s="8" t="s">
        <v>4170</v>
      </c>
      <c r="Q1034" s="27" t="s">
        <v>4171</v>
      </c>
      <c r="R1034" s="27" t="s">
        <v>4678</v>
      </c>
      <c r="S1034" s="28" t="n">
        <f aca="false">IFERROR(ISNUMBER(SEARCH("Conocer",$R1034))/(ISNUMBER(SEARCH("Conocer",$R1034))+ISNUMBER(SEARCH("Aplicar",$R1034))+ISNUMBER(SEARCH("Razonar",$R1034))),0)</f>
        <v>0</v>
      </c>
      <c r="T1034" s="28" t="n">
        <f aca="false">IFERROR(ISNUMBER(SEARCH("Aplicar",$R1034))/(ISNUMBER(SEARCH("Conocer",$R1034))+ISNUMBER(SEARCH("Aplicar",$R1034))+ISNUMBER(SEARCH("Razonar",$R1034))),0)</f>
        <v>0.5</v>
      </c>
      <c r="U1034" s="28" t="n">
        <f aca="false">IFERROR(ISNUMBER(SEARCH("Razonar",$R1034))/(ISNUMBER(SEARCH("Conocer",$R1034))+ISNUMBER(SEARCH("Aplicar",$R1034))+ISNUMBER(SEARCH("Razonar",$R1034))),0)</f>
        <v>0.5</v>
      </c>
      <c r="V1034" s="8" t="s">
        <v>385</v>
      </c>
      <c r="W1034" s="8" t="s">
        <v>4173</v>
      </c>
    </row>
    <row r="1035" customFormat="false" ht="15" hidden="false" customHeight="false" outlineLevel="0" collapsed="false">
      <c r="A1035" s="8" t="s">
        <v>4679</v>
      </c>
      <c r="B1035" s="8" t="n">
        <v>11</v>
      </c>
      <c r="C1035" s="8" t="s">
        <v>90</v>
      </c>
      <c r="D1035" s="8" t="s">
        <v>4164</v>
      </c>
      <c r="E1035" s="8" t="s">
        <v>4579</v>
      </c>
      <c r="F1035" s="8" t="n">
        <v>32</v>
      </c>
      <c r="G1035" s="8" t="s">
        <v>4653</v>
      </c>
      <c r="H1035" s="8" t="s">
        <v>4664</v>
      </c>
      <c r="I1035" s="27" t="s">
        <v>4680</v>
      </c>
      <c r="J1035" s="8" t="s">
        <v>4169</v>
      </c>
      <c r="K1035" s="8" t="s">
        <v>4170</v>
      </c>
      <c r="L1035" s="8"/>
      <c r="M1035" s="8" t="str">
        <f aca="false">IF(K1035="FUERA","Fuera del marco",IF(K1035="N/A","Sin marco",IFERROR(INDEX(Catalogo_TIMSS!$C$5:$C$105,MATCH(K1035,Catalogo_TIMSS!$A$5:$A$105,0)),"Pendiente de clasificar")))</f>
        <v>Sin marco</v>
      </c>
      <c r="N1035" s="8" t="str">
        <f aca="false">IF(K1035="FUERA","Fuera del marco",IF(K1035="N/A","Sin marco",IFERROR(INDEX(Catalogo_TIMSS!$F$5:$F$105,MATCH(K1035,Catalogo_TIMSS!$A$5:$A$105,0)),"Pendiente de clasificar")))</f>
        <v>Sin marco</v>
      </c>
      <c r="O1035" s="8" t="str">
        <f aca="false">IF(L1035="","",IFERROR(INDEX(Catalogo_TIMSS!$C$5:$C$105,MATCH(L1035,Catalogo_TIMSS!$A$5:$A$105,0)),"?"))</f>
        <v/>
      </c>
      <c r="P1035" s="8" t="s">
        <v>4170</v>
      </c>
      <c r="Q1035" s="27" t="s">
        <v>4171</v>
      </c>
      <c r="R1035" s="27" t="s">
        <v>4681</v>
      </c>
      <c r="S1035" s="28" t="n">
        <f aca="false">IFERROR(ISNUMBER(SEARCH("Conocer",$R1035))/(ISNUMBER(SEARCH("Conocer",$R1035))+ISNUMBER(SEARCH("Aplicar",$R1035))+ISNUMBER(SEARCH("Razonar",$R1035))),0)</f>
        <v>0</v>
      </c>
      <c r="T1035" s="28" t="n">
        <f aca="false">IFERROR(ISNUMBER(SEARCH("Aplicar",$R1035))/(ISNUMBER(SEARCH("Conocer",$R1035))+ISNUMBER(SEARCH("Aplicar",$R1035))+ISNUMBER(SEARCH("Razonar",$R1035))),0)</f>
        <v>0.5</v>
      </c>
      <c r="U1035" s="28" t="n">
        <f aca="false">IFERROR(ISNUMBER(SEARCH("Razonar",$R1035))/(ISNUMBER(SEARCH("Conocer",$R1035))+ISNUMBER(SEARCH("Aplicar",$R1035))+ISNUMBER(SEARCH("Razonar",$R1035))),0)</f>
        <v>0.5</v>
      </c>
      <c r="V1035" s="8" t="s">
        <v>385</v>
      </c>
      <c r="W1035" s="8" t="s">
        <v>4173</v>
      </c>
    </row>
    <row r="1036" customFormat="false" ht="15" hidden="false" customHeight="false" outlineLevel="0" collapsed="false">
      <c r="A1036" s="8" t="s">
        <v>4682</v>
      </c>
      <c r="B1036" s="8" t="n">
        <v>11</v>
      </c>
      <c r="C1036" s="8" t="s">
        <v>90</v>
      </c>
      <c r="D1036" s="8" t="s">
        <v>4164</v>
      </c>
      <c r="E1036" s="8" t="s">
        <v>4579</v>
      </c>
      <c r="F1036" s="8" t="n">
        <v>33</v>
      </c>
      <c r="G1036" s="8" t="s">
        <v>4653</v>
      </c>
      <c r="H1036" s="8" t="s">
        <v>4683</v>
      </c>
      <c r="I1036" s="27" t="s">
        <v>4684</v>
      </c>
      <c r="J1036" s="8" t="s">
        <v>4169</v>
      </c>
      <c r="K1036" s="8" t="s">
        <v>4170</v>
      </c>
      <c r="L1036" s="8"/>
      <c r="M1036" s="8" t="str">
        <f aca="false">IF(K1036="FUERA","Fuera del marco",IF(K1036="N/A","Sin marco",IFERROR(INDEX(Catalogo_TIMSS!$C$5:$C$105,MATCH(K1036,Catalogo_TIMSS!$A$5:$A$105,0)),"Pendiente de clasificar")))</f>
        <v>Sin marco</v>
      </c>
      <c r="N1036" s="8" t="str">
        <f aca="false">IF(K1036="FUERA","Fuera del marco",IF(K1036="N/A","Sin marco",IFERROR(INDEX(Catalogo_TIMSS!$F$5:$F$105,MATCH(K1036,Catalogo_TIMSS!$A$5:$A$105,0)),"Pendiente de clasificar")))</f>
        <v>Sin marco</v>
      </c>
      <c r="O1036" s="8" t="str">
        <f aca="false">IF(L1036="","",IFERROR(INDEX(Catalogo_TIMSS!$C$5:$C$105,MATCH(L1036,Catalogo_TIMSS!$A$5:$A$105,0)),"?"))</f>
        <v/>
      </c>
      <c r="P1036" s="8" t="s">
        <v>4170</v>
      </c>
      <c r="Q1036" s="27" t="s">
        <v>4171</v>
      </c>
      <c r="R1036" s="27" t="s">
        <v>4685</v>
      </c>
      <c r="S1036" s="28" t="n">
        <f aca="false">IFERROR(ISNUMBER(SEARCH("Conocer",$R1036))/(ISNUMBER(SEARCH("Conocer",$R1036))+ISNUMBER(SEARCH("Aplicar",$R1036))+ISNUMBER(SEARCH("Razonar",$R1036))),0)</f>
        <v>0.5</v>
      </c>
      <c r="T1036" s="28" t="n">
        <f aca="false">IFERROR(ISNUMBER(SEARCH("Aplicar",$R1036))/(ISNUMBER(SEARCH("Conocer",$R1036))+ISNUMBER(SEARCH("Aplicar",$R1036))+ISNUMBER(SEARCH("Razonar",$R1036))),0)</f>
        <v>0</v>
      </c>
      <c r="U1036" s="28" t="n">
        <f aca="false">IFERROR(ISNUMBER(SEARCH("Razonar",$R1036))/(ISNUMBER(SEARCH("Conocer",$R1036))+ISNUMBER(SEARCH("Aplicar",$R1036))+ISNUMBER(SEARCH("Razonar",$R1036))),0)</f>
        <v>0.5</v>
      </c>
      <c r="V1036" s="8" t="s">
        <v>385</v>
      </c>
      <c r="W1036" s="8" t="s">
        <v>4173</v>
      </c>
    </row>
    <row r="1037" customFormat="false" ht="15" hidden="false" customHeight="false" outlineLevel="0" collapsed="false">
      <c r="A1037" s="8" t="s">
        <v>4686</v>
      </c>
      <c r="B1037" s="8" t="n">
        <v>11</v>
      </c>
      <c r="C1037" s="8" t="s">
        <v>90</v>
      </c>
      <c r="D1037" s="8" t="s">
        <v>4164</v>
      </c>
      <c r="E1037" s="8" t="s">
        <v>4579</v>
      </c>
      <c r="F1037" s="8" t="n">
        <v>34</v>
      </c>
      <c r="G1037" s="8" t="s">
        <v>4653</v>
      </c>
      <c r="H1037" s="8" t="s">
        <v>4683</v>
      </c>
      <c r="I1037" s="27" t="s">
        <v>4687</v>
      </c>
      <c r="J1037" s="8" t="s">
        <v>4169</v>
      </c>
      <c r="K1037" s="8" t="s">
        <v>4170</v>
      </c>
      <c r="L1037" s="8"/>
      <c r="M1037" s="8" t="str">
        <f aca="false">IF(K1037="FUERA","Fuera del marco",IF(K1037="N/A","Sin marco",IFERROR(INDEX(Catalogo_TIMSS!$C$5:$C$105,MATCH(K1037,Catalogo_TIMSS!$A$5:$A$105,0)),"Pendiente de clasificar")))</f>
        <v>Sin marco</v>
      </c>
      <c r="N1037" s="8" t="str">
        <f aca="false">IF(K1037="FUERA","Fuera del marco",IF(K1037="N/A","Sin marco",IFERROR(INDEX(Catalogo_TIMSS!$F$5:$F$105,MATCH(K1037,Catalogo_TIMSS!$A$5:$A$105,0)),"Pendiente de clasificar")))</f>
        <v>Sin marco</v>
      </c>
      <c r="O1037" s="8" t="str">
        <f aca="false">IF(L1037="","",IFERROR(INDEX(Catalogo_TIMSS!$C$5:$C$105,MATCH(L1037,Catalogo_TIMSS!$A$5:$A$105,0)),"?"))</f>
        <v/>
      </c>
      <c r="P1037" s="8" t="s">
        <v>4170</v>
      </c>
      <c r="Q1037" s="27" t="s">
        <v>4171</v>
      </c>
      <c r="R1037" s="27" t="s">
        <v>4688</v>
      </c>
      <c r="S1037" s="28" t="n">
        <f aca="false">IFERROR(ISNUMBER(SEARCH("Conocer",$R1037))/(ISNUMBER(SEARCH("Conocer",$R1037))+ISNUMBER(SEARCH("Aplicar",$R1037))+ISNUMBER(SEARCH("Razonar",$R1037))),0)</f>
        <v>0</v>
      </c>
      <c r="T1037" s="28" t="n">
        <f aca="false">IFERROR(ISNUMBER(SEARCH("Aplicar",$R1037))/(ISNUMBER(SEARCH("Conocer",$R1037))+ISNUMBER(SEARCH("Aplicar",$R1037))+ISNUMBER(SEARCH("Razonar",$R1037))),0)</f>
        <v>0.5</v>
      </c>
      <c r="U1037" s="28" t="n">
        <f aca="false">IFERROR(ISNUMBER(SEARCH("Razonar",$R1037))/(ISNUMBER(SEARCH("Conocer",$R1037))+ISNUMBER(SEARCH("Aplicar",$R1037))+ISNUMBER(SEARCH("Razonar",$R1037))),0)</f>
        <v>0.5</v>
      </c>
      <c r="V1037" s="8" t="s">
        <v>385</v>
      </c>
      <c r="W1037" s="8" t="s">
        <v>4173</v>
      </c>
    </row>
    <row r="1038" customFormat="false" ht="15" hidden="false" customHeight="false" outlineLevel="0" collapsed="false">
      <c r="A1038" s="8" t="s">
        <v>4689</v>
      </c>
      <c r="B1038" s="8" t="n">
        <v>11</v>
      </c>
      <c r="C1038" s="8" t="s">
        <v>90</v>
      </c>
      <c r="D1038" s="8" t="s">
        <v>4164</v>
      </c>
      <c r="E1038" s="8" t="s">
        <v>4579</v>
      </c>
      <c r="F1038" s="8" t="n">
        <v>35</v>
      </c>
      <c r="G1038" s="8" t="s">
        <v>4653</v>
      </c>
      <c r="H1038" s="8" t="s">
        <v>4683</v>
      </c>
      <c r="I1038" s="27" t="s">
        <v>4690</v>
      </c>
      <c r="J1038" s="8" t="s">
        <v>4169</v>
      </c>
      <c r="K1038" s="8" t="s">
        <v>4170</v>
      </c>
      <c r="L1038" s="8"/>
      <c r="M1038" s="8" t="str">
        <f aca="false">IF(K1038="FUERA","Fuera del marco",IF(K1038="N/A","Sin marco",IFERROR(INDEX(Catalogo_TIMSS!$C$5:$C$105,MATCH(K1038,Catalogo_TIMSS!$A$5:$A$105,0)),"Pendiente de clasificar")))</f>
        <v>Sin marco</v>
      </c>
      <c r="N1038" s="8" t="str">
        <f aca="false">IF(K1038="FUERA","Fuera del marco",IF(K1038="N/A","Sin marco",IFERROR(INDEX(Catalogo_TIMSS!$F$5:$F$105,MATCH(K1038,Catalogo_TIMSS!$A$5:$A$105,0)),"Pendiente de clasificar")))</f>
        <v>Sin marco</v>
      </c>
      <c r="O1038" s="8" t="str">
        <f aca="false">IF(L1038="","",IFERROR(INDEX(Catalogo_TIMSS!$C$5:$C$105,MATCH(L1038,Catalogo_TIMSS!$A$5:$A$105,0)),"?"))</f>
        <v/>
      </c>
      <c r="P1038" s="8" t="s">
        <v>4170</v>
      </c>
      <c r="Q1038" s="27" t="s">
        <v>4171</v>
      </c>
      <c r="R1038" s="27" t="s">
        <v>4691</v>
      </c>
      <c r="S1038" s="28" t="n">
        <f aca="false">IFERROR(ISNUMBER(SEARCH("Conocer",$R1038))/(ISNUMBER(SEARCH("Conocer",$R1038))+ISNUMBER(SEARCH("Aplicar",$R1038))+ISNUMBER(SEARCH("Razonar",$R1038))),0)</f>
        <v>0</v>
      </c>
      <c r="T1038" s="28" t="n">
        <f aca="false">IFERROR(ISNUMBER(SEARCH("Aplicar",$R1038))/(ISNUMBER(SEARCH("Conocer",$R1038))+ISNUMBER(SEARCH("Aplicar",$R1038))+ISNUMBER(SEARCH("Razonar",$R1038))),0)</f>
        <v>0.5</v>
      </c>
      <c r="U1038" s="28" t="n">
        <f aca="false">IFERROR(ISNUMBER(SEARCH("Razonar",$R1038))/(ISNUMBER(SEARCH("Conocer",$R1038))+ISNUMBER(SEARCH("Aplicar",$R1038))+ISNUMBER(SEARCH("Razonar",$R1038))),0)</f>
        <v>0.5</v>
      </c>
      <c r="V1038" s="8" t="s">
        <v>385</v>
      </c>
      <c r="W1038" s="8" t="s">
        <v>4173</v>
      </c>
    </row>
    <row r="1039" customFormat="false" ht="15" hidden="false" customHeight="false" outlineLevel="0" collapsed="false">
      <c r="A1039" s="8" t="s">
        <v>4692</v>
      </c>
      <c r="B1039" s="8" t="n">
        <v>11</v>
      </c>
      <c r="C1039" s="8" t="s">
        <v>90</v>
      </c>
      <c r="D1039" s="8" t="s">
        <v>4164</v>
      </c>
      <c r="E1039" s="8" t="s">
        <v>4579</v>
      </c>
      <c r="F1039" s="8" t="n">
        <v>36</v>
      </c>
      <c r="G1039" s="8" t="s">
        <v>4653</v>
      </c>
      <c r="H1039" s="8" t="s">
        <v>4693</v>
      </c>
      <c r="I1039" s="27" t="s">
        <v>4694</v>
      </c>
      <c r="J1039" s="8" t="s">
        <v>4169</v>
      </c>
      <c r="K1039" s="8" t="s">
        <v>4170</v>
      </c>
      <c r="L1039" s="8"/>
      <c r="M1039" s="8" t="str">
        <f aca="false">IF(K1039="FUERA","Fuera del marco",IF(K1039="N/A","Sin marco",IFERROR(INDEX(Catalogo_TIMSS!$C$5:$C$105,MATCH(K1039,Catalogo_TIMSS!$A$5:$A$105,0)),"Pendiente de clasificar")))</f>
        <v>Sin marco</v>
      </c>
      <c r="N1039" s="8" t="str">
        <f aca="false">IF(K1039="FUERA","Fuera del marco",IF(K1039="N/A","Sin marco",IFERROR(INDEX(Catalogo_TIMSS!$F$5:$F$105,MATCH(K1039,Catalogo_TIMSS!$A$5:$A$105,0)),"Pendiente de clasificar")))</f>
        <v>Sin marco</v>
      </c>
      <c r="O1039" s="8" t="str">
        <f aca="false">IF(L1039="","",IFERROR(INDEX(Catalogo_TIMSS!$C$5:$C$105,MATCH(L1039,Catalogo_TIMSS!$A$5:$A$105,0)),"?"))</f>
        <v/>
      </c>
      <c r="P1039" s="8" t="s">
        <v>4170</v>
      </c>
      <c r="Q1039" s="27" t="s">
        <v>4171</v>
      </c>
      <c r="R1039" s="27" t="s">
        <v>4695</v>
      </c>
      <c r="S1039" s="28" t="n">
        <f aca="false">IFERROR(ISNUMBER(SEARCH("Conocer",$R1039))/(ISNUMBER(SEARCH("Conocer",$R1039))+ISNUMBER(SEARCH("Aplicar",$R1039))+ISNUMBER(SEARCH("Razonar",$R1039))),0)</f>
        <v>0.5</v>
      </c>
      <c r="T1039" s="28" t="n">
        <f aca="false">IFERROR(ISNUMBER(SEARCH("Aplicar",$R1039))/(ISNUMBER(SEARCH("Conocer",$R1039))+ISNUMBER(SEARCH("Aplicar",$R1039))+ISNUMBER(SEARCH("Razonar",$R1039))),0)</f>
        <v>0</v>
      </c>
      <c r="U1039" s="28" t="n">
        <f aca="false">IFERROR(ISNUMBER(SEARCH("Razonar",$R1039))/(ISNUMBER(SEARCH("Conocer",$R1039))+ISNUMBER(SEARCH("Aplicar",$R1039))+ISNUMBER(SEARCH("Razonar",$R1039))),0)</f>
        <v>0.5</v>
      </c>
      <c r="V1039" s="8" t="s">
        <v>385</v>
      </c>
      <c r="W1039" s="8" t="s">
        <v>4173</v>
      </c>
    </row>
    <row r="1040" customFormat="false" ht="15" hidden="false" customHeight="false" outlineLevel="0" collapsed="false">
      <c r="A1040" s="8" t="s">
        <v>4696</v>
      </c>
      <c r="B1040" s="8" t="n">
        <v>11</v>
      </c>
      <c r="C1040" s="8" t="s">
        <v>90</v>
      </c>
      <c r="D1040" s="8" t="s">
        <v>4164</v>
      </c>
      <c r="E1040" s="8" t="s">
        <v>4579</v>
      </c>
      <c r="F1040" s="8" t="n">
        <v>37</v>
      </c>
      <c r="G1040" s="8" t="s">
        <v>4653</v>
      </c>
      <c r="H1040" s="8" t="s">
        <v>4693</v>
      </c>
      <c r="I1040" s="27" t="s">
        <v>4697</v>
      </c>
      <c r="J1040" s="8" t="s">
        <v>4169</v>
      </c>
      <c r="K1040" s="8" t="s">
        <v>4170</v>
      </c>
      <c r="L1040" s="8"/>
      <c r="M1040" s="8" t="str">
        <f aca="false">IF(K1040="FUERA","Fuera del marco",IF(K1040="N/A","Sin marco",IFERROR(INDEX(Catalogo_TIMSS!$C$5:$C$105,MATCH(K1040,Catalogo_TIMSS!$A$5:$A$105,0)),"Pendiente de clasificar")))</f>
        <v>Sin marco</v>
      </c>
      <c r="N1040" s="8" t="str">
        <f aca="false">IF(K1040="FUERA","Fuera del marco",IF(K1040="N/A","Sin marco",IFERROR(INDEX(Catalogo_TIMSS!$F$5:$F$105,MATCH(K1040,Catalogo_TIMSS!$A$5:$A$105,0)),"Pendiente de clasificar")))</f>
        <v>Sin marco</v>
      </c>
      <c r="O1040" s="8" t="str">
        <f aca="false">IF(L1040="","",IFERROR(INDEX(Catalogo_TIMSS!$C$5:$C$105,MATCH(L1040,Catalogo_TIMSS!$A$5:$A$105,0)),"?"))</f>
        <v/>
      </c>
      <c r="P1040" s="8" t="s">
        <v>4170</v>
      </c>
      <c r="Q1040" s="27" t="s">
        <v>4171</v>
      </c>
      <c r="R1040" s="27" t="s">
        <v>4698</v>
      </c>
      <c r="S1040" s="28" t="n">
        <f aca="false">IFERROR(ISNUMBER(SEARCH("Conocer",$R1040))/(ISNUMBER(SEARCH("Conocer",$R1040))+ISNUMBER(SEARCH("Aplicar",$R1040))+ISNUMBER(SEARCH("Razonar",$R1040))),0)</f>
        <v>0</v>
      </c>
      <c r="T1040" s="28" t="n">
        <f aca="false">IFERROR(ISNUMBER(SEARCH("Aplicar",$R1040))/(ISNUMBER(SEARCH("Conocer",$R1040))+ISNUMBER(SEARCH("Aplicar",$R1040))+ISNUMBER(SEARCH("Razonar",$R1040))),0)</f>
        <v>0.5</v>
      </c>
      <c r="U1040" s="28" t="n">
        <f aca="false">IFERROR(ISNUMBER(SEARCH("Razonar",$R1040))/(ISNUMBER(SEARCH("Conocer",$R1040))+ISNUMBER(SEARCH("Aplicar",$R1040))+ISNUMBER(SEARCH("Razonar",$R1040))),0)</f>
        <v>0.5</v>
      </c>
      <c r="V1040" s="8" t="s">
        <v>385</v>
      </c>
      <c r="W1040" s="8" t="s">
        <v>4173</v>
      </c>
    </row>
    <row r="1041" customFormat="false" ht="15" hidden="false" customHeight="false" outlineLevel="0" collapsed="false">
      <c r="A1041" s="8" t="s">
        <v>4699</v>
      </c>
      <c r="B1041" s="8" t="n">
        <v>11</v>
      </c>
      <c r="C1041" s="8" t="s">
        <v>90</v>
      </c>
      <c r="D1041" s="8" t="s">
        <v>4164</v>
      </c>
      <c r="E1041" s="8" t="s">
        <v>4579</v>
      </c>
      <c r="F1041" s="8" t="n">
        <v>38</v>
      </c>
      <c r="G1041" s="8" t="s">
        <v>4700</v>
      </c>
      <c r="H1041" s="8" t="s">
        <v>4701</v>
      </c>
      <c r="I1041" s="27" t="s">
        <v>4702</v>
      </c>
      <c r="J1041" s="8" t="s">
        <v>4169</v>
      </c>
      <c r="K1041" s="8" t="s">
        <v>4170</v>
      </c>
      <c r="L1041" s="8"/>
      <c r="M1041" s="8" t="str">
        <f aca="false">IF(K1041="FUERA","Fuera del marco",IF(K1041="N/A","Sin marco",IFERROR(INDEX(Catalogo_TIMSS!$C$5:$C$105,MATCH(K1041,Catalogo_TIMSS!$A$5:$A$105,0)),"Pendiente de clasificar")))</f>
        <v>Sin marco</v>
      </c>
      <c r="N1041" s="8" t="str">
        <f aca="false">IF(K1041="FUERA","Fuera del marco",IF(K1041="N/A","Sin marco",IFERROR(INDEX(Catalogo_TIMSS!$F$5:$F$105,MATCH(K1041,Catalogo_TIMSS!$A$5:$A$105,0)),"Pendiente de clasificar")))</f>
        <v>Sin marco</v>
      </c>
      <c r="O1041" s="8" t="str">
        <f aca="false">IF(L1041="","",IFERROR(INDEX(Catalogo_TIMSS!$C$5:$C$105,MATCH(L1041,Catalogo_TIMSS!$A$5:$A$105,0)),"?"))</f>
        <v/>
      </c>
      <c r="P1041" s="8" t="s">
        <v>4170</v>
      </c>
      <c r="Q1041" s="27" t="s">
        <v>4171</v>
      </c>
      <c r="R1041" s="27" t="s">
        <v>4703</v>
      </c>
      <c r="S1041" s="28" t="n">
        <f aca="false">IFERROR(ISNUMBER(SEARCH("Conocer",$R1041))/(ISNUMBER(SEARCH("Conocer",$R1041))+ISNUMBER(SEARCH("Aplicar",$R1041))+ISNUMBER(SEARCH("Razonar",$R1041))),0)</f>
        <v>0</v>
      </c>
      <c r="T1041" s="28" t="n">
        <f aca="false">IFERROR(ISNUMBER(SEARCH("Aplicar",$R1041))/(ISNUMBER(SEARCH("Conocer",$R1041))+ISNUMBER(SEARCH("Aplicar",$R1041))+ISNUMBER(SEARCH("Razonar",$R1041))),0)</f>
        <v>0.5</v>
      </c>
      <c r="U1041" s="28" t="n">
        <f aca="false">IFERROR(ISNUMBER(SEARCH("Razonar",$R1041))/(ISNUMBER(SEARCH("Conocer",$R1041))+ISNUMBER(SEARCH("Aplicar",$R1041))+ISNUMBER(SEARCH("Razonar",$R1041))),0)</f>
        <v>0.5</v>
      </c>
      <c r="V1041" s="8" t="s">
        <v>385</v>
      </c>
      <c r="W1041" s="8" t="s">
        <v>4173</v>
      </c>
    </row>
    <row r="1042" customFormat="false" ht="15" hidden="false" customHeight="false" outlineLevel="0" collapsed="false">
      <c r="A1042" s="8" t="s">
        <v>4704</v>
      </c>
      <c r="B1042" s="8" t="n">
        <v>11</v>
      </c>
      <c r="C1042" s="8" t="s">
        <v>90</v>
      </c>
      <c r="D1042" s="8" t="s">
        <v>4164</v>
      </c>
      <c r="E1042" s="8" t="s">
        <v>4579</v>
      </c>
      <c r="F1042" s="8" t="n">
        <v>39</v>
      </c>
      <c r="G1042" s="8" t="s">
        <v>4700</v>
      </c>
      <c r="H1042" s="8" t="s">
        <v>4701</v>
      </c>
      <c r="I1042" s="27" t="s">
        <v>4705</v>
      </c>
      <c r="J1042" s="8" t="s">
        <v>4169</v>
      </c>
      <c r="K1042" s="8" t="s">
        <v>4170</v>
      </c>
      <c r="L1042" s="8"/>
      <c r="M1042" s="8" t="str">
        <f aca="false">IF(K1042="FUERA","Fuera del marco",IF(K1042="N/A","Sin marco",IFERROR(INDEX(Catalogo_TIMSS!$C$5:$C$105,MATCH(K1042,Catalogo_TIMSS!$A$5:$A$105,0)),"Pendiente de clasificar")))</f>
        <v>Sin marco</v>
      </c>
      <c r="N1042" s="8" t="str">
        <f aca="false">IF(K1042="FUERA","Fuera del marco",IF(K1042="N/A","Sin marco",IFERROR(INDEX(Catalogo_TIMSS!$F$5:$F$105,MATCH(K1042,Catalogo_TIMSS!$A$5:$A$105,0)),"Pendiente de clasificar")))</f>
        <v>Sin marco</v>
      </c>
      <c r="O1042" s="8" t="str">
        <f aca="false">IF(L1042="","",IFERROR(INDEX(Catalogo_TIMSS!$C$5:$C$105,MATCH(L1042,Catalogo_TIMSS!$A$5:$A$105,0)),"?"))</f>
        <v/>
      </c>
      <c r="P1042" s="8" t="s">
        <v>4170</v>
      </c>
      <c r="Q1042" s="27" t="s">
        <v>4171</v>
      </c>
      <c r="R1042" s="27" t="s">
        <v>4706</v>
      </c>
      <c r="S1042" s="28" t="n">
        <f aca="false">IFERROR(ISNUMBER(SEARCH("Conocer",$R1042))/(ISNUMBER(SEARCH("Conocer",$R1042))+ISNUMBER(SEARCH("Aplicar",$R1042))+ISNUMBER(SEARCH("Razonar",$R1042))),0)</f>
        <v>0</v>
      </c>
      <c r="T1042" s="28" t="n">
        <f aca="false">IFERROR(ISNUMBER(SEARCH("Aplicar",$R1042))/(ISNUMBER(SEARCH("Conocer",$R1042))+ISNUMBER(SEARCH("Aplicar",$R1042))+ISNUMBER(SEARCH("Razonar",$R1042))),0)</f>
        <v>0.5</v>
      </c>
      <c r="U1042" s="28" t="n">
        <f aca="false">IFERROR(ISNUMBER(SEARCH("Razonar",$R1042))/(ISNUMBER(SEARCH("Conocer",$R1042))+ISNUMBER(SEARCH("Aplicar",$R1042))+ISNUMBER(SEARCH("Razonar",$R1042))),0)</f>
        <v>0.5</v>
      </c>
      <c r="V1042" s="8" t="s">
        <v>385</v>
      </c>
      <c r="W1042" s="8" t="s">
        <v>4173</v>
      </c>
    </row>
    <row r="1043" customFormat="false" ht="15" hidden="false" customHeight="false" outlineLevel="0" collapsed="false">
      <c r="A1043" s="8" t="s">
        <v>4707</v>
      </c>
      <c r="B1043" s="8" t="n">
        <v>11</v>
      </c>
      <c r="C1043" s="8" t="s">
        <v>90</v>
      </c>
      <c r="D1043" s="8" t="s">
        <v>4164</v>
      </c>
      <c r="E1043" s="8" t="s">
        <v>4579</v>
      </c>
      <c r="F1043" s="8" t="n">
        <v>40</v>
      </c>
      <c r="G1043" s="8" t="s">
        <v>4700</v>
      </c>
      <c r="H1043" s="8" t="s">
        <v>4701</v>
      </c>
      <c r="I1043" s="27" t="s">
        <v>4708</v>
      </c>
      <c r="J1043" s="8" t="s">
        <v>4169</v>
      </c>
      <c r="K1043" s="8" t="s">
        <v>4170</v>
      </c>
      <c r="L1043" s="8"/>
      <c r="M1043" s="8" t="str">
        <f aca="false">IF(K1043="FUERA","Fuera del marco",IF(K1043="N/A","Sin marco",IFERROR(INDEX(Catalogo_TIMSS!$C$5:$C$105,MATCH(K1043,Catalogo_TIMSS!$A$5:$A$105,0)),"Pendiente de clasificar")))</f>
        <v>Sin marco</v>
      </c>
      <c r="N1043" s="8" t="str">
        <f aca="false">IF(K1043="FUERA","Fuera del marco",IF(K1043="N/A","Sin marco",IFERROR(INDEX(Catalogo_TIMSS!$F$5:$F$105,MATCH(K1043,Catalogo_TIMSS!$A$5:$A$105,0)),"Pendiente de clasificar")))</f>
        <v>Sin marco</v>
      </c>
      <c r="O1043" s="8" t="str">
        <f aca="false">IF(L1043="","",IFERROR(INDEX(Catalogo_TIMSS!$C$5:$C$105,MATCH(L1043,Catalogo_TIMSS!$A$5:$A$105,0)),"?"))</f>
        <v/>
      </c>
      <c r="P1043" s="8" t="s">
        <v>4170</v>
      </c>
      <c r="Q1043" s="27" t="s">
        <v>4171</v>
      </c>
      <c r="R1043" s="27" t="s">
        <v>4709</v>
      </c>
      <c r="S1043" s="28" t="n">
        <f aca="false">IFERROR(ISNUMBER(SEARCH("Conocer",$R1043))/(ISNUMBER(SEARCH("Conocer",$R1043))+ISNUMBER(SEARCH("Aplicar",$R1043))+ISNUMBER(SEARCH("Razonar",$R1043))),0)</f>
        <v>0</v>
      </c>
      <c r="T1043" s="28" t="n">
        <f aca="false">IFERROR(ISNUMBER(SEARCH("Aplicar",$R1043))/(ISNUMBER(SEARCH("Conocer",$R1043))+ISNUMBER(SEARCH("Aplicar",$R1043))+ISNUMBER(SEARCH("Razonar",$R1043))),0)</f>
        <v>0.5</v>
      </c>
      <c r="U1043" s="28" t="n">
        <f aca="false">IFERROR(ISNUMBER(SEARCH("Razonar",$R1043))/(ISNUMBER(SEARCH("Conocer",$R1043))+ISNUMBER(SEARCH("Aplicar",$R1043))+ISNUMBER(SEARCH("Razonar",$R1043))),0)</f>
        <v>0.5</v>
      </c>
      <c r="V1043" s="8" t="s">
        <v>385</v>
      </c>
      <c r="W1043" s="8" t="s">
        <v>4173</v>
      </c>
    </row>
    <row r="1044" customFormat="false" ht="15" hidden="false" customHeight="false" outlineLevel="0" collapsed="false">
      <c r="A1044" s="8" t="s">
        <v>4710</v>
      </c>
      <c r="B1044" s="8" t="n">
        <v>11</v>
      </c>
      <c r="C1044" s="8" t="s">
        <v>90</v>
      </c>
      <c r="D1044" s="8" t="s">
        <v>4164</v>
      </c>
      <c r="E1044" s="8" t="s">
        <v>4579</v>
      </c>
      <c r="F1044" s="8" t="n">
        <v>41</v>
      </c>
      <c r="G1044" s="8" t="s">
        <v>4700</v>
      </c>
      <c r="H1044" s="8" t="s">
        <v>4711</v>
      </c>
      <c r="I1044" s="27" t="s">
        <v>4712</v>
      </c>
      <c r="J1044" s="8" t="s">
        <v>4169</v>
      </c>
      <c r="K1044" s="8" t="s">
        <v>4170</v>
      </c>
      <c r="L1044" s="8"/>
      <c r="M1044" s="8" t="str">
        <f aca="false">IF(K1044="FUERA","Fuera del marco",IF(K1044="N/A","Sin marco",IFERROR(INDEX(Catalogo_TIMSS!$C$5:$C$105,MATCH(K1044,Catalogo_TIMSS!$A$5:$A$105,0)),"Pendiente de clasificar")))</f>
        <v>Sin marco</v>
      </c>
      <c r="N1044" s="8" t="str">
        <f aca="false">IF(K1044="FUERA","Fuera del marco",IF(K1044="N/A","Sin marco",IFERROR(INDEX(Catalogo_TIMSS!$F$5:$F$105,MATCH(K1044,Catalogo_TIMSS!$A$5:$A$105,0)),"Pendiente de clasificar")))</f>
        <v>Sin marco</v>
      </c>
      <c r="O1044" s="8" t="str">
        <f aca="false">IF(L1044="","",IFERROR(INDEX(Catalogo_TIMSS!$C$5:$C$105,MATCH(L1044,Catalogo_TIMSS!$A$5:$A$105,0)),"?"))</f>
        <v/>
      </c>
      <c r="P1044" s="8" t="s">
        <v>4170</v>
      </c>
      <c r="Q1044" s="27" t="s">
        <v>4171</v>
      </c>
      <c r="R1044" s="27" t="s">
        <v>4713</v>
      </c>
      <c r="S1044" s="28" t="n">
        <f aca="false">IFERROR(ISNUMBER(SEARCH("Conocer",$R1044))/(ISNUMBER(SEARCH("Conocer",$R1044))+ISNUMBER(SEARCH("Aplicar",$R1044))+ISNUMBER(SEARCH("Razonar",$R1044))),0)</f>
        <v>0</v>
      </c>
      <c r="T1044" s="28" t="n">
        <f aca="false">IFERROR(ISNUMBER(SEARCH("Aplicar",$R1044))/(ISNUMBER(SEARCH("Conocer",$R1044))+ISNUMBER(SEARCH("Aplicar",$R1044))+ISNUMBER(SEARCH("Razonar",$R1044))),0)</f>
        <v>0.5</v>
      </c>
      <c r="U1044" s="28" t="n">
        <f aca="false">IFERROR(ISNUMBER(SEARCH("Razonar",$R1044))/(ISNUMBER(SEARCH("Conocer",$R1044))+ISNUMBER(SEARCH("Aplicar",$R1044))+ISNUMBER(SEARCH("Razonar",$R1044))),0)</f>
        <v>0.5</v>
      </c>
      <c r="V1044" s="8" t="s">
        <v>385</v>
      </c>
      <c r="W1044" s="8" t="s">
        <v>4173</v>
      </c>
    </row>
    <row r="1045" customFormat="false" ht="15" hidden="false" customHeight="false" outlineLevel="0" collapsed="false">
      <c r="A1045" s="8" t="s">
        <v>4714</v>
      </c>
      <c r="B1045" s="8" t="n">
        <v>11</v>
      </c>
      <c r="C1045" s="8" t="s">
        <v>90</v>
      </c>
      <c r="D1045" s="8" t="s">
        <v>4164</v>
      </c>
      <c r="E1045" s="8" t="s">
        <v>4579</v>
      </c>
      <c r="F1045" s="8" t="n">
        <v>42</v>
      </c>
      <c r="G1045" s="8" t="s">
        <v>4700</v>
      </c>
      <c r="H1045" s="8" t="s">
        <v>4711</v>
      </c>
      <c r="I1045" s="27" t="s">
        <v>4715</v>
      </c>
      <c r="J1045" s="8" t="s">
        <v>4169</v>
      </c>
      <c r="K1045" s="8" t="s">
        <v>4170</v>
      </c>
      <c r="L1045" s="8"/>
      <c r="M1045" s="8" t="str">
        <f aca="false">IF(K1045="FUERA","Fuera del marco",IF(K1045="N/A","Sin marco",IFERROR(INDEX(Catalogo_TIMSS!$C$5:$C$105,MATCH(K1045,Catalogo_TIMSS!$A$5:$A$105,0)),"Pendiente de clasificar")))</f>
        <v>Sin marco</v>
      </c>
      <c r="N1045" s="8" t="str">
        <f aca="false">IF(K1045="FUERA","Fuera del marco",IF(K1045="N/A","Sin marco",IFERROR(INDEX(Catalogo_TIMSS!$F$5:$F$105,MATCH(K1045,Catalogo_TIMSS!$A$5:$A$105,0)),"Pendiente de clasificar")))</f>
        <v>Sin marco</v>
      </c>
      <c r="O1045" s="8" t="str">
        <f aca="false">IF(L1045="","",IFERROR(INDEX(Catalogo_TIMSS!$C$5:$C$105,MATCH(L1045,Catalogo_TIMSS!$A$5:$A$105,0)),"?"))</f>
        <v/>
      </c>
      <c r="P1045" s="8" t="s">
        <v>4170</v>
      </c>
      <c r="Q1045" s="27" t="s">
        <v>4171</v>
      </c>
      <c r="R1045" s="27" t="s">
        <v>4716</v>
      </c>
      <c r="S1045" s="28" t="n">
        <f aca="false">IFERROR(ISNUMBER(SEARCH("Conocer",$R1045))/(ISNUMBER(SEARCH("Conocer",$R1045))+ISNUMBER(SEARCH("Aplicar",$R1045))+ISNUMBER(SEARCH("Razonar",$R1045))),0)</f>
        <v>0</v>
      </c>
      <c r="T1045" s="28" t="n">
        <f aca="false">IFERROR(ISNUMBER(SEARCH("Aplicar",$R1045))/(ISNUMBER(SEARCH("Conocer",$R1045))+ISNUMBER(SEARCH("Aplicar",$R1045))+ISNUMBER(SEARCH("Razonar",$R1045))),0)</f>
        <v>0.5</v>
      </c>
      <c r="U1045" s="28" t="n">
        <f aca="false">IFERROR(ISNUMBER(SEARCH("Razonar",$R1045))/(ISNUMBER(SEARCH("Conocer",$R1045))+ISNUMBER(SEARCH("Aplicar",$R1045))+ISNUMBER(SEARCH("Razonar",$R1045))),0)</f>
        <v>0.5</v>
      </c>
      <c r="V1045" s="8" t="s">
        <v>385</v>
      </c>
      <c r="W1045" s="8" t="s">
        <v>4173</v>
      </c>
    </row>
    <row r="1046" customFormat="false" ht="15" hidden="false" customHeight="false" outlineLevel="0" collapsed="false">
      <c r="A1046" s="8" t="s">
        <v>4717</v>
      </c>
      <c r="B1046" s="8" t="n">
        <v>11</v>
      </c>
      <c r="C1046" s="8" t="s">
        <v>90</v>
      </c>
      <c r="D1046" s="8" t="s">
        <v>4164</v>
      </c>
      <c r="E1046" s="8" t="s">
        <v>4579</v>
      </c>
      <c r="F1046" s="8" t="n">
        <v>43</v>
      </c>
      <c r="G1046" s="8" t="s">
        <v>4700</v>
      </c>
      <c r="H1046" s="8" t="s">
        <v>4711</v>
      </c>
      <c r="I1046" s="27" t="s">
        <v>4718</v>
      </c>
      <c r="J1046" s="8" t="s">
        <v>4169</v>
      </c>
      <c r="K1046" s="8" t="s">
        <v>4170</v>
      </c>
      <c r="L1046" s="8"/>
      <c r="M1046" s="8" t="str">
        <f aca="false">IF(K1046="FUERA","Fuera del marco",IF(K1046="N/A","Sin marco",IFERROR(INDEX(Catalogo_TIMSS!$C$5:$C$105,MATCH(K1046,Catalogo_TIMSS!$A$5:$A$105,0)),"Pendiente de clasificar")))</f>
        <v>Sin marco</v>
      </c>
      <c r="N1046" s="8" t="str">
        <f aca="false">IF(K1046="FUERA","Fuera del marco",IF(K1046="N/A","Sin marco",IFERROR(INDEX(Catalogo_TIMSS!$F$5:$F$105,MATCH(K1046,Catalogo_TIMSS!$A$5:$A$105,0)),"Pendiente de clasificar")))</f>
        <v>Sin marco</v>
      </c>
      <c r="O1046" s="8" t="str">
        <f aca="false">IF(L1046="","",IFERROR(INDEX(Catalogo_TIMSS!$C$5:$C$105,MATCH(L1046,Catalogo_TIMSS!$A$5:$A$105,0)),"?"))</f>
        <v/>
      </c>
      <c r="P1046" s="8" t="s">
        <v>4170</v>
      </c>
      <c r="Q1046" s="27" t="s">
        <v>4171</v>
      </c>
      <c r="R1046" s="27" t="s">
        <v>4719</v>
      </c>
      <c r="S1046" s="28" t="n">
        <f aca="false">IFERROR(ISNUMBER(SEARCH("Conocer",$R1046))/(ISNUMBER(SEARCH("Conocer",$R1046))+ISNUMBER(SEARCH("Aplicar",$R1046))+ISNUMBER(SEARCH("Razonar",$R1046))),0)</f>
        <v>0</v>
      </c>
      <c r="T1046" s="28" t="n">
        <f aca="false">IFERROR(ISNUMBER(SEARCH("Aplicar",$R1046))/(ISNUMBER(SEARCH("Conocer",$R1046))+ISNUMBER(SEARCH("Aplicar",$R1046))+ISNUMBER(SEARCH("Razonar",$R1046))),0)</f>
        <v>0.5</v>
      </c>
      <c r="U1046" s="28" t="n">
        <f aca="false">IFERROR(ISNUMBER(SEARCH("Razonar",$R1046))/(ISNUMBER(SEARCH("Conocer",$R1046))+ISNUMBER(SEARCH("Aplicar",$R1046))+ISNUMBER(SEARCH("Razonar",$R1046))),0)</f>
        <v>0.5</v>
      </c>
      <c r="V1046" s="8" t="s">
        <v>385</v>
      </c>
      <c r="W1046" s="8" t="s">
        <v>4173</v>
      </c>
    </row>
    <row r="1047" customFormat="false" ht="15" hidden="false" customHeight="false" outlineLevel="0" collapsed="false">
      <c r="A1047" s="8" t="s">
        <v>4720</v>
      </c>
      <c r="B1047" s="8" t="n">
        <v>11</v>
      </c>
      <c r="C1047" s="8" t="s">
        <v>90</v>
      </c>
      <c r="D1047" s="8" t="s">
        <v>4164</v>
      </c>
      <c r="E1047" s="8" t="s">
        <v>4579</v>
      </c>
      <c r="F1047" s="8" t="n">
        <v>44</v>
      </c>
      <c r="G1047" s="8" t="s">
        <v>4700</v>
      </c>
      <c r="H1047" s="8" t="s">
        <v>4721</v>
      </c>
      <c r="I1047" s="27" t="s">
        <v>4722</v>
      </c>
      <c r="J1047" s="8" t="s">
        <v>4169</v>
      </c>
      <c r="K1047" s="8" t="s">
        <v>4170</v>
      </c>
      <c r="L1047" s="8"/>
      <c r="M1047" s="8" t="str">
        <f aca="false">IF(K1047="FUERA","Fuera del marco",IF(K1047="N/A","Sin marco",IFERROR(INDEX(Catalogo_TIMSS!$C$5:$C$105,MATCH(K1047,Catalogo_TIMSS!$A$5:$A$105,0)),"Pendiente de clasificar")))</f>
        <v>Sin marco</v>
      </c>
      <c r="N1047" s="8" t="str">
        <f aca="false">IF(K1047="FUERA","Fuera del marco",IF(K1047="N/A","Sin marco",IFERROR(INDEX(Catalogo_TIMSS!$F$5:$F$105,MATCH(K1047,Catalogo_TIMSS!$A$5:$A$105,0)),"Pendiente de clasificar")))</f>
        <v>Sin marco</v>
      </c>
      <c r="O1047" s="8" t="str">
        <f aca="false">IF(L1047="","",IFERROR(INDEX(Catalogo_TIMSS!$C$5:$C$105,MATCH(L1047,Catalogo_TIMSS!$A$5:$A$105,0)),"?"))</f>
        <v/>
      </c>
      <c r="P1047" s="8" t="s">
        <v>4170</v>
      </c>
      <c r="Q1047" s="27" t="s">
        <v>4171</v>
      </c>
      <c r="R1047" s="27" t="s">
        <v>4723</v>
      </c>
      <c r="S1047" s="28" t="n">
        <f aca="false">IFERROR(ISNUMBER(SEARCH("Conocer",$R1047))/(ISNUMBER(SEARCH("Conocer",$R1047))+ISNUMBER(SEARCH("Aplicar",$R1047))+ISNUMBER(SEARCH("Razonar",$R1047))),0)</f>
        <v>0</v>
      </c>
      <c r="T1047" s="28" t="n">
        <f aca="false">IFERROR(ISNUMBER(SEARCH("Aplicar",$R1047))/(ISNUMBER(SEARCH("Conocer",$R1047))+ISNUMBER(SEARCH("Aplicar",$R1047))+ISNUMBER(SEARCH("Razonar",$R1047))),0)</f>
        <v>0.5</v>
      </c>
      <c r="U1047" s="28" t="n">
        <f aca="false">IFERROR(ISNUMBER(SEARCH("Razonar",$R1047))/(ISNUMBER(SEARCH("Conocer",$R1047))+ISNUMBER(SEARCH("Aplicar",$R1047))+ISNUMBER(SEARCH("Razonar",$R1047))),0)</f>
        <v>0.5</v>
      </c>
      <c r="V1047" s="8" t="s">
        <v>385</v>
      </c>
      <c r="W1047" s="8" t="s">
        <v>4173</v>
      </c>
    </row>
    <row r="1048" customFormat="false" ht="15" hidden="false" customHeight="false" outlineLevel="0" collapsed="false">
      <c r="A1048" s="8" t="s">
        <v>4724</v>
      </c>
      <c r="B1048" s="8" t="n">
        <v>11</v>
      </c>
      <c r="C1048" s="8" t="s">
        <v>90</v>
      </c>
      <c r="D1048" s="8" t="s">
        <v>4164</v>
      </c>
      <c r="E1048" s="8" t="s">
        <v>4579</v>
      </c>
      <c r="F1048" s="8" t="n">
        <v>45</v>
      </c>
      <c r="G1048" s="8" t="s">
        <v>4700</v>
      </c>
      <c r="H1048" s="8" t="s">
        <v>4721</v>
      </c>
      <c r="I1048" s="27" t="s">
        <v>4725</v>
      </c>
      <c r="J1048" s="8" t="s">
        <v>4169</v>
      </c>
      <c r="K1048" s="8" t="s">
        <v>4170</v>
      </c>
      <c r="L1048" s="8"/>
      <c r="M1048" s="8" t="str">
        <f aca="false">IF(K1048="FUERA","Fuera del marco",IF(K1048="N/A","Sin marco",IFERROR(INDEX(Catalogo_TIMSS!$C$5:$C$105,MATCH(K1048,Catalogo_TIMSS!$A$5:$A$105,0)),"Pendiente de clasificar")))</f>
        <v>Sin marco</v>
      </c>
      <c r="N1048" s="8" t="str">
        <f aca="false">IF(K1048="FUERA","Fuera del marco",IF(K1048="N/A","Sin marco",IFERROR(INDEX(Catalogo_TIMSS!$F$5:$F$105,MATCH(K1048,Catalogo_TIMSS!$A$5:$A$105,0)),"Pendiente de clasificar")))</f>
        <v>Sin marco</v>
      </c>
      <c r="O1048" s="8" t="str">
        <f aca="false">IF(L1048="","",IFERROR(INDEX(Catalogo_TIMSS!$C$5:$C$105,MATCH(L1048,Catalogo_TIMSS!$A$5:$A$105,0)),"?"))</f>
        <v/>
      </c>
      <c r="P1048" s="8" t="s">
        <v>4170</v>
      </c>
      <c r="Q1048" s="27" t="s">
        <v>4171</v>
      </c>
      <c r="R1048" s="27" t="s">
        <v>4726</v>
      </c>
      <c r="S1048" s="28" t="n">
        <f aca="false">IFERROR(ISNUMBER(SEARCH("Conocer",$R1048))/(ISNUMBER(SEARCH("Conocer",$R1048))+ISNUMBER(SEARCH("Aplicar",$R1048))+ISNUMBER(SEARCH("Razonar",$R1048))),0)</f>
        <v>0</v>
      </c>
      <c r="T1048" s="28" t="n">
        <f aca="false">IFERROR(ISNUMBER(SEARCH("Aplicar",$R1048))/(ISNUMBER(SEARCH("Conocer",$R1048))+ISNUMBER(SEARCH("Aplicar",$R1048))+ISNUMBER(SEARCH("Razonar",$R1048))),0)</f>
        <v>0.5</v>
      </c>
      <c r="U1048" s="28" t="n">
        <f aca="false">IFERROR(ISNUMBER(SEARCH("Razonar",$R1048))/(ISNUMBER(SEARCH("Conocer",$R1048))+ISNUMBER(SEARCH("Aplicar",$R1048))+ISNUMBER(SEARCH("Razonar",$R1048))),0)</f>
        <v>0.5</v>
      </c>
      <c r="V1048" s="8" t="s">
        <v>385</v>
      </c>
      <c r="W1048" s="8" t="s">
        <v>4173</v>
      </c>
    </row>
    <row r="1049" customFormat="false" ht="15" hidden="false" customHeight="false" outlineLevel="0" collapsed="false">
      <c r="A1049" s="8" t="s">
        <v>4727</v>
      </c>
      <c r="B1049" s="8" t="n">
        <v>11</v>
      </c>
      <c r="C1049" s="8" t="s">
        <v>90</v>
      </c>
      <c r="D1049" s="8" t="s">
        <v>4164</v>
      </c>
      <c r="E1049" s="8" t="s">
        <v>4579</v>
      </c>
      <c r="F1049" s="8" t="n">
        <v>46</v>
      </c>
      <c r="G1049" s="8" t="s">
        <v>4700</v>
      </c>
      <c r="H1049" s="8" t="s">
        <v>4721</v>
      </c>
      <c r="I1049" s="27" t="s">
        <v>4728</v>
      </c>
      <c r="J1049" s="8" t="s">
        <v>4169</v>
      </c>
      <c r="K1049" s="8" t="s">
        <v>4170</v>
      </c>
      <c r="L1049" s="8"/>
      <c r="M1049" s="8" t="str">
        <f aca="false">IF(K1049="FUERA","Fuera del marco",IF(K1049="N/A","Sin marco",IFERROR(INDEX(Catalogo_TIMSS!$C$5:$C$105,MATCH(K1049,Catalogo_TIMSS!$A$5:$A$105,0)),"Pendiente de clasificar")))</f>
        <v>Sin marco</v>
      </c>
      <c r="N1049" s="8" t="str">
        <f aca="false">IF(K1049="FUERA","Fuera del marco",IF(K1049="N/A","Sin marco",IFERROR(INDEX(Catalogo_TIMSS!$F$5:$F$105,MATCH(K1049,Catalogo_TIMSS!$A$5:$A$105,0)),"Pendiente de clasificar")))</f>
        <v>Sin marco</v>
      </c>
      <c r="O1049" s="8" t="str">
        <f aca="false">IF(L1049="","",IFERROR(INDEX(Catalogo_TIMSS!$C$5:$C$105,MATCH(L1049,Catalogo_TIMSS!$A$5:$A$105,0)),"?"))</f>
        <v/>
      </c>
      <c r="P1049" s="8" t="s">
        <v>4170</v>
      </c>
      <c r="Q1049" s="27" t="s">
        <v>4171</v>
      </c>
      <c r="R1049" s="27" t="s">
        <v>4729</v>
      </c>
      <c r="S1049" s="28" t="n">
        <f aca="false">IFERROR(ISNUMBER(SEARCH("Conocer",$R1049))/(ISNUMBER(SEARCH("Conocer",$R1049))+ISNUMBER(SEARCH("Aplicar",$R1049))+ISNUMBER(SEARCH("Razonar",$R1049))),0)</f>
        <v>0</v>
      </c>
      <c r="T1049" s="28" t="n">
        <f aca="false">IFERROR(ISNUMBER(SEARCH("Aplicar",$R1049))/(ISNUMBER(SEARCH("Conocer",$R1049))+ISNUMBER(SEARCH("Aplicar",$R1049))+ISNUMBER(SEARCH("Razonar",$R1049))),0)</f>
        <v>0.5</v>
      </c>
      <c r="U1049" s="28" t="n">
        <f aca="false">IFERROR(ISNUMBER(SEARCH("Razonar",$R1049))/(ISNUMBER(SEARCH("Conocer",$R1049))+ISNUMBER(SEARCH("Aplicar",$R1049))+ISNUMBER(SEARCH("Razonar",$R1049))),0)</f>
        <v>0.5</v>
      </c>
      <c r="V1049" s="8" t="s">
        <v>385</v>
      </c>
      <c r="W1049" s="8" t="s">
        <v>4173</v>
      </c>
    </row>
    <row r="1050" customFormat="false" ht="15" hidden="false" customHeight="false" outlineLevel="0" collapsed="false">
      <c r="A1050" s="8" t="s">
        <v>4730</v>
      </c>
      <c r="B1050" s="8" t="n">
        <v>11</v>
      </c>
      <c r="C1050" s="8" t="s">
        <v>90</v>
      </c>
      <c r="D1050" s="8" t="s">
        <v>4164</v>
      </c>
      <c r="E1050" s="8" t="s">
        <v>4579</v>
      </c>
      <c r="F1050" s="8" t="n">
        <v>47</v>
      </c>
      <c r="G1050" s="8" t="s">
        <v>4700</v>
      </c>
      <c r="H1050" s="8" t="s">
        <v>4731</v>
      </c>
      <c r="I1050" s="27" t="s">
        <v>4732</v>
      </c>
      <c r="J1050" s="8" t="s">
        <v>4169</v>
      </c>
      <c r="K1050" s="8" t="s">
        <v>4170</v>
      </c>
      <c r="L1050" s="8"/>
      <c r="M1050" s="8" t="str">
        <f aca="false">IF(K1050="FUERA","Fuera del marco",IF(K1050="N/A","Sin marco",IFERROR(INDEX(Catalogo_TIMSS!$C$5:$C$105,MATCH(K1050,Catalogo_TIMSS!$A$5:$A$105,0)),"Pendiente de clasificar")))</f>
        <v>Sin marco</v>
      </c>
      <c r="N1050" s="8" t="str">
        <f aca="false">IF(K1050="FUERA","Fuera del marco",IF(K1050="N/A","Sin marco",IFERROR(INDEX(Catalogo_TIMSS!$F$5:$F$105,MATCH(K1050,Catalogo_TIMSS!$A$5:$A$105,0)),"Pendiente de clasificar")))</f>
        <v>Sin marco</v>
      </c>
      <c r="O1050" s="8" t="str">
        <f aca="false">IF(L1050="","",IFERROR(INDEX(Catalogo_TIMSS!$C$5:$C$105,MATCH(L1050,Catalogo_TIMSS!$A$5:$A$105,0)),"?"))</f>
        <v/>
      </c>
      <c r="P1050" s="8" t="s">
        <v>4170</v>
      </c>
      <c r="Q1050" s="27" t="s">
        <v>4171</v>
      </c>
      <c r="R1050" s="27" t="s">
        <v>4733</v>
      </c>
      <c r="S1050" s="28" t="n">
        <f aca="false">IFERROR(ISNUMBER(SEARCH("Conocer",$R1050))/(ISNUMBER(SEARCH("Conocer",$R1050))+ISNUMBER(SEARCH("Aplicar",$R1050))+ISNUMBER(SEARCH("Razonar",$R1050))),0)</f>
        <v>0</v>
      </c>
      <c r="T1050" s="28" t="n">
        <f aca="false">IFERROR(ISNUMBER(SEARCH("Aplicar",$R1050))/(ISNUMBER(SEARCH("Conocer",$R1050))+ISNUMBER(SEARCH("Aplicar",$R1050))+ISNUMBER(SEARCH("Razonar",$R1050))),0)</f>
        <v>0.5</v>
      </c>
      <c r="U1050" s="28" t="n">
        <f aca="false">IFERROR(ISNUMBER(SEARCH("Razonar",$R1050))/(ISNUMBER(SEARCH("Conocer",$R1050))+ISNUMBER(SEARCH("Aplicar",$R1050))+ISNUMBER(SEARCH("Razonar",$R1050))),0)</f>
        <v>0.5</v>
      </c>
      <c r="V1050" s="8" t="s">
        <v>385</v>
      </c>
      <c r="W1050" s="8" t="s">
        <v>4173</v>
      </c>
    </row>
    <row r="1051" customFormat="false" ht="15" hidden="false" customHeight="false" outlineLevel="0" collapsed="false">
      <c r="A1051" s="8" t="s">
        <v>4734</v>
      </c>
      <c r="B1051" s="8" t="n">
        <v>11</v>
      </c>
      <c r="C1051" s="8" t="s">
        <v>90</v>
      </c>
      <c r="D1051" s="8" t="s">
        <v>4164</v>
      </c>
      <c r="E1051" s="8" t="s">
        <v>4579</v>
      </c>
      <c r="F1051" s="8" t="n">
        <v>48</v>
      </c>
      <c r="G1051" s="8" t="s">
        <v>4700</v>
      </c>
      <c r="H1051" s="8" t="s">
        <v>4731</v>
      </c>
      <c r="I1051" s="27" t="s">
        <v>4735</v>
      </c>
      <c r="J1051" s="8" t="s">
        <v>4169</v>
      </c>
      <c r="K1051" s="8" t="s">
        <v>4170</v>
      </c>
      <c r="L1051" s="8"/>
      <c r="M1051" s="8" t="str">
        <f aca="false">IF(K1051="FUERA","Fuera del marco",IF(K1051="N/A","Sin marco",IFERROR(INDEX(Catalogo_TIMSS!$C$5:$C$105,MATCH(K1051,Catalogo_TIMSS!$A$5:$A$105,0)),"Pendiente de clasificar")))</f>
        <v>Sin marco</v>
      </c>
      <c r="N1051" s="8" t="str">
        <f aca="false">IF(K1051="FUERA","Fuera del marco",IF(K1051="N/A","Sin marco",IFERROR(INDEX(Catalogo_TIMSS!$F$5:$F$105,MATCH(K1051,Catalogo_TIMSS!$A$5:$A$105,0)),"Pendiente de clasificar")))</f>
        <v>Sin marco</v>
      </c>
      <c r="O1051" s="8" t="str">
        <f aca="false">IF(L1051="","",IFERROR(INDEX(Catalogo_TIMSS!$C$5:$C$105,MATCH(L1051,Catalogo_TIMSS!$A$5:$A$105,0)),"?"))</f>
        <v/>
      </c>
      <c r="P1051" s="8" t="s">
        <v>4170</v>
      </c>
      <c r="Q1051" s="27" t="s">
        <v>4171</v>
      </c>
      <c r="R1051" s="27" t="s">
        <v>4736</v>
      </c>
      <c r="S1051" s="28" t="n">
        <f aca="false">IFERROR(ISNUMBER(SEARCH("Conocer",$R1051))/(ISNUMBER(SEARCH("Conocer",$R1051))+ISNUMBER(SEARCH("Aplicar",$R1051))+ISNUMBER(SEARCH("Razonar",$R1051))),0)</f>
        <v>0</v>
      </c>
      <c r="T1051" s="28" t="n">
        <f aca="false">IFERROR(ISNUMBER(SEARCH("Aplicar",$R1051))/(ISNUMBER(SEARCH("Conocer",$R1051))+ISNUMBER(SEARCH("Aplicar",$R1051))+ISNUMBER(SEARCH("Razonar",$R1051))),0)</f>
        <v>0.5</v>
      </c>
      <c r="U1051" s="28" t="n">
        <f aca="false">IFERROR(ISNUMBER(SEARCH("Razonar",$R1051))/(ISNUMBER(SEARCH("Conocer",$R1051))+ISNUMBER(SEARCH("Aplicar",$R1051))+ISNUMBER(SEARCH("Razonar",$R1051))),0)</f>
        <v>0.5</v>
      </c>
      <c r="V1051" s="8" t="s">
        <v>385</v>
      </c>
      <c r="W1051" s="8" t="s">
        <v>4173</v>
      </c>
    </row>
    <row r="1052" customFormat="false" ht="15" hidden="false" customHeight="false" outlineLevel="0" collapsed="false">
      <c r="A1052" s="8" t="s">
        <v>4737</v>
      </c>
      <c r="B1052" s="8" t="n">
        <v>11</v>
      </c>
      <c r="C1052" s="8" t="s">
        <v>90</v>
      </c>
      <c r="D1052" s="8" t="s">
        <v>4164</v>
      </c>
      <c r="E1052" s="8" t="s">
        <v>4579</v>
      </c>
      <c r="F1052" s="8" t="n">
        <v>49</v>
      </c>
      <c r="G1052" s="8" t="s">
        <v>4700</v>
      </c>
      <c r="H1052" s="8" t="s">
        <v>4738</v>
      </c>
      <c r="I1052" s="27" t="s">
        <v>4739</v>
      </c>
      <c r="J1052" s="8" t="s">
        <v>4169</v>
      </c>
      <c r="K1052" s="8" t="s">
        <v>4170</v>
      </c>
      <c r="L1052" s="8"/>
      <c r="M1052" s="8" t="str">
        <f aca="false">IF(K1052="FUERA","Fuera del marco",IF(K1052="N/A","Sin marco",IFERROR(INDEX(Catalogo_TIMSS!$C$5:$C$105,MATCH(K1052,Catalogo_TIMSS!$A$5:$A$105,0)),"Pendiente de clasificar")))</f>
        <v>Sin marco</v>
      </c>
      <c r="N1052" s="8" t="str">
        <f aca="false">IF(K1052="FUERA","Fuera del marco",IF(K1052="N/A","Sin marco",IFERROR(INDEX(Catalogo_TIMSS!$F$5:$F$105,MATCH(K1052,Catalogo_TIMSS!$A$5:$A$105,0)),"Pendiente de clasificar")))</f>
        <v>Sin marco</v>
      </c>
      <c r="O1052" s="8" t="str">
        <f aca="false">IF(L1052="","",IFERROR(INDEX(Catalogo_TIMSS!$C$5:$C$105,MATCH(L1052,Catalogo_TIMSS!$A$5:$A$105,0)),"?"))</f>
        <v/>
      </c>
      <c r="P1052" s="8" t="s">
        <v>4170</v>
      </c>
      <c r="Q1052" s="27" t="s">
        <v>4171</v>
      </c>
      <c r="R1052" s="27" t="s">
        <v>4740</v>
      </c>
      <c r="S1052" s="28" t="n">
        <f aca="false">IFERROR(ISNUMBER(SEARCH("Conocer",$R1052))/(ISNUMBER(SEARCH("Conocer",$R1052))+ISNUMBER(SEARCH("Aplicar",$R1052))+ISNUMBER(SEARCH("Razonar",$R1052))),0)</f>
        <v>0</v>
      </c>
      <c r="T1052" s="28" t="n">
        <f aca="false">IFERROR(ISNUMBER(SEARCH("Aplicar",$R1052))/(ISNUMBER(SEARCH("Conocer",$R1052))+ISNUMBER(SEARCH("Aplicar",$R1052))+ISNUMBER(SEARCH("Razonar",$R1052))),0)</f>
        <v>0.5</v>
      </c>
      <c r="U1052" s="28" t="n">
        <f aca="false">IFERROR(ISNUMBER(SEARCH("Razonar",$R1052))/(ISNUMBER(SEARCH("Conocer",$R1052))+ISNUMBER(SEARCH("Aplicar",$R1052))+ISNUMBER(SEARCH("Razonar",$R1052))),0)</f>
        <v>0.5</v>
      </c>
      <c r="V1052" s="8" t="s">
        <v>385</v>
      </c>
      <c r="W1052" s="8" t="s">
        <v>4173</v>
      </c>
    </row>
    <row r="1053" customFormat="false" ht="15" hidden="false" customHeight="false" outlineLevel="0" collapsed="false">
      <c r="A1053" s="8" t="s">
        <v>4741</v>
      </c>
      <c r="B1053" s="8" t="n">
        <v>11</v>
      </c>
      <c r="C1053" s="8" t="s">
        <v>90</v>
      </c>
      <c r="D1053" s="8" t="s">
        <v>4164</v>
      </c>
      <c r="E1053" s="8" t="s">
        <v>4579</v>
      </c>
      <c r="F1053" s="8" t="n">
        <v>50</v>
      </c>
      <c r="G1053" s="8" t="s">
        <v>4742</v>
      </c>
      <c r="H1053" s="8" t="s">
        <v>4743</v>
      </c>
      <c r="I1053" s="27" t="s">
        <v>4744</v>
      </c>
      <c r="J1053" s="8" t="s">
        <v>4169</v>
      </c>
      <c r="K1053" s="8" t="s">
        <v>4170</v>
      </c>
      <c r="L1053" s="8"/>
      <c r="M1053" s="8" t="str">
        <f aca="false">IF(K1053="FUERA","Fuera del marco",IF(K1053="N/A","Sin marco",IFERROR(INDEX(Catalogo_TIMSS!$C$5:$C$105,MATCH(K1053,Catalogo_TIMSS!$A$5:$A$105,0)),"Pendiente de clasificar")))</f>
        <v>Sin marco</v>
      </c>
      <c r="N1053" s="8" t="str">
        <f aca="false">IF(K1053="FUERA","Fuera del marco",IF(K1053="N/A","Sin marco",IFERROR(INDEX(Catalogo_TIMSS!$F$5:$F$105,MATCH(K1053,Catalogo_TIMSS!$A$5:$A$105,0)),"Pendiente de clasificar")))</f>
        <v>Sin marco</v>
      </c>
      <c r="O1053" s="8" t="str">
        <f aca="false">IF(L1053="","",IFERROR(INDEX(Catalogo_TIMSS!$C$5:$C$105,MATCH(L1053,Catalogo_TIMSS!$A$5:$A$105,0)),"?"))</f>
        <v/>
      </c>
      <c r="P1053" s="8" t="s">
        <v>4170</v>
      </c>
      <c r="Q1053" s="27" t="s">
        <v>4171</v>
      </c>
      <c r="R1053" s="27" t="s">
        <v>4745</v>
      </c>
      <c r="S1053" s="28" t="n">
        <f aca="false">IFERROR(ISNUMBER(SEARCH("Conocer",$R1053))/(ISNUMBER(SEARCH("Conocer",$R1053))+ISNUMBER(SEARCH("Aplicar",$R1053))+ISNUMBER(SEARCH("Razonar",$R1053))),0)</f>
        <v>0</v>
      </c>
      <c r="T1053" s="28" t="n">
        <f aca="false">IFERROR(ISNUMBER(SEARCH("Aplicar",$R1053))/(ISNUMBER(SEARCH("Conocer",$R1053))+ISNUMBER(SEARCH("Aplicar",$R1053))+ISNUMBER(SEARCH("Razonar",$R1053))),0)</f>
        <v>0.5</v>
      </c>
      <c r="U1053" s="28" t="n">
        <f aca="false">IFERROR(ISNUMBER(SEARCH("Razonar",$R1053))/(ISNUMBER(SEARCH("Conocer",$R1053))+ISNUMBER(SEARCH("Aplicar",$R1053))+ISNUMBER(SEARCH("Razonar",$R1053))),0)</f>
        <v>0.5</v>
      </c>
      <c r="V1053" s="8" t="s">
        <v>385</v>
      </c>
      <c r="W1053" s="8" t="s">
        <v>4173</v>
      </c>
    </row>
    <row r="1054" customFormat="false" ht="15" hidden="false" customHeight="false" outlineLevel="0" collapsed="false">
      <c r="A1054" s="8" t="s">
        <v>4746</v>
      </c>
      <c r="B1054" s="8" t="n">
        <v>11</v>
      </c>
      <c r="C1054" s="8" t="s">
        <v>90</v>
      </c>
      <c r="D1054" s="8" t="s">
        <v>4164</v>
      </c>
      <c r="E1054" s="8" t="s">
        <v>4579</v>
      </c>
      <c r="F1054" s="8" t="n">
        <v>51</v>
      </c>
      <c r="G1054" s="8" t="s">
        <v>4742</v>
      </c>
      <c r="H1054" s="8" t="s">
        <v>4743</v>
      </c>
      <c r="I1054" s="27" t="s">
        <v>4747</v>
      </c>
      <c r="J1054" s="8" t="s">
        <v>4169</v>
      </c>
      <c r="K1054" s="8" t="s">
        <v>4170</v>
      </c>
      <c r="L1054" s="8"/>
      <c r="M1054" s="8" t="str">
        <f aca="false">IF(K1054="FUERA","Fuera del marco",IF(K1054="N/A","Sin marco",IFERROR(INDEX(Catalogo_TIMSS!$C$5:$C$105,MATCH(K1054,Catalogo_TIMSS!$A$5:$A$105,0)),"Pendiente de clasificar")))</f>
        <v>Sin marco</v>
      </c>
      <c r="N1054" s="8" t="str">
        <f aca="false">IF(K1054="FUERA","Fuera del marco",IF(K1054="N/A","Sin marco",IFERROR(INDEX(Catalogo_TIMSS!$F$5:$F$105,MATCH(K1054,Catalogo_TIMSS!$A$5:$A$105,0)),"Pendiente de clasificar")))</f>
        <v>Sin marco</v>
      </c>
      <c r="O1054" s="8" t="str">
        <f aca="false">IF(L1054="","",IFERROR(INDEX(Catalogo_TIMSS!$C$5:$C$105,MATCH(L1054,Catalogo_TIMSS!$A$5:$A$105,0)),"?"))</f>
        <v/>
      </c>
      <c r="P1054" s="8" t="s">
        <v>4170</v>
      </c>
      <c r="Q1054" s="27" t="s">
        <v>4171</v>
      </c>
      <c r="R1054" s="27" t="s">
        <v>4748</v>
      </c>
      <c r="S1054" s="28" t="n">
        <f aca="false">IFERROR(ISNUMBER(SEARCH("Conocer",$R1054))/(ISNUMBER(SEARCH("Conocer",$R1054))+ISNUMBER(SEARCH("Aplicar",$R1054))+ISNUMBER(SEARCH("Razonar",$R1054))),0)</f>
        <v>0</v>
      </c>
      <c r="T1054" s="28" t="n">
        <f aca="false">IFERROR(ISNUMBER(SEARCH("Aplicar",$R1054))/(ISNUMBER(SEARCH("Conocer",$R1054))+ISNUMBER(SEARCH("Aplicar",$R1054))+ISNUMBER(SEARCH("Razonar",$R1054))),0)</f>
        <v>0.5</v>
      </c>
      <c r="U1054" s="28" t="n">
        <f aca="false">IFERROR(ISNUMBER(SEARCH("Razonar",$R1054))/(ISNUMBER(SEARCH("Conocer",$R1054))+ISNUMBER(SEARCH("Aplicar",$R1054))+ISNUMBER(SEARCH("Razonar",$R1054))),0)</f>
        <v>0.5</v>
      </c>
      <c r="V1054" s="8" t="s">
        <v>385</v>
      </c>
      <c r="W1054" s="8" t="s">
        <v>4173</v>
      </c>
    </row>
    <row r="1055" customFormat="false" ht="15" hidden="false" customHeight="false" outlineLevel="0" collapsed="false">
      <c r="A1055" s="8" t="s">
        <v>4749</v>
      </c>
      <c r="B1055" s="8" t="n">
        <v>11</v>
      </c>
      <c r="C1055" s="8" t="s">
        <v>90</v>
      </c>
      <c r="D1055" s="8" t="s">
        <v>4164</v>
      </c>
      <c r="E1055" s="8" t="s">
        <v>4579</v>
      </c>
      <c r="F1055" s="8" t="n">
        <v>52</v>
      </c>
      <c r="G1055" s="8" t="s">
        <v>4742</v>
      </c>
      <c r="H1055" s="8" t="s">
        <v>4750</v>
      </c>
      <c r="I1055" s="27" t="s">
        <v>4751</v>
      </c>
      <c r="J1055" s="8" t="s">
        <v>4169</v>
      </c>
      <c r="K1055" s="8" t="s">
        <v>4170</v>
      </c>
      <c r="L1055" s="8"/>
      <c r="M1055" s="8" t="str">
        <f aca="false">IF(K1055="FUERA","Fuera del marco",IF(K1055="N/A","Sin marco",IFERROR(INDEX(Catalogo_TIMSS!$C$5:$C$105,MATCH(K1055,Catalogo_TIMSS!$A$5:$A$105,0)),"Pendiente de clasificar")))</f>
        <v>Sin marco</v>
      </c>
      <c r="N1055" s="8" t="str">
        <f aca="false">IF(K1055="FUERA","Fuera del marco",IF(K1055="N/A","Sin marco",IFERROR(INDEX(Catalogo_TIMSS!$F$5:$F$105,MATCH(K1055,Catalogo_TIMSS!$A$5:$A$105,0)),"Pendiente de clasificar")))</f>
        <v>Sin marco</v>
      </c>
      <c r="O1055" s="8" t="str">
        <f aca="false">IF(L1055="","",IFERROR(INDEX(Catalogo_TIMSS!$C$5:$C$105,MATCH(L1055,Catalogo_TIMSS!$A$5:$A$105,0)),"?"))</f>
        <v/>
      </c>
      <c r="P1055" s="8" t="s">
        <v>4170</v>
      </c>
      <c r="Q1055" s="27" t="s">
        <v>4171</v>
      </c>
      <c r="R1055" s="27" t="s">
        <v>4752</v>
      </c>
      <c r="S1055" s="28" t="n">
        <f aca="false">IFERROR(ISNUMBER(SEARCH("Conocer",$R1055))/(ISNUMBER(SEARCH("Conocer",$R1055))+ISNUMBER(SEARCH("Aplicar",$R1055))+ISNUMBER(SEARCH("Razonar",$R1055))),0)</f>
        <v>0</v>
      </c>
      <c r="T1055" s="28" t="n">
        <f aca="false">IFERROR(ISNUMBER(SEARCH("Aplicar",$R1055))/(ISNUMBER(SEARCH("Conocer",$R1055))+ISNUMBER(SEARCH("Aplicar",$R1055))+ISNUMBER(SEARCH("Razonar",$R1055))),0)</f>
        <v>0.5</v>
      </c>
      <c r="U1055" s="28" t="n">
        <f aca="false">IFERROR(ISNUMBER(SEARCH("Razonar",$R1055))/(ISNUMBER(SEARCH("Conocer",$R1055))+ISNUMBER(SEARCH("Aplicar",$R1055))+ISNUMBER(SEARCH("Razonar",$R1055))),0)</f>
        <v>0.5</v>
      </c>
      <c r="V1055" s="8" t="s">
        <v>385</v>
      </c>
      <c r="W1055" s="8" t="s">
        <v>4173</v>
      </c>
    </row>
    <row r="1056" customFormat="false" ht="15" hidden="false" customHeight="false" outlineLevel="0" collapsed="false">
      <c r="A1056" s="8" t="s">
        <v>4753</v>
      </c>
      <c r="B1056" s="8" t="n">
        <v>11</v>
      </c>
      <c r="C1056" s="8" t="s">
        <v>90</v>
      </c>
      <c r="D1056" s="8" t="s">
        <v>4164</v>
      </c>
      <c r="E1056" s="8" t="s">
        <v>4579</v>
      </c>
      <c r="F1056" s="8" t="n">
        <v>53</v>
      </c>
      <c r="G1056" s="8" t="s">
        <v>4742</v>
      </c>
      <c r="H1056" s="8" t="s">
        <v>4754</v>
      </c>
      <c r="I1056" s="27" t="s">
        <v>4755</v>
      </c>
      <c r="J1056" s="8" t="s">
        <v>4169</v>
      </c>
      <c r="K1056" s="8" t="s">
        <v>4170</v>
      </c>
      <c r="L1056" s="8"/>
      <c r="M1056" s="8" t="str">
        <f aca="false">IF(K1056="FUERA","Fuera del marco",IF(K1056="N/A","Sin marco",IFERROR(INDEX(Catalogo_TIMSS!$C$5:$C$105,MATCH(K1056,Catalogo_TIMSS!$A$5:$A$105,0)),"Pendiente de clasificar")))</f>
        <v>Sin marco</v>
      </c>
      <c r="N1056" s="8" t="str">
        <f aca="false">IF(K1056="FUERA","Fuera del marco",IF(K1056="N/A","Sin marco",IFERROR(INDEX(Catalogo_TIMSS!$F$5:$F$105,MATCH(K1056,Catalogo_TIMSS!$A$5:$A$105,0)),"Pendiente de clasificar")))</f>
        <v>Sin marco</v>
      </c>
      <c r="O1056" s="8" t="str">
        <f aca="false">IF(L1056="","",IFERROR(INDEX(Catalogo_TIMSS!$C$5:$C$105,MATCH(L1056,Catalogo_TIMSS!$A$5:$A$105,0)),"?"))</f>
        <v/>
      </c>
      <c r="P1056" s="8" t="s">
        <v>4170</v>
      </c>
      <c r="Q1056" s="27" t="s">
        <v>4171</v>
      </c>
      <c r="R1056" s="27" t="s">
        <v>4756</v>
      </c>
      <c r="S1056" s="28" t="n">
        <f aca="false">IFERROR(ISNUMBER(SEARCH("Conocer",$R1056))/(ISNUMBER(SEARCH("Conocer",$R1056))+ISNUMBER(SEARCH("Aplicar",$R1056))+ISNUMBER(SEARCH("Razonar",$R1056))),0)</f>
        <v>0</v>
      </c>
      <c r="T1056" s="28" t="n">
        <f aca="false">IFERROR(ISNUMBER(SEARCH("Aplicar",$R1056))/(ISNUMBER(SEARCH("Conocer",$R1056))+ISNUMBER(SEARCH("Aplicar",$R1056))+ISNUMBER(SEARCH("Razonar",$R1056))),0)</f>
        <v>0.5</v>
      </c>
      <c r="U1056" s="28" t="n">
        <f aca="false">IFERROR(ISNUMBER(SEARCH("Razonar",$R1056))/(ISNUMBER(SEARCH("Conocer",$R1056))+ISNUMBER(SEARCH("Aplicar",$R1056))+ISNUMBER(SEARCH("Razonar",$R1056))),0)</f>
        <v>0.5</v>
      </c>
      <c r="V1056" s="8" t="s">
        <v>385</v>
      </c>
      <c r="W1056" s="8" t="s">
        <v>4173</v>
      </c>
    </row>
    <row r="1057" customFormat="false" ht="15" hidden="false" customHeight="false" outlineLevel="0" collapsed="false">
      <c r="A1057" s="8" t="s">
        <v>4757</v>
      </c>
      <c r="B1057" s="8" t="n">
        <v>11</v>
      </c>
      <c r="C1057" s="8" t="s">
        <v>90</v>
      </c>
      <c r="D1057" s="8" t="s">
        <v>4164</v>
      </c>
      <c r="E1057" s="8" t="s">
        <v>4579</v>
      </c>
      <c r="F1057" s="8" t="n">
        <v>54</v>
      </c>
      <c r="G1057" s="8" t="s">
        <v>4742</v>
      </c>
      <c r="H1057" s="8" t="s">
        <v>4754</v>
      </c>
      <c r="I1057" s="27" t="s">
        <v>4758</v>
      </c>
      <c r="J1057" s="8" t="s">
        <v>4169</v>
      </c>
      <c r="K1057" s="8" t="s">
        <v>4170</v>
      </c>
      <c r="L1057" s="8"/>
      <c r="M1057" s="8" t="str">
        <f aca="false">IF(K1057="FUERA","Fuera del marco",IF(K1057="N/A","Sin marco",IFERROR(INDEX(Catalogo_TIMSS!$C$5:$C$105,MATCH(K1057,Catalogo_TIMSS!$A$5:$A$105,0)),"Pendiente de clasificar")))</f>
        <v>Sin marco</v>
      </c>
      <c r="N1057" s="8" t="str">
        <f aca="false">IF(K1057="FUERA","Fuera del marco",IF(K1057="N/A","Sin marco",IFERROR(INDEX(Catalogo_TIMSS!$F$5:$F$105,MATCH(K1057,Catalogo_TIMSS!$A$5:$A$105,0)),"Pendiente de clasificar")))</f>
        <v>Sin marco</v>
      </c>
      <c r="O1057" s="8" t="str">
        <f aca="false">IF(L1057="","",IFERROR(INDEX(Catalogo_TIMSS!$C$5:$C$105,MATCH(L1057,Catalogo_TIMSS!$A$5:$A$105,0)),"?"))</f>
        <v/>
      </c>
      <c r="P1057" s="8" t="s">
        <v>4170</v>
      </c>
      <c r="Q1057" s="27" t="s">
        <v>4171</v>
      </c>
      <c r="R1057" s="27" t="s">
        <v>4759</v>
      </c>
      <c r="S1057" s="28" t="n">
        <f aca="false">IFERROR(ISNUMBER(SEARCH("Conocer",$R1057))/(ISNUMBER(SEARCH("Conocer",$R1057))+ISNUMBER(SEARCH("Aplicar",$R1057))+ISNUMBER(SEARCH("Razonar",$R1057))),0)</f>
        <v>0.5</v>
      </c>
      <c r="T1057" s="28" t="n">
        <f aca="false">IFERROR(ISNUMBER(SEARCH("Aplicar",$R1057))/(ISNUMBER(SEARCH("Conocer",$R1057))+ISNUMBER(SEARCH("Aplicar",$R1057))+ISNUMBER(SEARCH("Razonar",$R1057))),0)</f>
        <v>0</v>
      </c>
      <c r="U1057" s="28" t="n">
        <f aca="false">IFERROR(ISNUMBER(SEARCH("Razonar",$R1057))/(ISNUMBER(SEARCH("Conocer",$R1057))+ISNUMBER(SEARCH("Aplicar",$R1057))+ISNUMBER(SEARCH("Razonar",$R1057))),0)</f>
        <v>0.5</v>
      </c>
      <c r="V1057" s="8" t="s">
        <v>385</v>
      </c>
      <c r="W1057" s="8" t="s">
        <v>4173</v>
      </c>
    </row>
    <row r="1058" customFormat="false" ht="15" hidden="false" customHeight="false" outlineLevel="0" collapsed="false">
      <c r="A1058" s="8" t="s">
        <v>4760</v>
      </c>
      <c r="B1058" s="8" t="n">
        <v>11</v>
      </c>
      <c r="C1058" s="8" t="s">
        <v>90</v>
      </c>
      <c r="D1058" s="8" t="s">
        <v>4164</v>
      </c>
      <c r="E1058" s="8" t="s">
        <v>4579</v>
      </c>
      <c r="F1058" s="8" t="n">
        <v>55</v>
      </c>
      <c r="G1058" s="8" t="s">
        <v>4761</v>
      </c>
      <c r="H1058" s="8" t="s">
        <v>4762</v>
      </c>
      <c r="I1058" s="27" t="s">
        <v>4763</v>
      </c>
      <c r="J1058" s="8" t="s">
        <v>4169</v>
      </c>
      <c r="K1058" s="8" t="s">
        <v>4170</v>
      </c>
      <c r="L1058" s="8"/>
      <c r="M1058" s="8" t="str">
        <f aca="false">IF(K1058="FUERA","Fuera del marco",IF(K1058="N/A","Sin marco",IFERROR(INDEX(Catalogo_TIMSS!$C$5:$C$105,MATCH(K1058,Catalogo_TIMSS!$A$5:$A$105,0)),"Pendiente de clasificar")))</f>
        <v>Sin marco</v>
      </c>
      <c r="N1058" s="8" t="str">
        <f aca="false">IF(K1058="FUERA","Fuera del marco",IF(K1058="N/A","Sin marco",IFERROR(INDEX(Catalogo_TIMSS!$F$5:$F$105,MATCH(K1058,Catalogo_TIMSS!$A$5:$A$105,0)),"Pendiente de clasificar")))</f>
        <v>Sin marco</v>
      </c>
      <c r="O1058" s="8" t="str">
        <f aca="false">IF(L1058="","",IFERROR(INDEX(Catalogo_TIMSS!$C$5:$C$105,MATCH(L1058,Catalogo_TIMSS!$A$5:$A$105,0)),"?"))</f>
        <v/>
      </c>
      <c r="P1058" s="8" t="s">
        <v>4170</v>
      </c>
      <c r="Q1058" s="27" t="s">
        <v>4171</v>
      </c>
      <c r="R1058" s="27" t="s">
        <v>4764</v>
      </c>
      <c r="S1058" s="28" t="n">
        <f aca="false">IFERROR(ISNUMBER(SEARCH("Conocer",$R1058))/(ISNUMBER(SEARCH("Conocer",$R1058))+ISNUMBER(SEARCH("Aplicar",$R1058))+ISNUMBER(SEARCH("Razonar",$R1058))),0)</f>
        <v>0.5</v>
      </c>
      <c r="T1058" s="28" t="n">
        <f aca="false">IFERROR(ISNUMBER(SEARCH("Aplicar",$R1058))/(ISNUMBER(SEARCH("Conocer",$R1058))+ISNUMBER(SEARCH("Aplicar",$R1058))+ISNUMBER(SEARCH("Razonar",$R1058))),0)</f>
        <v>0</v>
      </c>
      <c r="U1058" s="28" t="n">
        <f aca="false">IFERROR(ISNUMBER(SEARCH("Razonar",$R1058))/(ISNUMBER(SEARCH("Conocer",$R1058))+ISNUMBER(SEARCH("Aplicar",$R1058))+ISNUMBER(SEARCH("Razonar",$R1058))),0)</f>
        <v>0.5</v>
      </c>
      <c r="V1058" s="8" t="s">
        <v>385</v>
      </c>
      <c r="W1058" s="8" t="s">
        <v>4173</v>
      </c>
    </row>
    <row r="1059" customFormat="false" ht="15" hidden="false" customHeight="false" outlineLevel="0" collapsed="false">
      <c r="A1059" s="8" t="s">
        <v>4765</v>
      </c>
      <c r="B1059" s="8" t="n">
        <v>11</v>
      </c>
      <c r="C1059" s="8" t="s">
        <v>90</v>
      </c>
      <c r="D1059" s="8" t="s">
        <v>4164</v>
      </c>
      <c r="E1059" s="8" t="s">
        <v>4579</v>
      </c>
      <c r="F1059" s="8" t="n">
        <v>56</v>
      </c>
      <c r="G1059" s="8" t="s">
        <v>4761</v>
      </c>
      <c r="H1059" s="8" t="s">
        <v>4762</v>
      </c>
      <c r="I1059" s="27" t="s">
        <v>4766</v>
      </c>
      <c r="J1059" s="8" t="s">
        <v>4169</v>
      </c>
      <c r="K1059" s="8" t="s">
        <v>4170</v>
      </c>
      <c r="L1059" s="8"/>
      <c r="M1059" s="8" t="str">
        <f aca="false">IF(K1059="FUERA","Fuera del marco",IF(K1059="N/A","Sin marco",IFERROR(INDEX(Catalogo_TIMSS!$C$5:$C$105,MATCH(K1059,Catalogo_TIMSS!$A$5:$A$105,0)),"Pendiente de clasificar")))</f>
        <v>Sin marco</v>
      </c>
      <c r="N1059" s="8" t="str">
        <f aca="false">IF(K1059="FUERA","Fuera del marco",IF(K1059="N/A","Sin marco",IFERROR(INDEX(Catalogo_TIMSS!$F$5:$F$105,MATCH(K1059,Catalogo_TIMSS!$A$5:$A$105,0)),"Pendiente de clasificar")))</f>
        <v>Sin marco</v>
      </c>
      <c r="O1059" s="8" t="str">
        <f aca="false">IF(L1059="","",IFERROR(INDEX(Catalogo_TIMSS!$C$5:$C$105,MATCH(L1059,Catalogo_TIMSS!$A$5:$A$105,0)),"?"))</f>
        <v/>
      </c>
      <c r="P1059" s="8" t="s">
        <v>4170</v>
      </c>
      <c r="Q1059" s="27" t="s">
        <v>4171</v>
      </c>
      <c r="R1059" s="27" t="s">
        <v>4767</v>
      </c>
      <c r="S1059" s="28" t="n">
        <f aca="false">IFERROR(ISNUMBER(SEARCH("Conocer",$R1059))/(ISNUMBER(SEARCH("Conocer",$R1059))+ISNUMBER(SEARCH("Aplicar",$R1059))+ISNUMBER(SEARCH("Razonar",$R1059))),0)</f>
        <v>0</v>
      </c>
      <c r="T1059" s="28" t="n">
        <f aca="false">IFERROR(ISNUMBER(SEARCH("Aplicar",$R1059))/(ISNUMBER(SEARCH("Conocer",$R1059))+ISNUMBER(SEARCH("Aplicar",$R1059))+ISNUMBER(SEARCH("Razonar",$R1059))),0)</f>
        <v>0.5</v>
      </c>
      <c r="U1059" s="28" t="n">
        <f aca="false">IFERROR(ISNUMBER(SEARCH("Razonar",$R1059))/(ISNUMBER(SEARCH("Conocer",$R1059))+ISNUMBER(SEARCH("Aplicar",$R1059))+ISNUMBER(SEARCH("Razonar",$R1059))),0)</f>
        <v>0.5</v>
      </c>
      <c r="V1059" s="8" t="s">
        <v>385</v>
      </c>
      <c r="W1059" s="8" t="s">
        <v>4173</v>
      </c>
    </row>
    <row r="1060" customFormat="false" ht="15" hidden="false" customHeight="false" outlineLevel="0" collapsed="false">
      <c r="A1060" s="8" t="s">
        <v>4768</v>
      </c>
      <c r="B1060" s="8" t="n">
        <v>11</v>
      </c>
      <c r="C1060" s="8" t="s">
        <v>90</v>
      </c>
      <c r="D1060" s="8" t="s">
        <v>4164</v>
      </c>
      <c r="E1060" s="8" t="s">
        <v>4579</v>
      </c>
      <c r="F1060" s="8" t="n">
        <v>57</v>
      </c>
      <c r="G1060" s="8" t="s">
        <v>4761</v>
      </c>
      <c r="H1060" s="8" t="s">
        <v>4762</v>
      </c>
      <c r="I1060" s="27" t="s">
        <v>4769</v>
      </c>
      <c r="J1060" s="8" t="s">
        <v>4169</v>
      </c>
      <c r="K1060" s="8" t="s">
        <v>4170</v>
      </c>
      <c r="L1060" s="8"/>
      <c r="M1060" s="8" t="str">
        <f aca="false">IF(K1060="FUERA","Fuera del marco",IF(K1060="N/A","Sin marco",IFERROR(INDEX(Catalogo_TIMSS!$C$5:$C$105,MATCH(K1060,Catalogo_TIMSS!$A$5:$A$105,0)),"Pendiente de clasificar")))</f>
        <v>Sin marco</v>
      </c>
      <c r="N1060" s="8" t="str">
        <f aca="false">IF(K1060="FUERA","Fuera del marco",IF(K1060="N/A","Sin marco",IFERROR(INDEX(Catalogo_TIMSS!$F$5:$F$105,MATCH(K1060,Catalogo_TIMSS!$A$5:$A$105,0)),"Pendiente de clasificar")))</f>
        <v>Sin marco</v>
      </c>
      <c r="O1060" s="8" t="str">
        <f aca="false">IF(L1060="","",IFERROR(INDEX(Catalogo_TIMSS!$C$5:$C$105,MATCH(L1060,Catalogo_TIMSS!$A$5:$A$105,0)),"?"))</f>
        <v/>
      </c>
      <c r="P1060" s="8" t="s">
        <v>4170</v>
      </c>
      <c r="Q1060" s="27" t="s">
        <v>4171</v>
      </c>
      <c r="R1060" s="27" t="s">
        <v>4770</v>
      </c>
      <c r="S1060" s="28" t="n">
        <f aca="false">IFERROR(ISNUMBER(SEARCH("Conocer",$R1060))/(ISNUMBER(SEARCH("Conocer",$R1060))+ISNUMBER(SEARCH("Aplicar",$R1060))+ISNUMBER(SEARCH("Razonar",$R1060))),0)</f>
        <v>0</v>
      </c>
      <c r="T1060" s="28" t="n">
        <f aca="false">IFERROR(ISNUMBER(SEARCH("Aplicar",$R1060))/(ISNUMBER(SEARCH("Conocer",$R1060))+ISNUMBER(SEARCH("Aplicar",$R1060))+ISNUMBER(SEARCH("Razonar",$R1060))),0)</f>
        <v>0.5</v>
      </c>
      <c r="U1060" s="28" t="n">
        <f aca="false">IFERROR(ISNUMBER(SEARCH("Razonar",$R1060))/(ISNUMBER(SEARCH("Conocer",$R1060))+ISNUMBER(SEARCH("Aplicar",$R1060))+ISNUMBER(SEARCH("Razonar",$R1060))),0)</f>
        <v>0.5</v>
      </c>
      <c r="V1060" s="8" t="s">
        <v>385</v>
      </c>
      <c r="W1060" s="8" t="s">
        <v>4173</v>
      </c>
    </row>
    <row r="1061" customFormat="false" ht="15" hidden="false" customHeight="false" outlineLevel="0" collapsed="false">
      <c r="A1061" s="8" t="s">
        <v>4771</v>
      </c>
      <c r="B1061" s="8" t="n">
        <v>11</v>
      </c>
      <c r="C1061" s="8" t="s">
        <v>90</v>
      </c>
      <c r="D1061" s="8" t="s">
        <v>4164</v>
      </c>
      <c r="E1061" s="8" t="s">
        <v>4579</v>
      </c>
      <c r="F1061" s="8" t="n">
        <v>58</v>
      </c>
      <c r="G1061" s="8" t="s">
        <v>4761</v>
      </c>
      <c r="H1061" s="8" t="s">
        <v>4772</v>
      </c>
      <c r="I1061" s="27" t="s">
        <v>4773</v>
      </c>
      <c r="J1061" s="8" t="s">
        <v>4169</v>
      </c>
      <c r="K1061" s="8" t="s">
        <v>4170</v>
      </c>
      <c r="L1061" s="8"/>
      <c r="M1061" s="8" t="str">
        <f aca="false">IF(K1061="FUERA","Fuera del marco",IF(K1061="N/A","Sin marco",IFERROR(INDEX(Catalogo_TIMSS!$C$5:$C$105,MATCH(K1061,Catalogo_TIMSS!$A$5:$A$105,0)),"Pendiente de clasificar")))</f>
        <v>Sin marco</v>
      </c>
      <c r="N1061" s="8" t="str">
        <f aca="false">IF(K1061="FUERA","Fuera del marco",IF(K1061="N/A","Sin marco",IFERROR(INDEX(Catalogo_TIMSS!$F$5:$F$105,MATCH(K1061,Catalogo_TIMSS!$A$5:$A$105,0)),"Pendiente de clasificar")))</f>
        <v>Sin marco</v>
      </c>
      <c r="O1061" s="8" t="str">
        <f aca="false">IF(L1061="","",IFERROR(INDEX(Catalogo_TIMSS!$C$5:$C$105,MATCH(L1061,Catalogo_TIMSS!$A$5:$A$105,0)),"?"))</f>
        <v/>
      </c>
      <c r="P1061" s="8" t="s">
        <v>4170</v>
      </c>
      <c r="Q1061" s="27" t="s">
        <v>4171</v>
      </c>
      <c r="R1061" s="27" t="s">
        <v>4774</v>
      </c>
      <c r="S1061" s="28" t="n">
        <f aca="false">IFERROR(ISNUMBER(SEARCH("Conocer",$R1061))/(ISNUMBER(SEARCH("Conocer",$R1061))+ISNUMBER(SEARCH("Aplicar",$R1061))+ISNUMBER(SEARCH("Razonar",$R1061))),0)</f>
        <v>0</v>
      </c>
      <c r="T1061" s="28" t="n">
        <f aca="false">IFERROR(ISNUMBER(SEARCH("Aplicar",$R1061))/(ISNUMBER(SEARCH("Conocer",$R1061))+ISNUMBER(SEARCH("Aplicar",$R1061))+ISNUMBER(SEARCH("Razonar",$R1061))),0)</f>
        <v>0.5</v>
      </c>
      <c r="U1061" s="28" t="n">
        <f aca="false">IFERROR(ISNUMBER(SEARCH("Razonar",$R1061))/(ISNUMBER(SEARCH("Conocer",$R1061))+ISNUMBER(SEARCH("Aplicar",$R1061))+ISNUMBER(SEARCH("Razonar",$R1061))),0)</f>
        <v>0.5</v>
      </c>
      <c r="V1061" s="8" t="s">
        <v>385</v>
      </c>
      <c r="W1061" s="8" t="s">
        <v>4173</v>
      </c>
    </row>
    <row r="1062" customFormat="false" ht="15" hidden="false" customHeight="false" outlineLevel="0" collapsed="false">
      <c r="A1062" s="8" t="s">
        <v>4775</v>
      </c>
      <c r="B1062" s="8" t="n">
        <v>11</v>
      </c>
      <c r="C1062" s="8" t="s">
        <v>90</v>
      </c>
      <c r="D1062" s="8" t="s">
        <v>4164</v>
      </c>
      <c r="E1062" s="8" t="s">
        <v>4579</v>
      </c>
      <c r="F1062" s="8" t="n">
        <v>59</v>
      </c>
      <c r="G1062" s="8" t="s">
        <v>4761</v>
      </c>
      <c r="H1062" s="8" t="s">
        <v>4772</v>
      </c>
      <c r="I1062" s="27" t="s">
        <v>4776</v>
      </c>
      <c r="J1062" s="8" t="s">
        <v>4169</v>
      </c>
      <c r="K1062" s="8" t="s">
        <v>4170</v>
      </c>
      <c r="L1062" s="8"/>
      <c r="M1062" s="8" t="str">
        <f aca="false">IF(K1062="FUERA","Fuera del marco",IF(K1062="N/A","Sin marco",IFERROR(INDEX(Catalogo_TIMSS!$C$5:$C$105,MATCH(K1062,Catalogo_TIMSS!$A$5:$A$105,0)),"Pendiente de clasificar")))</f>
        <v>Sin marco</v>
      </c>
      <c r="N1062" s="8" t="str">
        <f aca="false">IF(K1062="FUERA","Fuera del marco",IF(K1062="N/A","Sin marco",IFERROR(INDEX(Catalogo_TIMSS!$F$5:$F$105,MATCH(K1062,Catalogo_TIMSS!$A$5:$A$105,0)),"Pendiente de clasificar")))</f>
        <v>Sin marco</v>
      </c>
      <c r="O1062" s="8" t="str">
        <f aca="false">IF(L1062="","",IFERROR(INDEX(Catalogo_TIMSS!$C$5:$C$105,MATCH(L1062,Catalogo_TIMSS!$A$5:$A$105,0)),"?"))</f>
        <v/>
      </c>
      <c r="P1062" s="8" t="s">
        <v>4170</v>
      </c>
      <c r="Q1062" s="27" t="s">
        <v>4171</v>
      </c>
      <c r="R1062" s="27" t="s">
        <v>4777</v>
      </c>
      <c r="S1062" s="28" t="n">
        <f aca="false">IFERROR(ISNUMBER(SEARCH("Conocer",$R1062))/(ISNUMBER(SEARCH("Conocer",$R1062))+ISNUMBER(SEARCH("Aplicar",$R1062))+ISNUMBER(SEARCH("Razonar",$R1062))),0)</f>
        <v>0</v>
      </c>
      <c r="T1062" s="28" t="n">
        <f aca="false">IFERROR(ISNUMBER(SEARCH("Aplicar",$R1062))/(ISNUMBER(SEARCH("Conocer",$R1062))+ISNUMBER(SEARCH("Aplicar",$R1062))+ISNUMBER(SEARCH("Razonar",$R1062))),0)</f>
        <v>0.5</v>
      </c>
      <c r="U1062" s="28" t="n">
        <f aca="false">IFERROR(ISNUMBER(SEARCH("Razonar",$R1062))/(ISNUMBER(SEARCH("Conocer",$R1062))+ISNUMBER(SEARCH("Aplicar",$R1062))+ISNUMBER(SEARCH("Razonar",$R1062))),0)</f>
        <v>0.5</v>
      </c>
      <c r="V1062" s="8" t="s">
        <v>385</v>
      </c>
      <c r="W1062" s="8" t="s">
        <v>4173</v>
      </c>
    </row>
    <row r="1063" customFormat="false" ht="15" hidden="false" customHeight="false" outlineLevel="0" collapsed="false">
      <c r="A1063" s="8" t="s">
        <v>4778</v>
      </c>
      <c r="B1063" s="8" t="n">
        <v>11</v>
      </c>
      <c r="C1063" s="8" t="s">
        <v>90</v>
      </c>
      <c r="D1063" s="8" t="s">
        <v>4164</v>
      </c>
      <c r="E1063" s="8" t="s">
        <v>4579</v>
      </c>
      <c r="F1063" s="8" t="n">
        <v>60</v>
      </c>
      <c r="G1063" s="8" t="s">
        <v>4761</v>
      </c>
      <c r="H1063" s="8" t="s">
        <v>4772</v>
      </c>
      <c r="I1063" s="27" t="s">
        <v>4779</v>
      </c>
      <c r="J1063" s="8" t="s">
        <v>4169</v>
      </c>
      <c r="K1063" s="8" t="s">
        <v>4170</v>
      </c>
      <c r="L1063" s="8"/>
      <c r="M1063" s="8" t="str">
        <f aca="false">IF(K1063="FUERA","Fuera del marco",IF(K1063="N/A","Sin marco",IFERROR(INDEX(Catalogo_TIMSS!$C$5:$C$105,MATCH(K1063,Catalogo_TIMSS!$A$5:$A$105,0)),"Pendiente de clasificar")))</f>
        <v>Sin marco</v>
      </c>
      <c r="N1063" s="8" t="str">
        <f aca="false">IF(K1063="FUERA","Fuera del marco",IF(K1063="N/A","Sin marco",IFERROR(INDEX(Catalogo_TIMSS!$F$5:$F$105,MATCH(K1063,Catalogo_TIMSS!$A$5:$A$105,0)),"Pendiente de clasificar")))</f>
        <v>Sin marco</v>
      </c>
      <c r="O1063" s="8" t="str">
        <f aca="false">IF(L1063="","",IFERROR(INDEX(Catalogo_TIMSS!$C$5:$C$105,MATCH(L1063,Catalogo_TIMSS!$A$5:$A$105,0)),"?"))</f>
        <v/>
      </c>
      <c r="P1063" s="8" t="s">
        <v>4170</v>
      </c>
      <c r="Q1063" s="27" t="s">
        <v>4171</v>
      </c>
      <c r="R1063" s="27" t="s">
        <v>4780</v>
      </c>
      <c r="S1063" s="28" t="n">
        <f aca="false">IFERROR(ISNUMBER(SEARCH("Conocer",$R1063))/(ISNUMBER(SEARCH("Conocer",$R1063))+ISNUMBER(SEARCH("Aplicar",$R1063))+ISNUMBER(SEARCH("Razonar",$R1063))),0)</f>
        <v>0</v>
      </c>
      <c r="T1063" s="28" t="n">
        <f aca="false">IFERROR(ISNUMBER(SEARCH("Aplicar",$R1063))/(ISNUMBER(SEARCH("Conocer",$R1063))+ISNUMBER(SEARCH("Aplicar",$R1063))+ISNUMBER(SEARCH("Razonar",$R1063))),0)</f>
        <v>0</v>
      </c>
      <c r="U1063" s="28" t="n">
        <f aca="false">IFERROR(ISNUMBER(SEARCH("Razonar",$R1063))/(ISNUMBER(SEARCH("Conocer",$R1063))+ISNUMBER(SEARCH("Aplicar",$R1063))+ISNUMBER(SEARCH("Razonar",$R1063))),0)</f>
        <v>1</v>
      </c>
      <c r="V1063" s="8" t="s">
        <v>385</v>
      </c>
      <c r="W1063" s="8" t="s">
        <v>4173</v>
      </c>
    </row>
    <row r="1064" customFormat="false" ht="15" hidden="false" customHeight="false" outlineLevel="0" collapsed="false">
      <c r="A1064" s="8" t="s">
        <v>4781</v>
      </c>
      <c r="B1064" s="8" t="n">
        <v>11</v>
      </c>
      <c r="C1064" s="8" t="s">
        <v>90</v>
      </c>
      <c r="D1064" s="8" t="s">
        <v>4164</v>
      </c>
      <c r="E1064" s="8" t="s">
        <v>4579</v>
      </c>
      <c r="F1064" s="8" t="n">
        <v>61</v>
      </c>
      <c r="G1064" s="8" t="s">
        <v>4761</v>
      </c>
      <c r="H1064" s="8" t="s">
        <v>4782</v>
      </c>
      <c r="I1064" s="27" t="s">
        <v>4783</v>
      </c>
      <c r="J1064" s="8" t="s">
        <v>4169</v>
      </c>
      <c r="K1064" s="8" t="s">
        <v>4170</v>
      </c>
      <c r="L1064" s="8"/>
      <c r="M1064" s="8" t="str">
        <f aca="false">IF(K1064="FUERA","Fuera del marco",IF(K1064="N/A","Sin marco",IFERROR(INDEX(Catalogo_TIMSS!$C$5:$C$105,MATCH(K1064,Catalogo_TIMSS!$A$5:$A$105,0)),"Pendiente de clasificar")))</f>
        <v>Sin marco</v>
      </c>
      <c r="N1064" s="8" t="str">
        <f aca="false">IF(K1064="FUERA","Fuera del marco",IF(K1064="N/A","Sin marco",IFERROR(INDEX(Catalogo_TIMSS!$F$5:$F$105,MATCH(K1064,Catalogo_TIMSS!$A$5:$A$105,0)),"Pendiente de clasificar")))</f>
        <v>Sin marco</v>
      </c>
      <c r="O1064" s="8" t="str">
        <f aca="false">IF(L1064="","",IFERROR(INDEX(Catalogo_TIMSS!$C$5:$C$105,MATCH(L1064,Catalogo_TIMSS!$A$5:$A$105,0)),"?"))</f>
        <v/>
      </c>
      <c r="P1064" s="8" t="s">
        <v>4170</v>
      </c>
      <c r="Q1064" s="27" t="s">
        <v>4171</v>
      </c>
      <c r="R1064" s="27" t="s">
        <v>4784</v>
      </c>
      <c r="S1064" s="28" t="n">
        <f aca="false">IFERROR(ISNUMBER(SEARCH("Conocer",$R1064))/(ISNUMBER(SEARCH("Conocer",$R1064))+ISNUMBER(SEARCH("Aplicar",$R1064))+ISNUMBER(SEARCH("Razonar",$R1064))),0)</f>
        <v>0</v>
      </c>
      <c r="T1064" s="28" t="n">
        <f aca="false">IFERROR(ISNUMBER(SEARCH("Aplicar",$R1064))/(ISNUMBER(SEARCH("Conocer",$R1064))+ISNUMBER(SEARCH("Aplicar",$R1064))+ISNUMBER(SEARCH("Razonar",$R1064))),0)</f>
        <v>0.5</v>
      </c>
      <c r="U1064" s="28" t="n">
        <f aca="false">IFERROR(ISNUMBER(SEARCH("Razonar",$R1064))/(ISNUMBER(SEARCH("Conocer",$R1064))+ISNUMBER(SEARCH("Aplicar",$R1064))+ISNUMBER(SEARCH("Razonar",$R1064))),0)</f>
        <v>0.5</v>
      </c>
      <c r="V1064" s="8" t="s">
        <v>385</v>
      </c>
      <c r="W1064" s="8" t="s">
        <v>4173</v>
      </c>
    </row>
    <row r="1065" customFormat="false" ht="15" hidden="false" customHeight="false" outlineLevel="0" collapsed="false">
      <c r="A1065" s="8" t="s">
        <v>4785</v>
      </c>
      <c r="B1065" s="8" t="n">
        <v>11</v>
      </c>
      <c r="C1065" s="8" t="s">
        <v>90</v>
      </c>
      <c r="D1065" s="8" t="s">
        <v>4164</v>
      </c>
      <c r="E1065" s="8" t="s">
        <v>4579</v>
      </c>
      <c r="F1065" s="8" t="n">
        <v>62</v>
      </c>
      <c r="G1065" s="8" t="s">
        <v>4761</v>
      </c>
      <c r="H1065" s="8" t="s">
        <v>4782</v>
      </c>
      <c r="I1065" s="27" t="s">
        <v>4786</v>
      </c>
      <c r="J1065" s="8" t="s">
        <v>4169</v>
      </c>
      <c r="K1065" s="8" t="s">
        <v>4170</v>
      </c>
      <c r="L1065" s="8"/>
      <c r="M1065" s="8" t="str">
        <f aca="false">IF(K1065="FUERA","Fuera del marco",IF(K1065="N/A","Sin marco",IFERROR(INDEX(Catalogo_TIMSS!$C$5:$C$105,MATCH(K1065,Catalogo_TIMSS!$A$5:$A$105,0)),"Pendiente de clasificar")))</f>
        <v>Sin marco</v>
      </c>
      <c r="N1065" s="8" t="str">
        <f aca="false">IF(K1065="FUERA","Fuera del marco",IF(K1065="N/A","Sin marco",IFERROR(INDEX(Catalogo_TIMSS!$F$5:$F$105,MATCH(K1065,Catalogo_TIMSS!$A$5:$A$105,0)),"Pendiente de clasificar")))</f>
        <v>Sin marco</v>
      </c>
      <c r="O1065" s="8" t="str">
        <f aca="false">IF(L1065="","",IFERROR(INDEX(Catalogo_TIMSS!$C$5:$C$105,MATCH(L1065,Catalogo_TIMSS!$A$5:$A$105,0)),"?"))</f>
        <v/>
      </c>
      <c r="P1065" s="8" t="s">
        <v>4170</v>
      </c>
      <c r="Q1065" s="27" t="s">
        <v>4171</v>
      </c>
      <c r="R1065" s="27" t="s">
        <v>4787</v>
      </c>
      <c r="S1065" s="28" t="n">
        <f aca="false">IFERROR(ISNUMBER(SEARCH("Conocer",$R1065))/(ISNUMBER(SEARCH("Conocer",$R1065))+ISNUMBER(SEARCH("Aplicar",$R1065))+ISNUMBER(SEARCH("Razonar",$R1065))),0)</f>
        <v>0</v>
      </c>
      <c r="T1065" s="28" t="n">
        <f aca="false">IFERROR(ISNUMBER(SEARCH("Aplicar",$R1065))/(ISNUMBER(SEARCH("Conocer",$R1065))+ISNUMBER(SEARCH("Aplicar",$R1065))+ISNUMBER(SEARCH("Razonar",$R1065))),0)</f>
        <v>0.5</v>
      </c>
      <c r="U1065" s="28" t="n">
        <f aca="false">IFERROR(ISNUMBER(SEARCH("Razonar",$R1065))/(ISNUMBER(SEARCH("Conocer",$R1065))+ISNUMBER(SEARCH("Aplicar",$R1065))+ISNUMBER(SEARCH("Razonar",$R1065))),0)</f>
        <v>0.5</v>
      </c>
      <c r="V1065" s="8" t="s">
        <v>385</v>
      </c>
      <c r="W1065" s="8" t="s">
        <v>4173</v>
      </c>
    </row>
    <row r="1066" customFormat="false" ht="15" hidden="false" customHeight="false" outlineLevel="0" collapsed="false">
      <c r="A1066" s="8" t="s">
        <v>4788</v>
      </c>
      <c r="B1066" s="8" t="n">
        <v>11</v>
      </c>
      <c r="C1066" s="8" t="s">
        <v>90</v>
      </c>
      <c r="D1066" s="8" t="s">
        <v>4164</v>
      </c>
      <c r="E1066" s="8" t="s">
        <v>4579</v>
      </c>
      <c r="F1066" s="8" t="n">
        <v>63</v>
      </c>
      <c r="G1066" s="8" t="s">
        <v>4761</v>
      </c>
      <c r="H1066" s="8" t="s">
        <v>4782</v>
      </c>
      <c r="I1066" s="27" t="s">
        <v>4789</v>
      </c>
      <c r="J1066" s="8" t="s">
        <v>4169</v>
      </c>
      <c r="K1066" s="8" t="s">
        <v>4170</v>
      </c>
      <c r="L1066" s="8"/>
      <c r="M1066" s="8" t="str">
        <f aca="false">IF(K1066="FUERA","Fuera del marco",IF(K1066="N/A","Sin marco",IFERROR(INDEX(Catalogo_TIMSS!$C$5:$C$105,MATCH(K1066,Catalogo_TIMSS!$A$5:$A$105,0)),"Pendiente de clasificar")))</f>
        <v>Sin marco</v>
      </c>
      <c r="N1066" s="8" t="str">
        <f aca="false">IF(K1066="FUERA","Fuera del marco",IF(K1066="N/A","Sin marco",IFERROR(INDEX(Catalogo_TIMSS!$F$5:$F$105,MATCH(K1066,Catalogo_TIMSS!$A$5:$A$105,0)),"Pendiente de clasificar")))</f>
        <v>Sin marco</v>
      </c>
      <c r="O1066" s="8" t="str">
        <f aca="false">IF(L1066="","",IFERROR(INDEX(Catalogo_TIMSS!$C$5:$C$105,MATCH(L1066,Catalogo_TIMSS!$A$5:$A$105,0)),"?"))</f>
        <v/>
      </c>
      <c r="P1066" s="8" t="s">
        <v>4170</v>
      </c>
      <c r="Q1066" s="27" t="s">
        <v>4171</v>
      </c>
      <c r="R1066" s="27" t="s">
        <v>4790</v>
      </c>
      <c r="S1066" s="28" t="n">
        <f aca="false">IFERROR(ISNUMBER(SEARCH("Conocer",$R1066))/(ISNUMBER(SEARCH("Conocer",$R1066))+ISNUMBER(SEARCH("Aplicar",$R1066))+ISNUMBER(SEARCH("Razonar",$R1066))),0)</f>
        <v>0.5</v>
      </c>
      <c r="T1066" s="28" t="n">
        <f aca="false">IFERROR(ISNUMBER(SEARCH("Aplicar",$R1066))/(ISNUMBER(SEARCH("Conocer",$R1066))+ISNUMBER(SEARCH("Aplicar",$R1066))+ISNUMBER(SEARCH("Razonar",$R1066))),0)</f>
        <v>0</v>
      </c>
      <c r="U1066" s="28" t="n">
        <f aca="false">IFERROR(ISNUMBER(SEARCH("Razonar",$R1066))/(ISNUMBER(SEARCH("Conocer",$R1066))+ISNUMBER(SEARCH("Aplicar",$R1066))+ISNUMBER(SEARCH("Razonar",$R1066))),0)</f>
        <v>0.5</v>
      </c>
      <c r="V1066" s="8" t="s">
        <v>385</v>
      </c>
      <c r="W1066" s="8" t="s">
        <v>4173</v>
      </c>
    </row>
    <row r="1067" customFormat="false" ht="15" hidden="false" customHeight="false" outlineLevel="0" collapsed="false">
      <c r="A1067" s="8" t="s">
        <v>4791</v>
      </c>
      <c r="B1067" s="8" t="n">
        <v>11</v>
      </c>
      <c r="C1067" s="8" t="s">
        <v>90</v>
      </c>
      <c r="D1067" s="8" t="s">
        <v>4164</v>
      </c>
      <c r="E1067" s="8" t="s">
        <v>4579</v>
      </c>
      <c r="F1067" s="8" t="n">
        <v>64</v>
      </c>
      <c r="G1067" s="8" t="s">
        <v>4761</v>
      </c>
      <c r="H1067" s="8" t="s">
        <v>4782</v>
      </c>
      <c r="I1067" s="27" t="s">
        <v>4792</v>
      </c>
      <c r="J1067" s="8" t="s">
        <v>4169</v>
      </c>
      <c r="K1067" s="8" t="s">
        <v>4170</v>
      </c>
      <c r="L1067" s="8"/>
      <c r="M1067" s="8" t="str">
        <f aca="false">IF(K1067="FUERA","Fuera del marco",IF(K1067="N/A","Sin marco",IFERROR(INDEX(Catalogo_TIMSS!$C$5:$C$105,MATCH(K1067,Catalogo_TIMSS!$A$5:$A$105,0)),"Pendiente de clasificar")))</f>
        <v>Sin marco</v>
      </c>
      <c r="N1067" s="8" t="str">
        <f aca="false">IF(K1067="FUERA","Fuera del marco",IF(K1067="N/A","Sin marco",IFERROR(INDEX(Catalogo_TIMSS!$F$5:$F$105,MATCH(K1067,Catalogo_TIMSS!$A$5:$A$105,0)),"Pendiente de clasificar")))</f>
        <v>Sin marco</v>
      </c>
      <c r="O1067" s="8" t="str">
        <f aca="false">IF(L1067="","",IFERROR(INDEX(Catalogo_TIMSS!$C$5:$C$105,MATCH(L1067,Catalogo_TIMSS!$A$5:$A$105,0)),"?"))</f>
        <v/>
      </c>
      <c r="P1067" s="8" t="s">
        <v>4170</v>
      </c>
      <c r="Q1067" s="27" t="s">
        <v>4171</v>
      </c>
      <c r="R1067" s="27" t="s">
        <v>4793</v>
      </c>
      <c r="S1067" s="28" t="n">
        <f aca="false">IFERROR(ISNUMBER(SEARCH("Conocer",$R1067))/(ISNUMBER(SEARCH("Conocer",$R1067))+ISNUMBER(SEARCH("Aplicar",$R1067))+ISNUMBER(SEARCH("Razonar",$R1067))),0)</f>
        <v>0</v>
      </c>
      <c r="T1067" s="28" t="n">
        <f aca="false">IFERROR(ISNUMBER(SEARCH("Aplicar",$R1067))/(ISNUMBER(SEARCH("Conocer",$R1067))+ISNUMBER(SEARCH("Aplicar",$R1067))+ISNUMBER(SEARCH("Razonar",$R1067))),0)</f>
        <v>0.5</v>
      </c>
      <c r="U1067" s="28" t="n">
        <f aca="false">IFERROR(ISNUMBER(SEARCH("Razonar",$R1067))/(ISNUMBER(SEARCH("Conocer",$R1067))+ISNUMBER(SEARCH("Aplicar",$R1067))+ISNUMBER(SEARCH("Razonar",$R1067))),0)</f>
        <v>0.5</v>
      </c>
      <c r="V1067" s="8" t="s">
        <v>385</v>
      </c>
      <c r="W1067" s="8" t="s">
        <v>4173</v>
      </c>
    </row>
    <row r="1068" customFormat="false" ht="15" hidden="false" customHeight="false" outlineLevel="0" collapsed="false">
      <c r="A1068" s="8" t="s">
        <v>4794</v>
      </c>
      <c r="B1068" s="8" t="n">
        <v>11</v>
      </c>
      <c r="C1068" s="8" t="s">
        <v>90</v>
      </c>
      <c r="D1068" s="8" t="s">
        <v>4164</v>
      </c>
      <c r="E1068" s="8" t="s">
        <v>4579</v>
      </c>
      <c r="F1068" s="8" t="n">
        <v>65</v>
      </c>
      <c r="G1068" s="8" t="s">
        <v>4761</v>
      </c>
      <c r="H1068" s="8" t="s">
        <v>4782</v>
      </c>
      <c r="I1068" s="27" t="s">
        <v>4795</v>
      </c>
      <c r="J1068" s="8" t="s">
        <v>4169</v>
      </c>
      <c r="K1068" s="8" t="s">
        <v>4170</v>
      </c>
      <c r="L1068" s="8"/>
      <c r="M1068" s="8" t="str">
        <f aca="false">IF(K1068="FUERA","Fuera del marco",IF(K1068="N/A","Sin marco",IFERROR(INDEX(Catalogo_TIMSS!$C$5:$C$105,MATCH(K1068,Catalogo_TIMSS!$A$5:$A$105,0)),"Pendiente de clasificar")))</f>
        <v>Sin marco</v>
      </c>
      <c r="N1068" s="8" t="str">
        <f aca="false">IF(K1068="FUERA","Fuera del marco",IF(K1068="N/A","Sin marco",IFERROR(INDEX(Catalogo_TIMSS!$F$5:$F$105,MATCH(K1068,Catalogo_TIMSS!$A$5:$A$105,0)),"Pendiente de clasificar")))</f>
        <v>Sin marco</v>
      </c>
      <c r="O1068" s="8" t="str">
        <f aca="false">IF(L1068="","",IFERROR(INDEX(Catalogo_TIMSS!$C$5:$C$105,MATCH(L1068,Catalogo_TIMSS!$A$5:$A$105,0)),"?"))</f>
        <v/>
      </c>
      <c r="P1068" s="8" t="s">
        <v>4170</v>
      </c>
      <c r="Q1068" s="27" t="s">
        <v>4171</v>
      </c>
      <c r="R1068" s="27" t="s">
        <v>4796</v>
      </c>
      <c r="S1068" s="28" t="n">
        <f aca="false">IFERROR(ISNUMBER(SEARCH("Conocer",$R1068))/(ISNUMBER(SEARCH("Conocer",$R1068))+ISNUMBER(SEARCH("Aplicar",$R1068))+ISNUMBER(SEARCH("Razonar",$R1068))),0)</f>
        <v>0</v>
      </c>
      <c r="T1068" s="28" t="n">
        <f aca="false">IFERROR(ISNUMBER(SEARCH("Aplicar",$R1068))/(ISNUMBER(SEARCH("Conocer",$R1068))+ISNUMBER(SEARCH("Aplicar",$R1068))+ISNUMBER(SEARCH("Razonar",$R1068))),0)</f>
        <v>0.5</v>
      </c>
      <c r="U1068" s="28" t="n">
        <f aca="false">IFERROR(ISNUMBER(SEARCH("Razonar",$R1068))/(ISNUMBER(SEARCH("Conocer",$R1068))+ISNUMBER(SEARCH("Aplicar",$R1068))+ISNUMBER(SEARCH("Razonar",$R1068))),0)</f>
        <v>0.5</v>
      </c>
      <c r="V1068" s="8" t="s">
        <v>385</v>
      </c>
      <c r="W1068" s="8" t="s">
        <v>4173</v>
      </c>
    </row>
    <row r="1069" customFormat="false" ht="15" hidden="false" customHeight="false" outlineLevel="0" collapsed="false">
      <c r="A1069" s="8" t="s">
        <v>4797</v>
      </c>
      <c r="B1069" s="8" t="n">
        <v>11</v>
      </c>
      <c r="C1069" s="8" t="s">
        <v>90</v>
      </c>
      <c r="D1069" s="8" t="s">
        <v>4164</v>
      </c>
      <c r="E1069" s="8" t="s">
        <v>4579</v>
      </c>
      <c r="F1069" s="8" t="n">
        <v>66</v>
      </c>
      <c r="G1069" s="8" t="s">
        <v>4798</v>
      </c>
      <c r="H1069" s="8" t="s">
        <v>4799</v>
      </c>
      <c r="I1069" s="27" t="s">
        <v>4800</v>
      </c>
      <c r="J1069" s="8" t="s">
        <v>4169</v>
      </c>
      <c r="K1069" s="8" t="s">
        <v>4170</v>
      </c>
      <c r="L1069" s="8"/>
      <c r="M1069" s="8" t="str">
        <f aca="false">IF(K1069="FUERA","Fuera del marco",IF(K1069="N/A","Sin marco",IFERROR(INDEX(Catalogo_TIMSS!$C$5:$C$105,MATCH(K1069,Catalogo_TIMSS!$A$5:$A$105,0)),"Pendiente de clasificar")))</f>
        <v>Sin marco</v>
      </c>
      <c r="N1069" s="8" t="str">
        <f aca="false">IF(K1069="FUERA","Fuera del marco",IF(K1069="N/A","Sin marco",IFERROR(INDEX(Catalogo_TIMSS!$F$5:$F$105,MATCH(K1069,Catalogo_TIMSS!$A$5:$A$105,0)),"Pendiente de clasificar")))</f>
        <v>Sin marco</v>
      </c>
      <c r="O1069" s="8" t="str">
        <f aca="false">IF(L1069="","",IFERROR(INDEX(Catalogo_TIMSS!$C$5:$C$105,MATCH(L1069,Catalogo_TIMSS!$A$5:$A$105,0)),"?"))</f>
        <v/>
      </c>
      <c r="P1069" s="8" t="s">
        <v>4170</v>
      </c>
      <c r="Q1069" s="27" t="s">
        <v>4171</v>
      </c>
      <c r="R1069" s="27" t="s">
        <v>4801</v>
      </c>
      <c r="S1069" s="28" t="n">
        <f aca="false">IFERROR(ISNUMBER(SEARCH("Conocer",$R1069))/(ISNUMBER(SEARCH("Conocer",$R1069))+ISNUMBER(SEARCH("Aplicar",$R1069))+ISNUMBER(SEARCH("Razonar",$R1069))),0)</f>
        <v>0</v>
      </c>
      <c r="T1069" s="28" t="n">
        <f aca="false">IFERROR(ISNUMBER(SEARCH("Aplicar",$R1069))/(ISNUMBER(SEARCH("Conocer",$R1069))+ISNUMBER(SEARCH("Aplicar",$R1069))+ISNUMBER(SEARCH("Razonar",$R1069))),0)</f>
        <v>0.5</v>
      </c>
      <c r="U1069" s="28" t="n">
        <f aca="false">IFERROR(ISNUMBER(SEARCH("Razonar",$R1069))/(ISNUMBER(SEARCH("Conocer",$R1069))+ISNUMBER(SEARCH("Aplicar",$R1069))+ISNUMBER(SEARCH("Razonar",$R1069))),0)</f>
        <v>0.5</v>
      </c>
      <c r="V1069" s="8" t="s">
        <v>385</v>
      </c>
      <c r="W1069" s="8" t="s">
        <v>4173</v>
      </c>
    </row>
    <row r="1070" customFormat="false" ht="15" hidden="false" customHeight="false" outlineLevel="0" collapsed="false">
      <c r="A1070" s="8" t="s">
        <v>4802</v>
      </c>
      <c r="B1070" s="8" t="n">
        <v>11</v>
      </c>
      <c r="C1070" s="8" t="s">
        <v>90</v>
      </c>
      <c r="D1070" s="8" t="s">
        <v>4164</v>
      </c>
      <c r="E1070" s="8" t="s">
        <v>4579</v>
      </c>
      <c r="F1070" s="8" t="n">
        <v>67</v>
      </c>
      <c r="G1070" s="8" t="s">
        <v>4798</v>
      </c>
      <c r="H1070" s="8" t="s">
        <v>4803</v>
      </c>
      <c r="I1070" s="27" t="s">
        <v>4804</v>
      </c>
      <c r="J1070" s="8" t="s">
        <v>4169</v>
      </c>
      <c r="K1070" s="8" t="s">
        <v>4170</v>
      </c>
      <c r="L1070" s="8"/>
      <c r="M1070" s="8" t="str">
        <f aca="false">IF(K1070="FUERA","Fuera del marco",IF(K1070="N/A","Sin marco",IFERROR(INDEX(Catalogo_TIMSS!$C$5:$C$105,MATCH(K1070,Catalogo_TIMSS!$A$5:$A$105,0)),"Pendiente de clasificar")))</f>
        <v>Sin marco</v>
      </c>
      <c r="N1070" s="8" t="str">
        <f aca="false">IF(K1070="FUERA","Fuera del marco",IF(K1070="N/A","Sin marco",IFERROR(INDEX(Catalogo_TIMSS!$F$5:$F$105,MATCH(K1070,Catalogo_TIMSS!$A$5:$A$105,0)),"Pendiente de clasificar")))</f>
        <v>Sin marco</v>
      </c>
      <c r="O1070" s="8" t="str">
        <f aca="false">IF(L1070="","",IFERROR(INDEX(Catalogo_TIMSS!$C$5:$C$105,MATCH(L1070,Catalogo_TIMSS!$A$5:$A$105,0)),"?"))</f>
        <v/>
      </c>
      <c r="P1070" s="8" t="s">
        <v>4170</v>
      </c>
      <c r="Q1070" s="27" t="s">
        <v>4171</v>
      </c>
      <c r="R1070" s="27" t="s">
        <v>4805</v>
      </c>
      <c r="S1070" s="28" t="n">
        <f aca="false">IFERROR(ISNUMBER(SEARCH("Conocer",$R1070))/(ISNUMBER(SEARCH("Conocer",$R1070))+ISNUMBER(SEARCH("Aplicar",$R1070))+ISNUMBER(SEARCH("Razonar",$R1070))),0)</f>
        <v>0</v>
      </c>
      <c r="T1070" s="28" t="n">
        <f aca="false">IFERROR(ISNUMBER(SEARCH("Aplicar",$R1070))/(ISNUMBER(SEARCH("Conocer",$R1070))+ISNUMBER(SEARCH("Aplicar",$R1070))+ISNUMBER(SEARCH("Razonar",$R1070))),0)</f>
        <v>0.5</v>
      </c>
      <c r="U1070" s="28" t="n">
        <f aca="false">IFERROR(ISNUMBER(SEARCH("Razonar",$R1070))/(ISNUMBER(SEARCH("Conocer",$R1070))+ISNUMBER(SEARCH("Aplicar",$R1070))+ISNUMBER(SEARCH("Razonar",$R1070))),0)</f>
        <v>0.5</v>
      </c>
      <c r="V1070" s="8" t="s">
        <v>385</v>
      </c>
      <c r="W1070" s="8" t="s">
        <v>4173</v>
      </c>
    </row>
    <row r="1071" customFormat="false" ht="15" hidden="false" customHeight="false" outlineLevel="0" collapsed="false">
      <c r="A1071" s="8" t="s">
        <v>4806</v>
      </c>
      <c r="B1071" s="8" t="n">
        <v>11</v>
      </c>
      <c r="C1071" s="8" t="s">
        <v>90</v>
      </c>
      <c r="D1071" s="8" t="s">
        <v>4164</v>
      </c>
      <c r="E1071" s="8" t="s">
        <v>4579</v>
      </c>
      <c r="F1071" s="8" t="n">
        <v>68</v>
      </c>
      <c r="G1071" s="8" t="s">
        <v>4798</v>
      </c>
      <c r="H1071" s="8" t="s">
        <v>4807</v>
      </c>
      <c r="I1071" s="27" t="s">
        <v>4808</v>
      </c>
      <c r="J1071" s="8" t="s">
        <v>4169</v>
      </c>
      <c r="K1071" s="8" t="s">
        <v>4170</v>
      </c>
      <c r="L1071" s="8"/>
      <c r="M1071" s="8" t="str">
        <f aca="false">IF(K1071="FUERA","Fuera del marco",IF(K1071="N/A","Sin marco",IFERROR(INDEX(Catalogo_TIMSS!$C$5:$C$105,MATCH(K1071,Catalogo_TIMSS!$A$5:$A$105,0)),"Pendiente de clasificar")))</f>
        <v>Sin marco</v>
      </c>
      <c r="N1071" s="8" t="str">
        <f aca="false">IF(K1071="FUERA","Fuera del marco",IF(K1071="N/A","Sin marco",IFERROR(INDEX(Catalogo_TIMSS!$F$5:$F$105,MATCH(K1071,Catalogo_TIMSS!$A$5:$A$105,0)),"Pendiente de clasificar")))</f>
        <v>Sin marco</v>
      </c>
      <c r="O1071" s="8" t="str">
        <f aca="false">IF(L1071="","",IFERROR(INDEX(Catalogo_TIMSS!$C$5:$C$105,MATCH(L1071,Catalogo_TIMSS!$A$5:$A$105,0)),"?"))</f>
        <v/>
      </c>
      <c r="P1071" s="8" t="s">
        <v>4170</v>
      </c>
      <c r="Q1071" s="27" t="s">
        <v>4171</v>
      </c>
      <c r="R1071" s="27" t="s">
        <v>4809</v>
      </c>
      <c r="S1071" s="28" t="n">
        <f aca="false">IFERROR(ISNUMBER(SEARCH("Conocer",$R1071))/(ISNUMBER(SEARCH("Conocer",$R1071))+ISNUMBER(SEARCH("Aplicar",$R1071))+ISNUMBER(SEARCH("Razonar",$R1071))),0)</f>
        <v>0</v>
      </c>
      <c r="T1071" s="28" t="n">
        <f aca="false">IFERROR(ISNUMBER(SEARCH("Aplicar",$R1071))/(ISNUMBER(SEARCH("Conocer",$R1071))+ISNUMBER(SEARCH("Aplicar",$R1071))+ISNUMBER(SEARCH("Razonar",$R1071))),0)</f>
        <v>0.5</v>
      </c>
      <c r="U1071" s="28" t="n">
        <f aca="false">IFERROR(ISNUMBER(SEARCH("Razonar",$R1071))/(ISNUMBER(SEARCH("Conocer",$R1071))+ISNUMBER(SEARCH("Aplicar",$R1071))+ISNUMBER(SEARCH("Razonar",$R1071))),0)</f>
        <v>0.5</v>
      </c>
      <c r="V1071" s="8" t="s">
        <v>385</v>
      </c>
      <c r="W1071" s="8" t="s">
        <v>4173</v>
      </c>
    </row>
    <row r="1072" customFormat="false" ht="15" hidden="false" customHeight="false" outlineLevel="0" collapsed="false">
      <c r="A1072" s="8" t="s">
        <v>4810</v>
      </c>
      <c r="B1072" s="8" t="n">
        <v>11</v>
      </c>
      <c r="C1072" s="8" t="s">
        <v>90</v>
      </c>
      <c r="D1072" s="8" t="s">
        <v>4164</v>
      </c>
      <c r="E1072" s="8" t="s">
        <v>4579</v>
      </c>
      <c r="F1072" s="8" t="n">
        <v>69</v>
      </c>
      <c r="G1072" s="8" t="s">
        <v>4798</v>
      </c>
      <c r="H1072" s="8" t="s">
        <v>4807</v>
      </c>
      <c r="I1072" s="27" t="s">
        <v>4811</v>
      </c>
      <c r="J1072" s="8" t="s">
        <v>4169</v>
      </c>
      <c r="K1072" s="8" t="s">
        <v>4170</v>
      </c>
      <c r="L1072" s="8"/>
      <c r="M1072" s="8" t="str">
        <f aca="false">IF(K1072="FUERA","Fuera del marco",IF(K1072="N/A","Sin marco",IFERROR(INDEX(Catalogo_TIMSS!$C$5:$C$105,MATCH(K1072,Catalogo_TIMSS!$A$5:$A$105,0)),"Pendiente de clasificar")))</f>
        <v>Sin marco</v>
      </c>
      <c r="N1072" s="8" t="str">
        <f aca="false">IF(K1072="FUERA","Fuera del marco",IF(K1072="N/A","Sin marco",IFERROR(INDEX(Catalogo_TIMSS!$F$5:$F$105,MATCH(K1072,Catalogo_TIMSS!$A$5:$A$105,0)),"Pendiente de clasificar")))</f>
        <v>Sin marco</v>
      </c>
      <c r="O1072" s="8" t="str">
        <f aca="false">IF(L1072="","",IFERROR(INDEX(Catalogo_TIMSS!$C$5:$C$105,MATCH(L1072,Catalogo_TIMSS!$A$5:$A$105,0)),"?"))</f>
        <v/>
      </c>
      <c r="P1072" s="8" t="s">
        <v>4170</v>
      </c>
      <c r="Q1072" s="27" t="s">
        <v>4171</v>
      </c>
      <c r="R1072" s="27" t="s">
        <v>4812</v>
      </c>
      <c r="S1072" s="28" t="n">
        <f aca="false">IFERROR(ISNUMBER(SEARCH("Conocer",$R1072))/(ISNUMBER(SEARCH("Conocer",$R1072))+ISNUMBER(SEARCH("Aplicar",$R1072))+ISNUMBER(SEARCH("Razonar",$R1072))),0)</f>
        <v>0.5</v>
      </c>
      <c r="T1072" s="28" t="n">
        <f aca="false">IFERROR(ISNUMBER(SEARCH("Aplicar",$R1072))/(ISNUMBER(SEARCH("Conocer",$R1072))+ISNUMBER(SEARCH("Aplicar",$R1072))+ISNUMBER(SEARCH("Razonar",$R1072))),0)</f>
        <v>0</v>
      </c>
      <c r="U1072" s="28" t="n">
        <f aca="false">IFERROR(ISNUMBER(SEARCH("Razonar",$R1072))/(ISNUMBER(SEARCH("Conocer",$R1072))+ISNUMBER(SEARCH("Aplicar",$R1072))+ISNUMBER(SEARCH("Razonar",$R1072))),0)</f>
        <v>0.5</v>
      </c>
      <c r="V1072" s="8" t="s">
        <v>385</v>
      </c>
      <c r="W1072" s="8" t="s">
        <v>4173</v>
      </c>
    </row>
    <row r="1073" customFormat="false" ht="15" hidden="false" customHeight="false" outlineLevel="0" collapsed="false">
      <c r="A1073" s="8" t="s">
        <v>4813</v>
      </c>
      <c r="B1073" s="8" t="n">
        <v>11</v>
      </c>
      <c r="C1073" s="8" t="s">
        <v>90</v>
      </c>
      <c r="D1073" s="8" t="s">
        <v>4164</v>
      </c>
      <c r="E1073" s="8" t="s">
        <v>4579</v>
      </c>
      <c r="F1073" s="8" t="n">
        <v>70</v>
      </c>
      <c r="G1073" s="8" t="s">
        <v>4798</v>
      </c>
      <c r="H1073" s="8" t="s">
        <v>4814</v>
      </c>
      <c r="I1073" s="27" t="s">
        <v>4815</v>
      </c>
      <c r="J1073" s="8" t="s">
        <v>4169</v>
      </c>
      <c r="K1073" s="8" t="s">
        <v>4170</v>
      </c>
      <c r="L1073" s="8"/>
      <c r="M1073" s="8" t="str">
        <f aca="false">IF(K1073="FUERA","Fuera del marco",IF(K1073="N/A","Sin marco",IFERROR(INDEX(Catalogo_TIMSS!$C$5:$C$105,MATCH(K1073,Catalogo_TIMSS!$A$5:$A$105,0)),"Pendiente de clasificar")))</f>
        <v>Sin marco</v>
      </c>
      <c r="N1073" s="8" t="str">
        <f aca="false">IF(K1073="FUERA","Fuera del marco",IF(K1073="N/A","Sin marco",IFERROR(INDEX(Catalogo_TIMSS!$F$5:$F$105,MATCH(K1073,Catalogo_TIMSS!$A$5:$A$105,0)),"Pendiente de clasificar")))</f>
        <v>Sin marco</v>
      </c>
      <c r="O1073" s="8" t="str">
        <f aca="false">IF(L1073="","",IFERROR(INDEX(Catalogo_TIMSS!$C$5:$C$105,MATCH(L1073,Catalogo_TIMSS!$A$5:$A$105,0)),"?"))</f>
        <v/>
      </c>
      <c r="P1073" s="8" t="s">
        <v>4170</v>
      </c>
      <c r="Q1073" s="27" t="s">
        <v>4171</v>
      </c>
      <c r="R1073" s="27" t="s">
        <v>4816</v>
      </c>
      <c r="S1073" s="28" t="n">
        <f aca="false">IFERROR(ISNUMBER(SEARCH("Conocer",$R1073))/(ISNUMBER(SEARCH("Conocer",$R1073))+ISNUMBER(SEARCH("Aplicar",$R1073))+ISNUMBER(SEARCH("Razonar",$R1073))),0)</f>
        <v>0</v>
      </c>
      <c r="T1073" s="28" t="n">
        <f aca="false">IFERROR(ISNUMBER(SEARCH("Aplicar",$R1073))/(ISNUMBER(SEARCH("Conocer",$R1073))+ISNUMBER(SEARCH("Aplicar",$R1073))+ISNUMBER(SEARCH("Razonar",$R1073))),0)</f>
        <v>0.5</v>
      </c>
      <c r="U1073" s="28" t="n">
        <f aca="false">IFERROR(ISNUMBER(SEARCH("Razonar",$R1073))/(ISNUMBER(SEARCH("Conocer",$R1073))+ISNUMBER(SEARCH("Aplicar",$R1073))+ISNUMBER(SEARCH("Razonar",$R1073))),0)</f>
        <v>0.5</v>
      </c>
      <c r="V1073" s="8" t="s">
        <v>385</v>
      </c>
      <c r="W1073" s="8" t="s">
        <v>4173</v>
      </c>
    </row>
    <row r="1074" customFormat="false" ht="15" hidden="false" customHeight="false" outlineLevel="0" collapsed="false">
      <c r="A1074" s="8" t="s">
        <v>4817</v>
      </c>
      <c r="B1074" s="8" t="n">
        <v>11</v>
      </c>
      <c r="C1074" s="8" t="s">
        <v>90</v>
      </c>
      <c r="D1074" s="8" t="s">
        <v>4164</v>
      </c>
      <c r="E1074" s="8" t="s">
        <v>4579</v>
      </c>
      <c r="F1074" s="8" t="n">
        <v>71</v>
      </c>
      <c r="G1074" s="8" t="s">
        <v>4798</v>
      </c>
      <c r="H1074" s="8" t="s">
        <v>4818</v>
      </c>
      <c r="I1074" s="27" t="s">
        <v>4819</v>
      </c>
      <c r="J1074" s="8" t="s">
        <v>4169</v>
      </c>
      <c r="K1074" s="8" t="s">
        <v>4170</v>
      </c>
      <c r="L1074" s="8"/>
      <c r="M1074" s="8" t="str">
        <f aca="false">IF(K1074="FUERA","Fuera del marco",IF(K1074="N/A","Sin marco",IFERROR(INDEX(Catalogo_TIMSS!$C$5:$C$105,MATCH(K1074,Catalogo_TIMSS!$A$5:$A$105,0)),"Pendiente de clasificar")))</f>
        <v>Sin marco</v>
      </c>
      <c r="N1074" s="8" t="str">
        <f aca="false">IF(K1074="FUERA","Fuera del marco",IF(K1074="N/A","Sin marco",IFERROR(INDEX(Catalogo_TIMSS!$F$5:$F$105,MATCH(K1074,Catalogo_TIMSS!$A$5:$A$105,0)),"Pendiente de clasificar")))</f>
        <v>Sin marco</v>
      </c>
      <c r="O1074" s="8" t="str">
        <f aca="false">IF(L1074="","",IFERROR(INDEX(Catalogo_TIMSS!$C$5:$C$105,MATCH(L1074,Catalogo_TIMSS!$A$5:$A$105,0)),"?"))</f>
        <v/>
      </c>
      <c r="P1074" s="8" t="s">
        <v>4170</v>
      </c>
      <c r="Q1074" s="27" t="s">
        <v>4171</v>
      </c>
      <c r="R1074" s="27" t="s">
        <v>4820</v>
      </c>
      <c r="S1074" s="28" t="n">
        <f aca="false">IFERROR(ISNUMBER(SEARCH("Conocer",$R1074))/(ISNUMBER(SEARCH("Conocer",$R1074))+ISNUMBER(SEARCH("Aplicar",$R1074))+ISNUMBER(SEARCH("Razonar",$R1074))),0)</f>
        <v>0</v>
      </c>
      <c r="T1074" s="28" t="n">
        <f aca="false">IFERROR(ISNUMBER(SEARCH("Aplicar",$R1074))/(ISNUMBER(SEARCH("Conocer",$R1074))+ISNUMBER(SEARCH("Aplicar",$R1074))+ISNUMBER(SEARCH("Razonar",$R1074))),0)</f>
        <v>0.5</v>
      </c>
      <c r="U1074" s="28" t="n">
        <f aca="false">IFERROR(ISNUMBER(SEARCH("Razonar",$R1074))/(ISNUMBER(SEARCH("Conocer",$R1074))+ISNUMBER(SEARCH("Aplicar",$R1074))+ISNUMBER(SEARCH("Razonar",$R1074))),0)</f>
        <v>0.5</v>
      </c>
      <c r="V1074" s="8" t="s">
        <v>385</v>
      </c>
      <c r="W1074" s="8" t="s">
        <v>4173</v>
      </c>
    </row>
    <row r="1075" customFormat="false" ht="15" hidden="false" customHeight="false" outlineLevel="0" collapsed="false">
      <c r="A1075" s="8" t="s">
        <v>4821</v>
      </c>
      <c r="B1075" s="8" t="n">
        <v>11</v>
      </c>
      <c r="C1075" s="8" t="s">
        <v>90</v>
      </c>
      <c r="D1075" s="8" t="s">
        <v>4164</v>
      </c>
      <c r="E1075" s="8" t="s">
        <v>4579</v>
      </c>
      <c r="F1075" s="8" t="n">
        <v>72</v>
      </c>
      <c r="G1075" s="8" t="s">
        <v>4798</v>
      </c>
      <c r="H1075" s="8" t="s">
        <v>4822</v>
      </c>
      <c r="I1075" s="27" t="s">
        <v>4823</v>
      </c>
      <c r="J1075" s="8" t="s">
        <v>4169</v>
      </c>
      <c r="K1075" s="8" t="s">
        <v>4170</v>
      </c>
      <c r="L1075" s="8"/>
      <c r="M1075" s="8" t="str">
        <f aca="false">IF(K1075="FUERA","Fuera del marco",IF(K1075="N/A","Sin marco",IFERROR(INDEX(Catalogo_TIMSS!$C$5:$C$105,MATCH(K1075,Catalogo_TIMSS!$A$5:$A$105,0)),"Pendiente de clasificar")))</f>
        <v>Sin marco</v>
      </c>
      <c r="N1075" s="8" t="str">
        <f aca="false">IF(K1075="FUERA","Fuera del marco",IF(K1075="N/A","Sin marco",IFERROR(INDEX(Catalogo_TIMSS!$F$5:$F$105,MATCH(K1075,Catalogo_TIMSS!$A$5:$A$105,0)),"Pendiente de clasificar")))</f>
        <v>Sin marco</v>
      </c>
      <c r="O1075" s="8" t="str">
        <f aca="false">IF(L1075="","",IFERROR(INDEX(Catalogo_TIMSS!$C$5:$C$105,MATCH(L1075,Catalogo_TIMSS!$A$5:$A$105,0)),"?"))</f>
        <v/>
      </c>
      <c r="P1075" s="8" t="s">
        <v>4170</v>
      </c>
      <c r="Q1075" s="27" t="s">
        <v>4171</v>
      </c>
      <c r="R1075" s="27" t="s">
        <v>4824</v>
      </c>
      <c r="S1075" s="28" t="n">
        <f aca="false">IFERROR(ISNUMBER(SEARCH("Conocer",$R1075))/(ISNUMBER(SEARCH("Conocer",$R1075))+ISNUMBER(SEARCH("Aplicar",$R1075))+ISNUMBER(SEARCH("Razonar",$R1075))),0)</f>
        <v>0</v>
      </c>
      <c r="T1075" s="28" t="n">
        <f aca="false">IFERROR(ISNUMBER(SEARCH("Aplicar",$R1075))/(ISNUMBER(SEARCH("Conocer",$R1075))+ISNUMBER(SEARCH("Aplicar",$R1075))+ISNUMBER(SEARCH("Razonar",$R1075))),0)</f>
        <v>0.5</v>
      </c>
      <c r="U1075" s="28" t="n">
        <f aca="false">IFERROR(ISNUMBER(SEARCH("Razonar",$R1075))/(ISNUMBER(SEARCH("Conocer",$R1075))+ISNUMBER(SEARCH("Aplicar",$R1075))+ISNUMBER(SEARCH("Razonar",$R1075))),0)</f>
        <v>0.5</v>
      </c>
      <c r="V1075" s="8" t="s">
        <v>385</v>
      </c>
      <c r="W1075" s="8" t="s">
        <v>4173</v>
      </c>
    </row>
    <row r="1076" customFormat="false" ht="15" hidden="false" customHeight="false" outlineLevel="0" collapsed="false">
      <c r="A1076" s="8" t="s">
        <v>4825</v>
      </c>
      <c r="B1076" s="8" t="n">
        <v>11</v>
      </c>
      <c r="C1076" s="8" t="s">
        <v>90</v>
      </c>
      <c r="D1076" s="8" t="s">
        <v>4164</v>
      </c>
      <c r="E1076" s="8" t="s">
        <v>4579</v>
      </c>
      <c r="F1076" s="8" t="n">
        <v>73</v>
      </c>
      <c r="G1076" s="8" t="s">
        <v>4826</v>
      </c>
      <c r="H1076" s="8" t="s">
        <v>4827</v>
      </c>
      <c r="I1076" s="27" t="s">
        <v>4828</v>
      </c>
      <c r="J1076" s="8" t="s">
        <v>4169</v>
      </c>
      <c r="K1076" s="8" t="s">
        <v>4170</v>
      </c>
      <c r="L1076" s="8"/>
      <c r="M1076" s="8" t="str">
        <f aca="false">IF(K1076="FUERA","Fuera del marco",IF(K1076="N/A","Sin marco",IFERROR(INDEX(Catalogo_TIMSS!$C$5:$C$105,MATCH(K1076,Catalogo_TIMSS!$A$5:$A$105,0)),"Pendiente de clasificar")))</f>
        <v>Sin marco</v>
      </c>
      <c r="N1076" s="8" t="str">
        <f aca="false">IF(K1076="FUERA","Fuera del marco",IF(K1076="N/A","Sin marco",IFERROR(INDEX(Catalogo_TIMSS!$F$5:$F$105,MATCH(K1076,Catalogo_TIMSS!$A$5:$A$105,0)),"Pendiente de clasificar")))</f>
        <v>Sin marco</v>
      </c>
      <c r="O1076" s="8" t="str">
        <f aca="false">IF(L1076="","",IFERROR(INDEX(Catalogo_TIMSS!$C$5:$C$105,MATCH(L1076,Catalogo_TIMSS!$A$5:$A$105,0)),"?"))</f>
        <v/>
      </c>
      <c r="P1076" s="8" t="s">
        <v>4170</v>
      </c>
      <c r="Q1076" s="27" t="s">
        <v>4171</v>
      </c>
      <c r="R1076" s="27" t="s">
        <v>4829</v>
      </c>
      <c r="S1076" s="28" t="n">
        <f aca="false">IFERROR(ISNUMBER(SEARCH("Conocer",$R1076))/(ISNUMBER(SEARCH("Conocer",$R1076))+ISNUMBER(SEARCH("Aplicar",$R1076))+ISNUMBER(SEARCH("Razonar",$R1076))),0)</f>
        <v>0.5</v>
      </c>
      <c r="T1076" s="28" t="n">
        <f aca="false">IFERROR(ISNUMBER(SEARCH("Aplicar",$R1076))/(ISNUMBER(SEARCH("Conocer",$R1076))+ISNUMBER(SEARCH("Aplicar",$R1076))+ISNUMBER(SEARCH("Razonar",$R1076))),0)</f>
        <v>0.5</v>
      </c>
      <c r="U1076" s="28" t="n">
        <f aca="false">IFERROR(ISNUMBER(SEARCH("Razonar",$R1076))/(ISNUMBER(SEARCH("Conocer",$R1076))+ISNUMBER(SEARCH("Aplicar",$R1076))+ISNUMBER(SEARCH("Razonar",$R1076))),0)</f>
        <v>0</v>
      </c>
      <c r="V1076" s="8" t="s">
        <v>385</v>
      </c>
      <c r="W1076" s="8" t="s">
        <v>4173</v>
      </c>
    </row>
    <row r="1077" customFormat="false" ht="15" hidden="false" customHeight="false" outlineLevel="0" collapsed="false">
      <c r="A1077" s="8" t="s">
        <v>4830</v>
      </c>
      <c r="B1077" s="8" t="n">
        <v>11</v>
      </c>
      <c r="C1077" s="8" t="s">
        <v>90</v>
      </c>
      <c r="D1077" s="8" t="s">
        <v>4164</v>
      </c>
      <c r="E1077" s="8" t="s">
        <v>4579</v>
      </c>
      <c r="F1077" s="8" t="n">
        <v>74</v>
      </c>
      <c r="G1077" s="8" t="s">
        <v>4826</v>
      </c>
      <c r="H1077" s="8" t="s">
        <v>4831</v>
      </c>
      <c r="I1077" s="27" t="s">
        <v>4832</v>
      </c>
      <c r="J1077" s="8" t="s">
        <v>4169</v>
      </c>
      <c r="K1077" s="8" t="s">
        <v>4170</v>
      </c>
      <c r="L1077" s="8"/>
      <c r="M1077" s="8" t="str">
        <f aca="false">IF(K1077="FUERA","Fuera del marco",IF(K1077="N/A","Sin marco",IFERROR(INDEX(Catalogo_TIMSS!$C$5:$C$105,MATCH(K1077,Catalogo_TIMSS!$A$5:$A$105,0)),"Pendiente de clasificar")))</f>
        <v>Sin marco</v>
      </c>
      <c r="N1077" s="8" t="str">
        <f aca="false">IF(K1077="FUERA","Fuera del marco",IF(K1077="N/A","Sin marco",IFERROR(INDEX(Catalogo_TIMSS!$F$5:$F$105,MATCH(K1077,Catalogo_TIMSS!$A$5:$A$105,0)),"Pendiente de clasificar")))</f>
        <v>Sin marco</v>
      </c>
      <c r="O1077" s="8" t="str">
        <f aca="false">IF(L1077="","",IFERROR(INDEX(Catalogo_TIMSS!$C$5:$C$105,MATCH(L1077,Catalogo_TIMSS!$A$5:$A$105,0)),"?"))</f>
        <v/>
      </c>
      <c r="P1077" s="8" t="s">
        <v>4170</v>
      </c>
      <c r="Q1077" s="27" t="s">
        <v>4171</v>
      </c>
      <c r="R1077" s="27" t="s">
        <v>4833</v>
      </c>
      <c r="S1077" s="28" t="n">
        <f aca="false">IFERROR(ISNUMBER(SEARCH("Conocer",$R1077))/(ISNUMBER(SEARCH("Conocer",$R1077))+ISNUMBER(SEARCH("Aplicar",$R1077))+ISNUMBER(SEARCH("Razonar",$R1077))),0)</f>
        <v>0</v>
      </c>
      <c r="T1077" s="28" t="n">
        <f aca="false">IFERROR(ISNUMBER(SEARCH("Aplicar",$R1077))/(ISNUMBER(SEARCH("Conocer",$R1077))+ISNUMBER(SEARCH("Aplicar",$R1077))+ISNUMBER(SEARCH("Razonar",$R1077))),0)</f>
        <v>0.5</v>
      </c>
      <c r="U1077" s="28" t="n">
        <f aca="false">IFERROR(ISNUMBER(SEARCH("Razonar",$R1077))/(ISNUMBER(SEARCH("Conocer",$R1077))+ISNUMBER(SEARCH("Aplicar",$R1077))+ISNUMBER(SEARCH("Razonar",$R1077))),0)</f>
        <v>0.5</v>
      </c>
      <c r="V1077" s="8" t="s">
        <v>385</v>
      </c>
      <c r="W1077" s="8" t="s">
        <v>4173</v>
      </c>
    </row>
    <row r="1078" customFormat="false" ht="15" hidden="false" customHeight="false" outlineLevel="0" collapsed="false">
      <c r="A1078" s="8" t="s">
        <v>4834</v>
      </c>
      <c r="B1078" s="8" t="n">
        <v>11</v>
      </c>
      <c r="C1078" s="8" t="s">
        <v>90</v>
      </c>
      <c r="D1078" s="8" t="s">
        <v>4164</v>
      </c>
      <c r="E1078" s="8" t="s">
        <v>4579</v>
      </c>
      <c r="F1078" s="8" t="n">
        <v>75</v>
      </c>
      <c r="G1078" s="8" t="s">
        <v>4826</v>
      </c>
      <c r="H1078" s="8" t="s">
        <v>4831</v>
      </c>
      <c r="I1078" s="27" t="s">
        <v>4835</v>
      </c>
      <c r="J1078" s="8" t="s">
        <v>4169</v>
      </c>
      <c r="K1078" s="8" t="s">
        <v>4170</v>
      </c>
      <c r="L1078" s="8"/>
      <c r="M1078" s="8" t="str">
        <f aca="false">IF(K1078="FUERA","Fuera del marco",IF(K1078="N/A","Sin marco",IFERROR(INDEX(Catalogo_TIMSS!$C$5:$C$105,MATCH(K1078,Catalogo_TIMSS!$A$5:$A$105,0)),"Pendiente de clasificar")))</f>
        <v>Sin marco</v>
      </c>
      <c r="N1078" s="8" t="str">
        <f aca="false">IF(K1078="FUERA","Fuera del marco",IF(K1078="N/A","Sin marco",IFERROR(INDEX(Catalogo_TIMSS!$F$5:$F$105,MATCH(K1078,Catalogo_TIMSS!$A$5:$A$105,0)),"Pendiente de clasificar")))</f>
        <v>Sin marco</v>
      </c>
      <c r="O1078" s="8" t="str">
        <f aca="false">IF(L1078="","",IFERROR(INDEX(Catalogo_TIMSS!$C$5:$C$105,MATCH(L1078,Catalogo_TIMSS!$A$5:$A$105,0)),"?"))</f>
        <v/>
      </c>
      <c r="P1078" s="8" t="s">
        <v>4170</v>
      </c>
      <c r="Q1078" s="27" t="s">
        <v>4171</v>
      </c>
      <c r="R1078" s="27" t="s">
        <v>4836</v>
      </c>
      <c r="S1078" s="28" t="n">
        <f aca="false">IFERROR(ISNUMBER(SEARCH("Conocer",$R1078))/(ISNUMBER(SEARCH("Conocer",$R1078))+ISNUMBER(SEARCH("Aplicar",$R1078))+ISNUMBER(SEARCH("Razonar",$R1078))),0)</f>
        <v>0</v>
      </c>
      <c r="T1078" s="28" t="n">
        <f aca="false">IFERROR(ISNUMBER(SEARCH("Aplicar",$R1078))/(ISNUMBER(SEARCH("Conocer",$R1078))+ISNUMBER(SEARCH("Aplicar",$R1078))+ISNUMBER(SEARCH("Razonar",$R1078))),0)</f>
        <v>0.5</v>
      </c>
      <c r="U1078" s="28" t="n">
        <f aca="false">IFERROR(ISNUMBER(SEARCH("Razonar",$R1078))/(ISNUMBER(SEARCH("Conocer",$R1078))+ISNUMBER(SEARCH("Aplicar",$R1078))+ISNUMBER(SEARCH("Razonar",$R1078))),0)</f>
        <v>0.5</v>
      </c>
      <c r="V1078" s="8" t="s">
        <v>385</v>
      </c>
      <c r="W1078" s="8" t="s">
        <v>4173</v>
      </c>
    </row>
    <row r="1079" customFormat="false" ht="15" hidden="false" customHeight="false" outlineLevel="0" collapsed="false">
      <c r="A1079" s="8" t="s">
        <v>4837</v>
      </c>
      <c r="B1079" s="8" t="n">
        <v>11</v>
      </c>
      <c r="C1079" s="8" t="s">
        <v>90</v>
      </c>
      <c r="D1079" s="8" t="s">
        <v>4164</v>
      </c>
      <c r="E1079" s="8" t="s">
        <v>4579</v>
      </c>
      <c r="F1079" s="8" t="n">
        <v>76</v>
      </c>
      <c r="G1079" s="8" t="s">
        <v>4826</v>
      </c>
      <c r="H1079" s="8" t="s">
        <v>4838</v>
      </c>
      <c r="I1079" s="27" t="s">
        <v>4839</v>
      </c>
      <c r="J1079" s="8" t="s">
        <v>4169</v>
      </c>
      <c r="K1079" s="8" t="s">
        <v>4170</v>
      </c>
      <c r="L1079" s="8"/>
      <c r="M1079" s="8" t="str">
        <f aca="false">IF(K1079="FUERA","Fuera del marco",IF(K1079="N/A","Sin marco",IFERROR(INDEX(Catalogo_TIMSS!$C$5:$C$105,MATCH(K1079,Catalogo_TIMSS!$A$5:$A$105,0)),"Pendiente de clasificar")))</f>
        <v>Sin marco</v>
      </c>
      <c r="N1079" s="8" t="str">
        <f aca="false">IF(K1079="FUERA","Fuera del marco",IF(K1079="N/A","Sin marco",IFERROR(INDEX(Catalogo_TIMSS!$F$5:$F$105,MATCH(K1079,Catalogo_TIMSS!$A$5:$A$105,0)),"Pendiente de clasificar")))</f>
        <v>Sin marco</v>
      </c>
      <c r="O1079" s="8" t="str">
        <f aca="false">IF(L1079="","",IFERROR(INDEX(Catalogo_TIMSS!$C$5:$C$105,MATCH(L1079,Catalogo_TIMSS!$A$5:$A$105,0)),"?"))</f>
        <v/>
      </c>
      <c r="P1079" s="8" t="s">
        <v>4170</v>
      </c>
      <c r="Q1079" s="27" t="s">
        <v>4171</v>
      </c>
      <c r="R1079" s="27" t="s">
        <v>4840</v>
      </c>
      <c r="S1079" s="28" t="n">
        <f aca="false">IFERROR(ISNUMBER(SEARCH("Conocer",$R1079))/(ISNUMBER(SEARCH("Conocer",$R1079))+ISNUMBER(SEARCH("Aplicar",$R1079))+ISNUMBER(SEARCH("Razonar",$R1079))),0)</f>
        <v>0.5</v>
      </c>
      <c r="T1079" s="28" t="n">
        <f aca="false">IFERROR(ISNUMBER(SEARCH("Aplicar",$R1079))/(ISNUMBER(SEARCH("Conocer",$R1079))+ISNUMBER(SEARCH("Aplicar",$R1079))+ISNUMBER(SEARCH("Razonar",$R1079))),0)</f>
        <v>0</v>
      </c>
      <c r="U1079" s="28" t="n">
        <f aca="false">IFERROR(ISNUMBER(SEARCH("Razonar",$R1079))/(ISNUMBER(SEARCH("Conocer",$R1079))+ISNUMBER(SEARCH("Aplicar",$R1079))+ISNUMBER(SEARCH("Razonar",$R1079))),0)</f>
        <v>0.5</v>
      </c>
      <c r="V1079" s="8" t="s">
        <v>385</v>
      </c>
      <c r="W1079" s="8" t="s">
        <v>4173</v>
      </c>
    </row>
    <row r="1080" customFormat="false" ht="15" hidden="false" customHeight="false" outlineLevel="0" collapsed="false">
      <c r="A1080" s="8" t="s">
        <v>4841</v>
      </c>
      <c r="B1080" s="8" t="n">
        <v>11</v>
      </c>
      <c r="C1080" s="8" t="s">
        <v>90</v>
      </c>
      <c r="D1080" s="8" t="s">
        <v>4164</v>
      </c>
      <c r="E1080" s="8" t="s">
        <v>4579</v>
      </c>
      <c r="F1080" s="8" t="n">
        <v>77</v>
      </c>
      <c r="G1080" s="8" t="s">
        <v>4842</v>
      </c>
      <c r="H1080" s="8" t="s">
        <v>4843</v>
      </c>
      <c r="I1080" s="27" t="s">
        <v>4844</v>
      </c>
      <c r="J1080" s="8" t="s">
        <v>4169</v>
      </c>
      <c r="K1080" s="8" t="s">
        <v>4170</v>
      </c>
      <c r="L1080" s="8"/>
      <c r="M1080" s="8" t="str">
        <f aca="false">IF(K1080="FUERA","Fuera del marco",IF(K1080="N/A","Sin marco",IFERROR(INDEX(Catalogo_TIMSS!$C$5:$C$105,MATCH(K1080,Catalogo_TIMSS!$A$5:$A$105,0)),"Pendiente de clasificar")))</f>
        <v>Sin marco</v>
      </c>
      <c r="N1080" s="8" t="str">
        <f aca="false">IF(K1080="FUERA","Fuera del marco",IF(K1080="N/A","Sin marco",IFERROR(INDEX(Catalogo_TIMSS!$F$5:$F$105,MATCH(K1080,Catalogo_TIMSS!$A$5:$A$105,0)),"Pendiente de clasificar")))</f>
        <v>Sin marco</v>
      </c>
      <c r="O1080" s="8" t="str">
        <f aca="false">IF(L1080="","",IFERROR(INDEX(Catalogo_TIMSS!$C$5:$C$105,MATCH(L1080,Catalogo_TIMSS!$A$5:$A$105,0)),"?"))</f>
        <v/>
      </c>
      <c r="P1080" s="8" t="s">
        <v>4170</v>
      </c>
      <c r="Q1080" s="27" t="s">
        <v>4171</v>
      </c>
      <c r="R1080" s="27" t="s">
        <v>4845</v>
      </c>
      <c r="S1080" s="28" t="n">
        <f aca="false">IFERROR(ISNUMBER(SEARCH("Conocer",$R1080))/(ISNUMBER(SEARCH("Conocer",$R1080))+ISNUMBER(SEARCH("Aplicar",$R1080))+ISNUMBER(SEARCH("Razonar",$R1080))),0)</f>
        <v>0.5</v>
      </c>
      <c r="T1080" s="28" t="n">
        <f aca="false">IFERROR(ISNUMBER(SEARCH("Aplicar",$R1080))/(ISNUMBER(SEARCH("Conocer",$R1080))+ISNUMBER(SEARCH("Aplicar",$R1080))+ISNUMBER(SEARCH("Razonar",$R1080))),0)</f>
        <v>0</v>
      </c>
      <c r="U1080" s="28" t="n">
        <f aca="false">IFERROR(ISNUMBER(SEARCH("Razonar",$R1080))/(ISNUMBER(SEARCH("Conocer",$R1080))+ISNUMBER(SEARCH("Aplicar",$R1080))+ISNUMBER(SEARCH("Razonar",$R1080))),0)</f>
        <v>0.5</v>
      </c>
      <c r="V1080" s="8" t="s">
        <v>385</v>
      </c>
      <c r="W1080" s="8" t="s">
        <v>4173</v>
      </c>
    </row>
    <row r="1081" customFormat="false" ht="15" hidden="false" customHeight="false" outlineLevel="0" collapsed="false">
      <c r="A1081" s="8" t="s">
        <v>4846</v>
      </c>
      <c r="B1081" s="8" t="n">
        <v>11</v>
      </c>
      <c r="C1081" s="8" t="s">
        <v>90</v>
      </c>
      <c r="D1081" s="8" t="s">
        <v>4164</v>
      </c>
      <c r="E1081" s="8" t="s">
        <v>4579</v>
      </c>
      <c r="F1081" s="8" t="n">
        <v>78</v>
      </c>
      <c r="G1081" s="8" t="s">
        <v>4842</v>
      </c>
      <c r="H1081" s="8" t="s">
        <v>4843</v>
      </c>
      <c r="I1081" s="27" t="s">
        <v>4847</v>
      </c>
      <c r="J1081" s="8" t="s">
        <v>4169</v>
      </c>
      <c r="K1081" s="8" t="s">
        <v>4170</v>
      </c>
      <c r="L1081" s="8"/>
      <c r="M1081" s="8" t="str">
        <f aca="false">IF(K1081="FUERA","Fuera del marco",IF(K1081="N/A","Sin marco",IFERROR(INDEX(Catalogo_TIMSS!$C$5:$C$105,MATCH(K1081,Catalogo_TIMSS!$A$5:$A$105,0)),"Pendiente de clasificar")))</f>
        <v>Sin marco</v>
      </c>
      <c r="N1081" s="8" t="str">
        <f aca="false">IF(K1081="FUERA","Fuera del marco",IF(K1081="N/A","Sin marco",IFERROR(INDEX(Catalogo_TIMSS!$F$5:$F$105,MATCH(K1081,Catalogo_TIMSS!$A$5:$A$105,0)),"Pendiente de clasificar")))</f>
        <v>Sin marco</v>
      </c>
      <c r="O1081" s="8" t="str">
        <f aca="false">IF(L1081="","",IFERROR(INDEX(Catalogo_TIMSS!$C$5:$C$105,MATCH(L1081,Catalogo_TIMSS!$A$5:$A$105,0)),"?"))</f>
        <v/>
      </c>
      <c r="P1081" s="8" t="s">
        <v>4170</v>
      </c>
      <c r="Q1081" s="27" t="s">
        <v>4171</v>
      </c>
      <c r="R1081" s="27" t="s">
        <v>4848</v>
      </c>
      <c r="S1081" s="28" t="n">
        <f aca="false">IFERROR(ISNUMBER(SEARCH("Conocer",$R1081))/(ISNUMBER(SEARCH("Conocer",$R1081))+ISNUMBER(SEARCH("Aplicar",$R1081))+ISNUMBER(SEARCH("Razonar",$R1081))),0)</f>
        <v>0</v>
      </c>
      <c r="T1081" s="28" t="n">
        <f aca="false">IFERROR(ISNUMBER(SEARCH("Aplicar",$R1081))/(ISNUMBER(SEARCH("Conocer",$R1081))+ISNUMBER(SEARCH("Aplicar",$R1081))+ISNUMBER(SEARCH("Razonar",$R1081))),0)</f>
        <v>0.5</v>
      </c>
      <c r="U1081" s="28" t="n">
        <f aca="false">IFERROR(ISNUMBER(SEARCH("Razonar",$R1081))/(ISNUMBER(SEARCH("Conocer",$R1081))+ISNUMBER(SEARCH("Aplicar",$R1081))+ISNUMBER(SEARCH("Razonar",$R1081))),0)</f>
        <v>0.5</v>
      </c>
      <c r="V1081" s="8" t="s">
        <v>385</v>
      </c>
      <c r="W1081" s="8" t="s">
        <v>4173</v>
      </c>
    </row>
    <row r="1082" customFormat="false" ht="15" hidden="false" customHeight="false" outlineLevel="0" collapsed="false">
      <c r="A1082" s="8" t="s">
        <v>4849</v>
      </c>
      <c r="B1082" s="8" t="n">
        <v>11</v>
      </c>
      <c r="C1082" s="8" t="s">
        <v>90</v>
      </c>
      <c r="D1082" s="8" t="s">
        <v>4164</v>
      </c>
      <c r="E1082" s="8" t="s">
        <v>4579</v>
      </c>
      <c r="F1082" s="8" t="n">
        <v>79</v>
      </c>
      <c r="G1082" s="8" t="s">
        <v>4842</v>
      </c>
      <c r="H1082" s="8" t="s">
        <v>4850</v>
      </c>
      <c r="I1082" s="27" t="s">
        <v>4851</v>
      </c>
      <c r="J1082" s="8" t="s">
        <v>4169</v>
      </c>
      <c r="K1082" s="8" t="s">
        <v>4170</v>
      </c>
      <c r="L1082" s="8"/>
      <c r="M1082" s="8" t="str">
        <f aca="false">IF(K1082="FUERA","Fuera del marco",IF(K1082="N/A","Sin marco",IFERROR(INDEX(Catalogo_TIMSS!$C$5:$C$105,MATCH(K1082,Catalogo_TIMSS!$A$5:$A$105,0)),"Pendiente de clasificar")))</f>
        <v>Sin marco</v>
      </c>
      <c r="N1082" s="8" t="str">
        <f aca="false">IF(K1082="FUERA","Fuera del marco",IF(K1082="N/A","Sin marco",IFERROR(INDEX(Catalogo_TIMSS!$F$5:$F$105,MATCH(K1082,Catalogo_TIMSS!$A$5:$A$105,0)),"Pendiente de clasificar")))</f>
        <v>Sin marco</v>
      </c>
      <c r="O1082" s="8" t="str">
        <f aca="false">IF(L1082="","",IFERROR(INDEX(Catalogo_TIMSS!$C$5:$C$105,MATCH(L1082,Catalogo_TIMSS!$A$5:$A$105,0)),"?"))</f>
        <v/>
      </c>
      <c r="P1082" s="8" t="s">
        <v>4170</v>
      </c>
      <c r="Q1082" s="27" t="s">
        <v>4171</v>
      </c>
      <c r="R1082" s="27" t="s">
        <v>4852</v>
      </c>
      <c r="S1082" s="28" t="n">
        <f aca="false">IFERROR(ISNUMBER(SEARCH("Conocer",$R1082))/(ISNUMBER(SEARCH("Conocer",$R1082))+ISNUMBER(SEARCH("Aplicar",$R1082))+ISNUMBER(SEARCH("Razonar",$R1082))),0)</f>
        <v>0</v>
      </c>
      <c r="T1082" s="28" t="n">
        <f aca="false">IFERROR(ISNUMBER(SEARCH("Aplicar",$R1082))/(ISNUMBER(SEARCH("Conocer",$R1082))+ISNUMBER(SEARCH("Aplicar",$R1082))+ISNUMBER(SEARCH("Razonar",$R1082))),0)</f>
        <v>0.5</v>
      </c>
      <c r="U1082" s="28" t="n">
        <f aca="false">IFERROR(ISNUMBER(SEARCH("Razonar",$R1082))/(ISNUMBER(SEARCH("Conocer",$R1082))+ISNUMBER(SEARCH("Aplicar",$R1082))+ISNUMBER(SEARCH("Razonar",$R1082))),0)</f>
        <v>0.5</v>
      </c>
      <c r="V1082" s="8" t="s">
        <v>385</v>
      </c>
      <c r="W1082" s="8" t="s">
        <v>4173</v>
      </c>
    </row>
    <row r="1083" customFormat="false" ht="15" hidden="false" customHeight="false" outlineLevel="0" collapsed="false">
      <c r="A1083" s="8" t="s">
        <v>4853</v>
      </c>
      <c r="B1083" s="8" t="n">
        <v>11</v>
      </c>
      <c r="C1083" s="8" t="s">
        <v>90</v>
      </c>
      <c r="D1083" s="8" t="s">
        <v>4164</v>
      </c>
      <c r="E1083" s="8" t="s">
        <v>4579</v>
      </c>
      <c r="F1083" s="8" t="n">
        <v>80</v>
      </c>
      <c r="G1083" s="8" t="s">
        <v>4842</v>
      </c>
      <c r="H1083" s="8" t="s">
        <v>4854</v>
      </c>
      <c r="I1083" s="27" t="s">
        <v>4855</v>
      </c>
      <c r="J1083" s="8" t="s">
        <v>4169</v>
      </c>
      <c r="K1083" s="8" t="s">
        <v>4170</v>
      </c>
      <c r="L1083" s="8"/>
      <c r="M1083" s="8" t="str">
        <f aca="false">IF(K1083="FUERA","Fuera del marco",IF(K1083="N/A","Sin marco",IFERROR(INDEX(Catalogo_TIMSS!$C$5:$C$105,MATCH(K1083,Catalogo_TIMSS!$A$5:$A$105,0)),"Pendiente de clasificar")))</f>
        <v>Sin marco</v>
      </c>
      <c r="N1083" s="8" t="str">
        <f aca="false">IF(K1083="FUERA","Fuera del marco",IF(K1083="N/A","Sin marco",IFERROR(INDEX(Catalogo_TIMSS!$F$5:$F$105,MATCH(K1083,Catalogo_TIMSS!$A$5:$A$105,0)),"Pendiente de clasificar")))</f>
        <v>Sin marco</v>
      </c>
      <c r="O1083" s="8" t="str">
        <f aca="false">IF(L1083="","",IFERROR(INDEX(Catalogo_TIMSS!$C$5:$C$105,MATCH(L1083,Catalogo_TIMSS!$A$5:$A$105,0)),"?"))</f>
        <v/>
      </c>
      <c r="P1083" s="8" t="s">
        <v>4170</v>
      </c>
      <c r="Q1083" s="27" t="s">
        <v>4171</v>
      </c>
      <c r="R1083" s="27" t="s">
        <v>4856</v>
      </c>
      <c r="S1083" s="28" t="n">
        <f aca="false">IFERROR(ISNUMBER(SEARCH("Conocer",$R1083))/(ISNUMBER(SEARCH("Conocer",$R1083))+ISNUMBER(SEARCH("Aplicar",$R1083))+ISNUMBER(SEARCH("Razonar",$R1083))),0)</f>
        <v>0</v>
      </c>
      <c r="T1083" s="28" t="n">
        <f aca="false">IFERROR(ISNUMBER(SEARCH("Aplicar",$R1083))/(ISNUMBER(SEARCH("Conocer",$R1083))+ISNUMBER(SEARCH("Aplicar",$R1083))+ISNUMBER(SEARCH("Razonar",$R1083))),0)</f>
        <v>0.5</v>
      </c>
      <c r="U1083" s="28" t="n">
        <f aca="false">IFERROR(ISNUMBER(SEARCH("Razonar",$R1083))/(ISNUMBER(SEARCH("Conocer",$R1083))+ISNUMBER(SEARCH("Aplicar",$R1083))+ISNUMBER(SEARCH("Razonar",$R1083))),0)</f>
        <v>0.5</v>
      </c>
      <c r="V1083" s="8" t="s">
        <v>385</v>
      </c>
      <c r="W1083" s="8" t="s">
        <v>4173</v>
      </c>
    </row>
    <row r="1084" customFormat="false" ht="15" hidden="false" customHeight="false" outlineLevel="0" collapsed="false">
      <c r="A1084" s="8" t="s">
        <v>4857</v>
      </c>
      <c r="B1084" s="8" t="n">
        <v>11</v>
      </c>
      <c r="C1084" s="8" t="s">
        <v>90</v>
      </c>
      <c r="D1084" s="8" t="s">
        <v>4164</v>
      </c>
      <c r="E1084" s="8" t="s">
        <v>4579</v>
      </c>
      <c r="F1084" s="8" t="n">
        <v>81</v>
      </c>
      <c r="G1084" s="8" t="s">
        <v>4842</v>
      </c>
      <c r="H1084" s="8" t="s">
        <v>4854</v>
      </c>
      <c r="I1084" s="27" t="s">
        <v>4858</v>
      </c>
      <c r="J1084" s="8" t="s">
        <v>4169</v>
      </c>
      <c r="K1084" s="8" t="s">
        <v>4170</v>
      </c>
      <c r="L1084" s="8"/>
      <c r="M1084" s="8" t="str">
        <f aca="false">IF(K1084="FUERA","Fuera del marco",IF(K1084="N/A","Sin marco",IFERROR(INDEX(Catalogo_TIMSS!$C$5:$C$105,MATCH(K1084,Catalogo_TIMSS!$A$5:$A$105,0)),"Pendiente de clasificar")))</f>
        <v>Sin marco</v>
      </c>
      <c r="N1084" s="8" t="str">
        <f aca="false">IF(K1084="FUERA","Fuera del marco",IF(K1084="N/A","Sin marco",IFERROR(INDEX(Catalogo_TIMSS!$F$5:$F$105,MATCH(K1084,Catalogo_TIMSS!$A$5:$A$105,0)),"Pendiente de clasificar")))</f>
        <v>Sin marco</v>
      </c>
      <c r="O1084" s="8" t="str">
        <f aca="false">IF(L1084="","",IFERROR(INDEX(Catalogo_TIMSS!$C$5:$C$105,MATCH(L1084,Catalogo_TIMSS!$A$5:$A$105,0)),"?"))</f>
        <v/>
      </c>
      <c r="P1084" s="8" t="s">
        <v>4170</v>
      </c>
      <c r="Q1084" s="27" t="s">
        <v>4171</v>
      </c>
      <c r="R1084" s="27" t="s">
        <v>4859</v>
      </c>
      <c r="S1084" s="28" t="n">
        <f aca="false">IFERROR(ISNUMBER(SEARCH("Conocer",$R1084))/(ISNUMBER(SEARCH("Conocer",$R1084))+ISNUMBER(SEARCH("Aplicar",$R1084))+ISNUMBER(SEARCH("Razonar",$R1084))),0)</f>
        <v>0</v>
      </c>
      <c r="T1084" s="28" t="n">
        <f aca="false">IFERROR(ISNUMBER(SEARCH("Aplicar",$R1084))/(ISNUMBER(SEARCH("Conocer",$R1084))+ISNUMBER(SEARCH("Aplicar",$R1084))+ISNUMBER(SEARCH("Razonar",$R1084))),0)</f>
        <v>0.5</v>
      </c>
      <c r="U1084" s="28" t="n">
        <f aca="false">IFERROR(ISNUMBER(SEARCH("Razonar",$R1084))/(ISNUMBER(SEARCH("Conocer",$R1084))+ISNUMBER(SEARCH("Aplicar",$R1084))+ISNUMBER(SEARCH("Razonar",$R1084))),0)</f>
        <v>0.5</v>
      </c>
      <c r="V1084" s="8" t="s">
        <v>385</v>
      </c>
      <c r="W1084" s="8" t="s">
        <v>4173</v>
      </c>
    </row>
    <row r="1085" customFormat="false" ht="15" hidden="false" customHeight="false" outlineLevel="0" collapsed="false">
      <c r="A1085" s="8" t="s">
        <v>4860</v>
      </c>
      <c r="B1085" s="8" t="n">
        <v>11</v>
      </c>
      <c r="C1085" s="8" t="s">
        <v>90</v>
      </c>
      <c r="D1085" s="8" t="s">
        <v>4164</v>
      </c>
      <c r="E1085" s="8" t="s">
        <v>4579</v>
      </c>
      <c r="F1085" s="8" t="n">
        <v>82</v>
      </c>
      <c r="G1085" s="8" t="s">
        <v>4842</v>
      </c>
      <c r="H1085" s="8" t="s">
        <v>4861</v>
      </c>
      <c r="I1085" s="27" t="s">
        <v>4862</v>
      </c>
      <c r="J1085" s="8" t="s">
        <v>4169</v>
      </c>
      <c r="K1085" s="8" t="s">
        <v>4170</v>
      </c>
      <c r="L1085" s="8"/>
      <c r="M1085" s="8" t="str">
        <f aca="false">IF(K1085="FUERA","Fuera del marco",IF(K1085="N/A","Sin marco",IFERROR(INDEX(Catalogo_TIMSS!$C$5:$C$105,MATCH(K1085,Catalogo_TIMSS!$A$5:$A$105,0)),"Pendiente de clasificar")))</f>
        <v>Sin marco</v>
      </c>
      <c r="N1085" s="8" t="str">
        <f aca="false">IF(K1085="FUERA","Fuera del marco",IF(K1085="N/A","Sin marco",IFERROR(INDEX(Catalogo_TIMSS!$F$5:$F$105,MATCH(K1085,Catalogo_TIMSS!$A$5:$A$105,0)),"Pendiente de clasificar")))</f>
        <v>Sin marco</v>
      </c>
      <c r="O1085" s="8" t="str">
        <f aca="false">IF(L1085="","",IFERROR(INDEX(Catalogo_TIMSS!$C$5:$C$105,MATCH(L1085,Catalogo_TIMSS!$A$5:$A$105,0)),"?"))</f>
        <v/>
      </c>
      <c r="P1085" s="8" t="s">
        <v>4170</v>
      </c>
      <c r="Q1085" s="27" t="s">
        <v>4171</v>
      </c>
      <c r="R1085" s="27" t="s">
        <v>4863</v>
      </c>
      <c r="S1085" s="28" t="n">
        <f aca="false">IFERROR(ISNUMBER(SEARCH("Conocer",$R1085))/(ISNUMBER(SEARCH("Conocer",$R1085))+ISNUMBER(SEARCH("Aplicar",$R1085))+ISNUMBER(SEARCH("Razonar",$R1085))),0)</f>
        <v>0</v>
      </c>
      <c r="T1085" s="28" t="n">
        <f aca="false">IFERROR(ISNUMBER(SEARCH("Aplicar",$R1085))/(ISNUMBER(SEARCH("Conocer",$R1085))+ISNUMBER(SEARCH("Aplicar",$R1085))+ISNUMBER(SEARCH("Razonar",$R1085))),0)</f>
        <v>0.5</v>
      </c>
      <c r="U1085" s="28" t="n">
        <f aca="false">IFERROR(ISNUMBER(SEARCH("Razonar",$R1085))/(ISNUMBER(SEARCH("Conocer",$R1085))+ISNUMBER(SEARCH("Aplicar",$R1085))+ISNUMBER(SEARCH("Razonar",$R1085))),0)</f>
        <v>0.5</v>
      </c>
      <c r="V1085" s="8" t="s">
        <v>385</v>
      </c>
      <c r="W1085" s="8" t="s">
        <v>4173</v>
      </c>
    </row>
    <row r="1086" customFormat="false" ht="15" hidden="false" customHeight="false" outlineLevel="0" collapsed="false">
      <c r="A1086" s="8" t="s">
        <v>4864</v>
      </c>
      <c r="B1086" s="8" t="n">
        <v>11</v>
      </c>
      <c r="C1086" s="8" t="s">
        <v>90</v>
      </c>
      <c r="D1086" s="8" t="s">
        <v>4164</v>
      </c>
      <c r="E1086" s="8" t="s">
        <v>4579</v>
      </c>
      <c r="F1086" s="8" t="n">
        <v>83</v>
      </c>
      <c r="G1086" s="8" t="s">
        <v>4842</v>
      </c>
      <c r="H1086" s="8" t="s">
        <v>4865</v>
      </c>
      <c r="I1086" s="27" t="s">
        <v>4866</v>
      </c>
      <c r="J1086" s="8" t="s">
        <v>4169</v>
      </c>
      <c r="K1086" s="8" t="s">
        <v>4170</v>
      </c>
      <c r="L1086" s="8"/>
      <c r="M1086" s="8" t="str">
        <f aca="false">IF(K1086="FUERA","Fuera del marco",IF(K1086="N/A","Sin marco",IFERROR(INDEX(Catalogo_TIMSS!$C$5:$C$105,MATCH(K1086,Catalogo_TIMSS!$A$5:$A$105,0)),"Pendiente de clasificar")))</f>
        <v>Sin marco</v>
      </c>
      <c r="N1086" s="8" t="str">
        <f aca="false">IF(K1086="FUERA","Fuera del marco",IF(K1086="N/A","Sin marco",IFERROR(INDEX(Catalogo_TIMSS!$F$5:$F$105,MATCH(K1086,Catalogo_TIMSS!$A$5:$A$105,0)),"Pendiente de clasificar")))</f>
        <v>Sin marco</v>
      </c>
      <c r="O1086" s="8" t="str">
        <f aca="false">IF(L1086="","",IFERROR(INDEX(Catalogo_TIMSS!$C$5:$C$105,MATCH(L1086,Catalogo_TIMSS!$A$5:$A$105,0)),"?"))</f>
        <v/>
      </c>
      <c r="P1086" s="8" t="s">
        <v>4170</v>
      </c>
      <c r="Q1086" s="27" t="s">
        <v>4171</v>
      </c>
      <c r="R1086" s="27" t="s">
        <v>4867</v>
      </c>
      <c r="S1086" s="28" t="n">
        <f aca="false">IFERROR(ISNUMBER(SEARCH("Conocer",$R1086))/(ISNUMBER(SEARCH("Conocer",$R1086))+ISNUMBER(SEARCH("Aplicar",$R1086))+ISNUMBER(SEARCH("Razonar",$R1086))),0)</f>
        <v>0.5</v>
      </c>
      <c r="T1086" s="28" t="n">
        <f aca="false">IFERROR(ISNUMBER(SEARCH("Aplicar",$R1086))/(ISNUMBER(SEARCH("Conocer",$R1086))+ISNUMBER(SEARCH("Aplicar",$R1086))+ISNUMBER(SEARCH("Razonar",$R1086))),0)</f>
        <v>0</v>
      </c>
      <c r="U1086" s="28" t="n">
        <f aca="false">IFERROR(ISNUMBER(SEARCH("Razonar",$R1086))/(ISNUMBER(SEARCH("Conocer",$R1086))+ISNUMBER(SEARCH("Aplicar",$R1086))+ISNUMBER(SEARCH("Razonar",$R1086))),0)</f>
        <v>0.5</v>
      </c>
      <c r="V1086" s="8" t="s">
        <v>385</v>
      </c>
      <c r="W1086" s="8" t="s">
        <v>4173</v>
      </c>
    </row>
    <row r="1087" customFormat="false" ht="15" hidden="false" customHeight="false" outlineLevel="0" collapsed="false">
      <c r="A1087" s="8" t="s">
        <v>4868</v>
      </c>
      <c r="B1087" s="8" t="n">
        <v>11</v>
      </c>
      <c r="C1087" s="8" t="s">
        <v>90</v>
      </c>
      <c r="D1087" s="8" t="s">
        <v>4164</v>
      </c>
      <c r="E1087" s="8" t="s">
        <v>4579</v>
      </c>
      <c r="F1087" s="8" t="n">
        <v>84</v>
      </c>
      <c r="G1087" s="8" t="s">
        <v>4869</v>
      </c>
      <c r="H1087" s="8" t="s">
        <v>4870</v>
      </c>
      <c r="I1087" s="27" t="s">
        <v>4871</v>
      </c>
      <c r="J1087" s="8" t="s">
        <v>4169</v>
      </c>
      <c r="K1087" s="8" t="s">
        <v>4170</v>
      </c>
      <c r="L1087" s="8"/>
      <c r="M1087" s="8" t="str">
        <f aca="false">IF(K1087="FUERA","Fuera del marco",IF(K1087="N/A","Sin marco",IFERROR(INDEX(Catalogo_TIMSS!$C$5:$C$105,MATCH(K1087,Catalogo_TIMSS!$A$5:$A$105,0)),"Pendiente de clasificar")))</f>
        <v>Sin marco</v>
      </c>
      <c r="N1087" s="8" t="str">
        <f aca="false">IF(K1087="FUERA","Fuera del marco",IF(K1087="N/A","Sin marco",IFERROR(INDEX(Catalogo_TIMSS!$F$5:$F$105,MATCH(K1087,Catalogo_TIMSS!$A$5:$A$105,0)),"Pendiente de clasificar")))</f>
        <v>Sin marco</v>
      </c>
      <c r="O1087" s="8" t="str">
        <f aca="false">IF(L1087="","",IFERROR(INDEX(Catalogo_TIMSS!$C$5:$C$105,MATCH(L1087,Catalogo_TIMSS!$A$5:$A$105,0)),"?"))</f>
        <v/>
      </c>
      <c r="P1087" s="8" t="s">
        <v>4170</v>
      </c>
      <c r="Q1087" s="27" t="s">
        <v>4171</v>
      </c>
      <c r="R1087" s="27" t="s">
        <v>4872</v>
      </c>
      <c r="S1087" s="28" t="n">
        <f aca="false">IFERROR(ISNUMBER(SEARCH("Conocer",$R1087))/(ISNUMBER(SEARCH("Conocer",$R1087))+ISNUMBER(SEARCH("Aplicar",$R1087))+ISNUMBER(SEARCH("Razonar",$R1087))),0)</f>
        <v>0</v>
      </c>
      <c r="T1087" s="28" t="n">
        <f aca="false">IFERROR(ISNUMBER(SEARCH("Aplicar",$R1087))/(ISNUMBER(SEARCH("Conocer",$R1087))+ISNUMBER(SEARCH("Aplicar",$R1087))+ISNUMBER(SEARCH("Razonar",$R1087))),0)</f>
        <v>0.5</v>
      </c>
      <c r="U1087" s="28" t="n">
        <f aca="false">IFERROR(ISNUMBER(SEARCH("Razonar",$R1087))/(ISNUMBER(SEARCH("Conocer",$R1087))+ISNUMBER(SEARCH("Aplicar",$R1087))+ISNUMBER(SEARCH("Razonar",$R1087))),0)</f>
        <v>0.5</v>
      </c>
      <c r="V1087" s="8" t="s">
        <v>385</v>
      </c>
      <c r="W1087" s="8" t="s">
        <v>4173</v>
      </c>
    </row>
    <row r="1088" customFormat="false" ht="15" hidden="false" customHeight="false" outlineLevel="0" collapsed="false">
      <c r="A1088" s="8" t="s">
        <v>4873</v>
      </c>
      <c r="B1088" s="8" t="n">
        <v>11</v>
      </c>
      <c r="C1088" s="8" t="s">
        <v>90</v>
      </c>
      <c r="D1088" s="8" t="s">
        <v>4164</v>
      </c>
      <c r="E1088" s="8" t="s">
        <v>4579</v>
      </c>
      <c r="F1088" s="8" t="n">
        <v>85</v>
      </c>
      <c r="G1088" s="8" t="s">
        <v>4869</v>
      </c>
      <c r="H1088" s="8" t="s">
        <v>4870</v>
      </c>
      <c r="I1088" s="27" t="s">
        <v>4874</v>
      </c>
      <c r="J1088" s="8" t="s">
        <v>4169</v>
      </c>
      <c r="K1088" s="8" t="s">
        <v>4170</v>
      </c>
      <c r="L1088" s="8"/>
      <c r="M1088" s="8" t="str">
        <f aca="false">IF(K1088="FUERA","Fuera del marco",IF(K1088="N/A","Sin marco",IFERROR(INDEX(Catalogo_TIMSS!$C$5:$C$105,MATCH(K1088,Catalogo_TIMSS!$A$5:$A$105,0)),"Pendiente de clasificar")))</f>
        <v>Sin marco</v>
      </c>
      <c r="N1088" s="8" t="str">
        <f aca="false">IF(K1088="FUERA","Fuera del marco",IF(K1088="N/A","Sin marco",IFERROR(INDEX(Catalogo_TIMSS!$F$5:$F$105,MATCH(K1088,Catalogo_TIMSS!$A$5:$A$105,0)),"Pendiente de clasificar")))</f>
        <v>Sin marco</v>
      </c>
      <c r="O1088" s="8" t="str">
        <f aca="false">IF(L1088="","",IFERROR(INDEX(Catalogo_TIMSS!$C$5:$C$105,MATCH(L1088,Catalogo_TIMSS!$A$5:$A$105,0)),"?"))</f>
        <v/>
      </c>
      <c r="P1088" s="8" t="s">
        <v>4170</v>
      </c>
      <c r="Q1088" s="27" t="s">
        <v>4171</v>
      </c>
      <c r="R1088" s="27" t="s">
        <v>4875</v>
      </c>
      <c r="S1088" s="28" t="n">
        <f aca="false">IFERROR(ISNUMBER(SEARCH("Conocer",$R1088))/(ISNUMBER(SEARCH("Conocer",$R1088))+ISNUMBER(SEARCH("Aplicar",$R1088))+ISNUMBER(SEARCH("Razonar",$R1088))),0)</f>
        <v>0</v>
      </c>
      <c r="T1088" s="28" t="n">
        <f aca="false">IFERROR(ISNUMBER(SEARCH("Aplicar",$R1088))/(ISNUMBER(SEARCH("Conocer",$R1088))+ISNUMBER(SEARCH("Aplicar",$R1088))+ISNUMBER(SEARCH("Razonar",$R1088))),0)</f>
        <v>0.5</v>
      </c>
      <c r="U1088" s="28" t="n">
        <f aca="false">IFERROR(ISNUMBER(SEARCH("Razonar",$R1088))/(ISNUMBER(SEARCH("Conocer",$R1088))+ISNUMBER(SEARCH("Aplicar",$R1088))+ISNUMBER(SEARCH("Razonar",$R1088))),0)</f>
        <v>0.5</v>
      </c>
      <c r="V1088" s="8" t="s">
        <v>385</v>
      </c>
      <c r="W1088" s="8" t="s">
        <v>4173</v>
      </c>
    </row>
    <row r="1089" customFormat="false" ht="15" hidden="false" customHeight="false" outlineLevel="0" collapsed="false">
      <c r="A1089" s="8" t="s">
        <v>4876</v>
      </c>
      <c r="B1089" s="8" t="n">
        <v>11</v>
      </c>
      <c r="C1089" s="8" t="s">
        <v>90</v>
      </c>
      <c r="D1089" s="8" t="s">
        <v>4164</v>
      </c>
      <c r="E1089" s="8" t="s">
        <v>4579</v>
      </c>
      <c r="F1089" s="8" t="n">
        <v>86</v>
      </c>
      <c r="G1089" s="8" t="s">
        <v>4869</v>
      </c>
      <c r="H1089" s="8" t="s">
        <v>4877</v>
      </c>
      <c r="I1089" s="27" t="s">
        <v>4878</v>
      </c>
      <c r="J1089" s="8" t="s">
        <v>4169</v>
      </c>
      <c r="K1089" s="8" t="s">
        <v>4170</v>
      </c>
      <c r="L1089" s="8"/>
      <c r="M1089" s="8" t="str">
        <f aca="false">IF(K1089="FUERA","Fuera del marco",IF(K1089="N/A","Sin marco",IFERROR(INDEX(Catalogo_TIMSS!$C$5:$C$105,MATCH(K1089,Catalogo_TIMSS!$A$5:$A$105,0)),"Pendiente de clasificar")))</f>
        <v>Sin marco</v>
      </c>
      <c r="N1089" s="8" t="str">
        <f aca="false">IF(K1089="FUERA","Fuera del marco",IF(K1089="N/A","Sin marco",IFERROR(INDEX(Catalogo_TIMSS!$F$5:$F$105,MATCH(K1089,Catalogo_TIMSS!$A$5:$A$105,0)),"Pendiente de clasificar")))</f>
        <v>Sin marco</v>
      </c>
      <c r="O1089" s="8" t="str">
        <f aca="false">IF(L1089="","",IFERROR(INDEX(Catalogo_TIMSS!$C$5:$C$105,MATCH(L1089,Catalogo_TIMSS!$A$5:$A$105,0)),"?"))</f>
        <v/>
      </c>
      <c r="P1089" s="8" t="s">
        <v>4170</v>
      </c>
      <c r="Q1089" s="27" t="s">
        <v>4171</v>
      </c>
      <c r="R1089" s="27" t="s">
        <v>4879</v>
      </c>
      <c r="S1089" s="28" t="n">
        <f aca="false">IFERROR(ISNUMBER(SEARCH("Conocer",$R1089))/(ISNUMBER(SEARCH("Conocer",$R1089))+ISNUMBER(SEARCH("Aplicar",$R1089))+ISNUMBER(SEARCH("Razonar",$R1089))),0)</f>
        <v>0</v>
      </c>
      <c r="T1089" s="28" t="n">
        <f aca="false">IFERROR(ISNUMBER(SEARCH("Aplicar",$R1089))/(ISNUMBER(SEARCH("Conocer",$R1089))+ISNUMBER(SEARCH("Aplicar",$R1089))+ISNUMBER(SEARCH("Razonar",$R1089))),0)</f>
        <v>0.5</v>
      </c>
      <c r="U1089" s="28" t="n">
        <f aca="false">IFERROR(ISNUMBER(SEARCH("Razonar",$R1089))/(ISNUMBER(SEARCH("Conocer",$R1089))+ISNUMBER(SEARCH("Aplicar",$R1089))+ISNUMBER(SEARCH("Razonar",$R1089))),0)</f>
        <v>0.5</v>
      </c>
      <c r="V1089" s="8" t="s">
        <v>385</v>
      </c>
      <c r="W1089" s="8" t="s">
        <v>4173</v>
      </c>
    </row>
    <row r="1090" customFormat="false" ht="15" hidden="false" customHeight="false" outlineLevel="0" collapsed="false">
      <c r="A1090" s="8" t="s">
        <v>4880</v>
      </c>
      <c r="B1090" s="8" t="n">
        <v>11</v>
      </c>
      <c r="C1090" s="8" t="s">
        <v>90</v>
      </c>
      <c r="D1090" s="8" t="s">
        <v>4164</v>
      </c>
      <c r="E1090" s="8" t="s">
        <v>4579</v>
      </c>
      <c r="F1090" s="8" t="n">
        <v>87</v>
      </c>
      <c r="G1090" s="8" t="s">
        <v>4869</v>
      </c>
      <c r="H1090" s="8" t="s">
        <v>4881</v>
      </c>
      <c r="I1090" s="27" t="s">
        <v>4882</v>
      </c>
      <c r="J1090" s="8" t="s">
        <v>4169</v>
      </c>
      <c r="K1090" s="8" t="s">
        <v>4170</v>
      </c>
      <c r="L1090" s="8"/>
      <c r="M1090" s="8" t="str">
        <f aca="false">IF(K1090="FUERA","Fuera del marco",IF(K1090="N/A","Sin marco",IFERROR(INDEX(Catalogo_TIMSS!$C$5:$C$105,MATCH(K1090,Catalogo_TIMSS!$A$5:$A$105,0)),"Pendiente de clasificar")))</f>
        <v>Sin marco</v>
      </c>
      <c r="N1090" s="8" t="str">
        <f aca="false">IF(K1090="FUERA","Fuera del marco",IF(K1090="N/A","Sin marco",IFERROR(INDEX(Catalogo_TIMSS!$F$5:$F$105,MATCH(K1090,Catalogo_TIMSS!$A$5:$A$105,0)),"Pendiente de clasificar")))</f>
        <v>Sin marco</v>
      </c>
      <c r="O1090" s="8" t="str">
        <f aca="false">IF(L1090="","",IFERROR(INDEX(Catalogo_TIMSS!$C$5:$C$105,MATCH(L1090,Catalogo_TIMSS!$A$5:$A$105,0)),"?"))</f>
        <v/>
      </c>
      <c r="P1090" s="8" t="s">
        <v>4170</v>
      </c>
      <c r="Q1090" s="27" t="s">
        <v>4171</v>
      </c>
      <c r="R1090" s="27" t="s">
        <v>4883</v>
      </c>
      <c r="S1090" s="28" t="n">
        <f aca="false">IFERROR(ISNUMBER(SEARCH("Conocer",$R1090))/(ISNUMBER(SEARCH("Conocer",$R1090))+ISNUMBER(SEARCH("Aplicar",$R1090))+ISNUMBER(SEARCH("Razonar",$R1090))),0)</f>
        <v>0.5</v>
      </c>
      <c r="T1090" s="28" t="n">
        <f aca="false">IFERROR(ISNUMBER(SEARCH("Aplicar",$R1090))/(ISNUMBER(SEARCH("Conocer",$R1090))+ISNUMBER(SEARCH("Aplicar",$R1090))+ISNUMBER(SEARCH("Razonar",$R1090))),0)</f>
        <v>0</v>
      </c>
      <c r="U1090" s="28" t="n">
        <f aca="false">IFERROR(ISNUMBER(SEARCH("Razonar",$R1090))/(ISNUMBER(SEARCH("Conocer",$R1090))+ISNUMBER(SEARCH("Aplicar",$R1090))+ISNUMBER(SEARCH("Razonar",$R1090))),0)</f>
        <v>0.5</v>
      </c>
      <c r="V1090" s="8" t="s">
        <v>385</v>
      </c>
      <c r="W1090" s="8" t="s">
        <v>4173</v>
      </c>
    </row>
    <row r="1091" customFormat="false" ht="15" hidden="false" customHeight="false" outlineLevel="0" collapsed="false">
      <c r="A1091" s="8" t="s">
        <v>4884</v>
      </c>
      <c r="B1091" s="8" t="n">
        <v>11</v>
      </c>
      <c r="C1091" s="8" t="s">
        <v>90</v>
      </c>
      <c r="D1091" s="8" t="s">
        <v>4164</v>
      </c>
      <c r="E1091" s="8" t="s">
        <v>4579</v>
      </c>
      <c r="F1091" s="8" t="n">
        <v>88</v>
      </c>
      <c r="G1091" s="8" t="s">
        <v>4869</v>
      </c>
      <c r="H1091" s="8" t="s">
        <v>4881</v>
      </c>
      <c r="I1091" s="27" t="s">
        <v>4885</v>
      </c>
      <c r="J1091" s="8" t="s">
        <v>4169</v>
      </c>
      <c r="K1091" s="8" t="s">
        <v>4170</v>
      </c>
      <c r="L1091" s="8"/>
      <c r="M1091" s="8" t="str">
        <f aca="false">IF(K1091="FUERA","Fuera del marco",IF(K1091="N/A","Sin marco",IFERROR(INDEX(Catalogo_TIMSS!$C$5:$C$105,MATCH(K1091,Catalogo_TIMSS!$A$5:$A$105,0)),"Pendiente de clasificar")))</f>
        <v>Sin marco</v>
      </c>
      <c r="N1091" s="8" t="str">
        <f aca="false">IF(K1091="FUERA","Fuera del marco",IF(K1091="N/A","Sin marco",IFERROR(INDEX(Catalogo_TIMSS!$F$5:$F$105,MATCH(K1091,Catalogo_TIMSS!$A$5:$A$105,0)),"Pendiente de clasificar")))</f>
        <v>Sin marco</v>
      </c>
      <c r="O1091" s="8" t="str">
        <f aca="false">IF(L1091="","",IFERROR(INDEX(Catalogo_TIMSS!$C$5:$C$105,MATCH(L1091,Catalogo_TIMSS!$A$5:$A$105,0)),"?"))</f>
        <v/>
      </c>
      <c r="P1091" s="8" t="s">
        <v>4170</v>
      </c>
      <c r="Q1091" s="27" t="s">
        <v>4171</v>
      </c>
      <c r="R1091" s="27" t="s">
        <v>4886</v>
      </c>
      <c r="S1091" s="28" t="n">
        <f aca="false">IFERROR(ISNUMBER(SEARCH("Conocer",$R1091))/(ISNUMBER(SEARCH("Conocer",$R1091))+ISNUMBER(SEARCH("Aplicar",$R1091))+ISNUMBER(SEARCH("Razonar",$R1091))),0)</f>
        <v>0</v>
      </c>
      <c r="T1091" s="28" t="n">
        <f aca="false">IFERROR(ISNUMBER(SEARCH("Aplicar",$R1091))/(ISNUMBER(SEARCH("Conocer",$R1091))+ISNUMBER(SEARCH("Aplicar",$R1091))+ISNUMBER(SEARCH("Razonar",$R1091))),0)</f>
        <v>0.5</v>
      </c>
      <c r="U1091" s="28" t="n">
        <f aca="false">IFERROR(ISNUMBER(SEARCH("Razonar",$R1091))/(ISNUMBER(SEARCH("Conocer",$R1091))+ISNUMBER(SEARCH("Aplicar",$R1091))+ISNUMBER(SEARCH("Razonar",$R1091))),0)</f>
        <v>0.5</v>
      </c>
      <c r="V1091" s="8" t="s">
        <v>385</v>
      </c>
      <c r="W1091" s="8" t="s">
        <v>4173</v>
      </c>
    </row>
    <row r="1092" customFormat="false" ht="15" hidden="false" customHeight="false" outlineLevel="0" collapsed="false">
      <c r="A1092" s="8" t="s">
        <v>4887</v>
      </c>
      <c r="B1092" s="8" t="n">
        <v>11</v>
      </c>
      <c r="C1092" s="8" t="s">
        <v>90</v>
      </c>
      <c r="D1092" s="8" t="s">
        <v>4164</v>
      </c>
      <c r="E1092" s="8" t="s">
        <v>4579</v>
      </c>
      <c r="F1092" s="8" t="n">
        <v>89</v>
      </c>
      <c r="G1092" s="8" t="s">
        <v>4888</v>
      </c>
      <c r="H1092" s="8" t="s">
        <v>4889</v>
      </c>
      <c r="I1092" s="27" t="s">
        <v>4890</v>
      </c>
      <c r="J1092" s="8" t="s">
        <v>4169</v>
      </c>
      <c r="K1092" s="8" t="s">
        <v>4170</v>
      </c>
      <c r="L1092" s="8"/>
      <c r="M1092" s="8" t="str">
        <f aca="false">IF(K1092="FUERA","Fuera del marco",IF(K1092="N/A","Sin marco",IFERROR(INDEX(Catalogo_TIMSS!$C$5:$C$105,MATCH(K1092,Catalogo_TIMSS!$A$5:$A$105,0)),"Pendiente de clasificar")))</f>
        <v>Sin marco</v>
      </c>
      <c r="N1092" s="8" t="str">
        <f aca="false">IF(K1092="FUERA","Fuera del marco",IF(K1092="N/A","Sin marco",IFERROR(INDEX(Catalogo_TIMSS!$F$5:$F$105,MATCH(K1092,Catalogo_TIMSS!$A$5:$A$105,0)),"Pendiente de clasificar")))</f>
        <v>Sin marco</v>
      </c>
      <c r="O1092" s="8" t="str">
        <f aca="false">IF(L1092="","",IFERROR(INDEX(Catalogo_TIMSS!$C$5:$C$105,MATCH(L1092,Catalogo_TIMSS!$A$5:$A$105,0)),"?"))</f>
        <v/>
      </c>
      <c r="P1092" s="8" t="s">
        <v>4170</v>
      </c>
      <c r="Q1092" s="27" t="s">
        <v>4171</v>
      </c>
      <c r="R1092" s="27" t="s">
        <v>4891</v>
      </c>
      <c r="S1092" s="28" t="n">
        <f aca="false">IFERROR(ISNUMBER(SEARCH("Conocer",$R1092))/(ISNUMBER(SEARCH("Conocer",$R1092))+ISNUMBER(SEARCH("Aplicar",$R1092))+ISNUMBER(SEARCH("Razonar",$R1092))),0)</f>
        <v>0</v>
      </c>
      <c r="T1092" s="28" t="n">
        <f aca="false">IFERROR(ISNUMBER(SEARCH("Aplicar",$R1092))/(ISNUMBER(SEARCH("Conocer",$R1092))+ISNUMBER(SEARCH("Aplicar",$R1092))+ISNUMBER(SEARCH("Razonar",$R1092))),0)</f>
        <v>0.5</v>
      </c>
      <c r="U1092" s="28" t="n">
        <f aca="false">IFERROR(ISNUMBER(SEARCH("Razonar",$R1092))/(ISNUMBER(SEARCH("Conocer",$R1092))+ISNUMBER(SEARCH("Aplicar",$R1092))+ISNUMBER(SEARCH("Razonar",$R1092))),0)</f>
        <v>0.5</v>
      </c>
      <c r="V1092" s="8" t="s">
        <v>385</v>
      </c>
      <c r="W1092" s="8" t="s">
        <v>4173</v>
      </c>
    </row>
    <row r="1093" customFormat="false" ht="15" hidden="false" customHeight="false" outlineLevel="0" collapsed="false">
      <c r="A1093" s="8" t="s">
        <v>4892</v>
      </c>
      <c r="B1093" s="8" t="n">
        <v>11</v>
      </c>
      <c r="C1093" s="8" t="s">
        <v>90</v>
      </c>
      <c r="D1093" s="8" t="s">
        <v>4164</v>
      </c>
      <c r="E1093" s="8" t="s">
        <v>4579</v>
      </c>
      <c r="F1093" s="8" t="n">
        <v>90</v>
      </c>
      <c r="G1093" s="8" t="s">
        <v>4888</v>
      </c>
      <c r="H1093" s="8" t="s">
        <v>4889</v>
      </c>
      <c r="I1093" s="27" t="s">
        <v>4893</v>
      </c>
      <c r="J1093" s="8" t="s">
        <v>4169</v>
      </c>
      <c r="K1093" s="8" t="s">
        <v>4170</v>
      </c>
      <c r="L1093" s="8"/>
      <c r="M1093" s="8" t="str">
        <f aca="false">IF(K1093="FUERA","Fuera del marco",IF(K1093="N/A","Sin marco",IFERROR(INDEX(Catalogo_TIMSS!$C$5:$C$105,MATCH(K1093,Catalogo_TIMSS!$A$5:$A$105,0)),"Pendiente de clasificar")))</f>
        <v>Sin marco</v>
      </c>
      <c r="N1093" s="8" t="str">
        <f aca="false">IF(K1093="FUERA","Fuera del marco",IF(K1093="N/A","Sin marco",IFERROR(INDEX(Catalogo_TIMSS!$F$5:$F$105,MATCH(K1093,Catalogo_TIMSS!$A$5:$A$105,0)),"Pendiente de clasificar")))</f>
        <v>Sin marco</v>
      </c>
      <c r="O1093" s="8" t="str">
        <f aca="false">IF(L1093="","",IFERROR(INDEX(Catalogo_TIMSS!$C$5:$C$105,MATCH(L1093,Catalogo_TIMSS!$A$5:$A$105,0)),"?"))</f>
        <v/>
      </c>
      <c r="P1093" s="8" t="s">
        <v>4170</v>
      </c>
      <c r="Q1093" s="27" t="s">
        <v>4171</v>
      </c>
      <c r="R1093" s="27" t="s">
        <v>4894</v>
      </c>
      <c r="S1093" s="28" t="n">
        <f aca="false">IFERROR(ISNUMBER(SEARCH("Conocer",$R1093))/(ISNUMBER(SEARCH("Conocer",$R1093))+ISNUMBER(SEARCH("Aplicar",$R1093))+ISNUMBER(SEARCH("Razonar",$R1093))),0)</f>
        <v>0</v>
      </c>
      <c r="T1093" s="28" t="n">
        <f aca="false">IFERROR(ISNUMBER(SEARCH("Aplicar",$R1093))/(ISNUMBER(SEARCH("Conocer",$R1093))+ISNUMBER(SEARCH("Aplicar",$R1093))+ISNUMBER(SEARCH("Razonar",$R1093))),0)</f>
        <v>0.5</v>
      </c>
      <c r="U1093" s="28" t="n">
        <f aca="false">IFERROR(ISNUMBER(SEARCH("Razonar",$R1093))/(ISNUMBER(SEARCH("Conocer",$R1093))+ISNUMBER(SEARCH("Aplicar",$R1093))+ISNUMBER(SEARCH("Razonar",$R1093))),0)</f>
        <v>0.5</v>
      </c>
      <c r="V1093" s="8" t="s">
        <v>385</v>
      </c>
      <c r="W1093" s="8" t="s">
        <v>4173</v>
      </c>
    </row>
    <row r="1094" customFormat="false" ht="15" hidden="false" customHeight="false" outlineLevel="0" collapsed="false">
      <c r="A1094" s="8" t="s">
        <v>4895</v>
      </c>
      <c r="B1094" s="8" t="n">
        <v>11</v>
      </c>
      <c r="C1094" s="8" t="s">
        <v>90</v>
      </c>
      <c r="D1094" s="8" t="s">
        <v>4164</v>
      </c>
      <c r="E1094" s="8" t="s">
        <v>4579</v>
      </c>
      <c r="F1094" s="8" t="n">
        <v>91</v>
      </c>
      <c r="G1094" s="8" t="s">
        <v>4888</v>
      </c>
      <c r="H1094" s="8" t="s">
        <v>4889</v>
      </c>
      <c r="I1094" s="27" t="s">
        <v>4896</v>
      </c>
      <c r="J1094" s="8" t="s">
        <v>4169</v>
      </c>
      <c r="K1094" s="8" t="s">
        <v>4170</v>
      </c>
      <c r="L1094" s="8"/>
      <c r="M1094" s="8" t="str">
        <f aca="false">IF(K1094="FUERA","Fuera del marco",IF(K1094="N/A","Sin marco",IFERROR(INDEX(Catalogo_TIMSS!$C$5:$C$105,MATCH(K1094,Catalogo_TIMSS!$A$5:$A$105,0)),"Pendiente de clasificar")))</f>
        <v>Sin marco</v>
      </c>
      <c r="N1094" s="8" t="str">
        <f aca="false">IF(K1094="FUERA","Fuera del marco",IF(K1094="N/A","Sin marco",IFERROR(INDEX(Catalogo_TIMSS!$F$5:$F$105,MATCH(K1094,Catalogo_TIMSS!$A$5:$A$105,0)),"Pendiente de clasificar")))</f>
        <v>Sin marco</v>
      </c>
      <c r="O1094" s="8" t="str">
        <f aca="false">IF(L1094="","",IFERROR(INDEX(Catalogo_TIMSS!$C$5:$C$105,MATCH(L1094,Catalogo_TIMSS!$A$5:$A$105,0)),"?"))</f>
        <v/>
      </c>
      <c r="P1094" s="8" t="s">
        <v>4170</v>
      </c>
      <c r="Q1094" s="27" t="s">
        <v>4171</v>
      </c>
      <c r="R1094" s="27" t="s">
        <v>4897</v>
      </c>
      <c r="S1094" s="28" t="n">
        <f aca="false">IFERROR(ISNUMBER(SEARCH("Conocer",$R1094))/(ISNUMBER(SEARCH("Conocer",$R1094))+ISNUMBER(SEARCH("Aplicar",$R1094))+ISNUMBER(SEARCH("Razonar",$R1094))),0)</f>
        <v>0</v>
      </c>
      <c r="T1094" s="28" t="n">
        <f aca="false">IFERROR(ISNUMBER(SEARCH("Aplicar",$R1094))/(ISNUMBER(SEARCH("Conocer",$R1094))+ISNUMBER(SEARCH("Aplicar",$R1094))+ISNUMBER(SEARCH("Razonar",$R1094))),0)</f>
        <v>0.5</v>
      </c>
      <c r="U1094" s="28" t="n">
        <f aca="false">IFERROR(ISNUMBER(SEARCH("Razonar",$R1094))/(ISNUMBER(SEARCH("Conocer",$R1094))+ISNUMBER(SEARCH("Aplicar",$R1094))+ISNUMBER(SEARCH("Razonar",$R1094))),0)</f>
        <v>0.5</v>
      </c>
      <c r="V1094" s="8" t="s">
        <v>385</v>
      </c>
      <c r="W1094" s="8" t="s">
        <v>4173</v>
      </c>
    </row>
    <row r="1095" customFormat="false" ht="15" hidden="false" customHeight="false" outlineLevel="0" collapsed="false">
      <c r="A1095" s="8" t="s">
        <v>4898</v>
      </c>
      <c r="B1095" s="8" t="n">
        <v>11</v>
      </c>
      <c r="C1095" s="8" t="s">
        <v>90</v>
      </c>
      <c r="D1095" s="8" t="s">
        <v>4164</v>
      </c>
      <c r="E1095" s="8" t="s">
        <v>4579</v>
      </c>
      <c r="F1095" s="8" t="n">
        <v>92</v>
      </c>
      <c r="G1095" s="8" t="s">
        <v>4888</v>
      </c>
      <c r="H1095" s="8" t="s">
        <v>4889</v>
      </c>
      <c r="I1095" s="27" t="s">
        <v>4899</v>
      </c>
      <c r="J1095" s="8" t="s">
        <v>4169</v>
      </c>
      <c r="K1095" s="8" t="s">
        <v>4170</v>
      </c>
      <c r="L1095" s="8"/>
      <c r="M1095" s="8" t="str">
        <f aca="false">IF(K1095="FUERA","Fuera del marco",IF(K1095="N/A","Sin marco",IFERROR(INDEX(Catalogo_TIMSS!$C$5:$C$105,MATCH(K1095,Catalogo_TIMSS!$A$5:$A$105,0)),"Pendiente de clasificar")))</f>
        <v>Sin marco</v>
      </c>
      <c r="N1095" s="8" t="str">
        <f aca="false">IF(K1095="FUERA","Fuera del marco",IF(K1095="N/A","Sin marco",IFERROR(INDEX(Catalogo_TIMSS!$F$5:$F$105,MATCH(K1095,Catalogo_TIMSS!$A$5:$A$105,0)),"Pendiente de clasificar")))</f>
        <v>Sin marco</v>
      </c>
      <c r="O1095" s="8" t="str">
        <f aca="false">IF(L1095="","",IFERROR(INDEX(Catalogo_TIMSS!$C$5:$C$105,MATCH(L1095,Catalogo_TIMSS!$A$5:$A$105,0)),"?"))</f>
        <v/>
      </c>
      <c r="P1095" s="8" t="s">
        <v>4170</v>
      </c>
      <c r="Q1095" s="27" t="s">
        <v>4171</v>
      </c>
      <c r="R1095" s="27" t="s">
        <v>4900</v>
      </c>
      <c r="S1095" s="28" t="n">
        <f aca="false">IFERROR(ISNUMBER(SEARCH("Conocer",$R1095))/(ISNUMBER(SEARCH("Conocer",$R1095))+ISNUMBER(SEARCH("Aplicar",$R1095))+ISNUMBER(SEARCH("Razonar",$R1095))),0)</f>
        <v>0.5</v>
      </c>
      <c r="T1095" s="28" t="n">
        <f aca="false">IFERROR(ISNUMBER(SEARCH("Aplicar",$R1095))/(ISNUMBER(SEARCH("Conocer",$R1095))+ISNUMBER(SEARCH("Aplicar",$R1095))+ISNUMBER(SEARCH("Razonar",$R1095))),0)</f>
        <v>0</v>
      </c>
      <c r="U1095" s="28" t="n">
        <f aca="false">IFERROR(ISNUMBER(SEARCH("Razonar",$R1095))/(ISNUMBER(SEARCH("Conocer",$R1095))+ISNUMBER(SEARCH("Aplicar",$R1095))+ISNUMBER(SEARCH("Razonar",$R1095))),0)</f>
        <v>0.5</v>
      </c>
      <c r="V1095" s="8" t="s">
        <v>385</v>
      </c>
      <c r="W1095" s="8" t="s">
        <v>4173</v>
      </c>
    </row>
    <row r="1096" customFormat="false" ht="15" hidden="false" customHeight="false" outlineLevel="0" collapsed="false">
      <c r="A1096" s="8" t="s">
        <v>4901</v>
      </c>
      <c r="B1096" s="8" t="n">
        <v>11</v>
      </c>
      <c r="C1096" s="8" t="s">
        <v>90</v>
      </c>
      <c r="D1096" s="8" t="s">
        <v>4164</v>
      </c>
      <c r="E1096" s="8" t="s">
        <v>4579</v>
      </c>
      <c r="F1096" s="8" t="n">
        <v>93</v>
      </c>
      <c r="G1096" s="8" t="s">
        <v>4888</v>
      </c>
      <c r="H1096" s="8" t="s">
        <v>4902</v>
      </c>
      <c r="I1096" s="27" t="s">
        <v>4903</v>
      </c>
      <c r="J1096" s="8" t="s">
        <v>4169</v>
      </c>
      <c r="K1096" s="8" t="s">
        <v>4170</v>
      </c>
      <c r="L1096" s="8"/>
      <c r="M1096" s="8" t="str">
        <f aca="false">IF(K1096="FUERA","Fuera del marco",IF(K1096="N/A","Sin marco",IFERROR(INDEX(Catalogo_TIMSS!$C$5:$C$105,MATCH(K1096,Catalogo_TIMSS!$A$5:$A$105,0)),"Pendiente de clasificar")))</f>
        <v>Sin marco</v>
      </c>
      <c r="N1096" s="8" t="str">
        <f aca="false">IF(K1096="FUERA","Fuera del marco",IF(K1096="N/A","Sin marco",IFERROR(INDEX(Catalogo_TIMSS!$F$5:$F$105,MATCH(K1096,Catalogo_TIMSS!$A$5:$A$105,0)),"Pendiente de clasificar")))</f>
        <v>Sin marco</v>
      </c>
      <c r="O1096" s="8" t="str">
        <f aca="false">IF(L1096="","",IFERROR(INDEX(Catalogo_TIMSS!$C$5:$C$105,MATCH(L1096,Catalogo_TIMSS!$A$5:$A$105,0)),"?"))</f>
        <v/>
      </c>
      <c r="P1096" s="8" t="s">
        <v>4170</v>
      </c>
      <c r="Q1096" s="27" t="s">
        <v>4171</v>
      </c>
      <c r="R1096" s="27" t="s">
        <v>4904</v>
      </c>
      <c r="S1096" s="28" t="n">
        <f aca="false">IFERROR(ISNUMBER(SEARCH("Conocer",$R1096))/(ISNUMBER(SEARCH("Conocer",$R1096))+ISNUMBER(SEARCH("Aplicar",$R1096))+ISNUMBER(SEARCH("Razonar",$R1096))),0)</f>
        <v>0</v>
      </c>
      <c r="T1096" s="28" t="n">
        <f aca="false">IFERROR(ISNUMBER(SEARCH("Aplicar",$R1096))/(ISNUMBER(SEARCH("Conocer",$R1096))+ISNUMBER(SEARCH("Aplicar",$R1096))+ISNUMBER(SEARCH("Razonar",$R1096))),0)</f>
        <v>0.5</v>
      </c>
      <c r="U1096" s="28" t="n">
        <f aca="false">IFERROR(ISNUMBER(SEARCH("Razonar",$R1096))/(ISNUMBER(SEARCH("Conocer",$R1096))+ISNUMBER(SEARCH("Aplicar",$R1096))+ISNUMBER(SEARCH("Razonar",$R1096))),0)</f>
        <v>0.5</v>
      </c>
      <c r="V1096" s="8" t="s">
        <v>385</v>
      </c>
      <c r="W1096" s="8" t="s">
        <v>4173</v>
      </c>
    </row>
    <row r="1097" customFormat="false" ht="15" hidden="false" customHeight="false" outlineLevel="0" collapsed="false">
      <c r="A1097" s="8" t="s">
        <v>4905</v>
      </c>
      <c r="B1097" s="8" t="n">
        <v>11</v>
      </c>
      <c r="C1097" s="8" t="s">
        <v>90</v>
      </c>
      <c r="D1097" s="8" t="s">
        <v>4164</v>
      </c>
      <c r="E1097" s="8" t="s">
        <v>4579</v>
      </c>
      <c r="F1097" s="8" t="n">
        <v>94</v>
      </c>
      <c r="G1097" s="8" t="s">
        <v>4888</v>
      </c>
      <c r="H1097" s="8" t="s">
        <v>4902</v>
      </c>
      <c r="I1097" s="27" t="s">
        <v>4906</v>
      </c>
      <c r="J1097" s="8" t="s">
        <v>4169</v>
      </c>
      <c r="K1097" s="8" t="s">
        <v>4170</v>
      </c>
      <c r="L1097" s="8"/>
      <c r="M1097" s="8" t="str">
        <f aca="false">IF(K1097="FUERA","Fuera del marco",IF(K1097="N/A","Sin marco",IFERROR(INDEX(Catalogo_TIMSS!$C$5:$C$105,MATCH(K1097,Catalogo_TIMSS!$A$5:$A$105,0)),"Pendiente de clasificar")))</f>
        <v>Sin marco</v>
      </c>
      <c r="N1097" s="8" t="str">
        <f aca="false">IF(K1097="FUERA","Fuera del marco",IF(K1097="N/A","Sin marco",IFERROR(INDEX(Catalogo_TIMSS!$F$5:$F$105,MATCH(K1097,Catalogo_TIMSS!$A$5:$A$105,0)),"Pendiente de clasificar")))</f>
        <v>Sin marco</v>
      </c>
      <c r="O1097" s="8" t="str">
        <f aca="false">IF(L1097="","",IFERROR(INDEX(Catalogo_TIMSS!$C$5:$C$105,MATCH(L1097,Catalogo_TIMSS!$A$5:$A$105,0)),"?"))</f>
        <v/>
      </c>
      <c r="P1097" s="8" t="s">
        <v>4170</v>
      </c>
      <c r="Q1097" s="27" t="s">
        <v>4171</v>
      </c>
      <c r="R1097" s="27" t="s">
        <v>4907</v>
      </c>
      <c r="S1097" s="28" t="n">
        <f aca="false">IFERROR(ISNUMBER(SEARCH("Conocer",$R1097))/(ISNUMBER(SEARCH("Conocer",$R1097))+ISNUMBER(SEARCH("Aplicar",$R1097))+ISNUMBER(SEARCH("Razonar",$R1097))),0)</f>
        <v>0</v>
      </c>
      <c r="T1097" s="28" t="n">
        <f aca="false">IFERROR(ISNUMBER(SEARCH("Aplicar",$R1097))/(ISNUMBER(SEARCH("Conocer",$R1097))+ISNUMBER(SEARCH("Aplicar",$R1097))+ISNUMBER(SEARCH("Razonar",$R1097))),0)</f>
        <v>0.5</v>
      </c>
      <c r="U1097" s="28" t="n">
        <f aca="false">IFERROR(ISNUMBER(SEARCH("Razonar",$R1097))/(ISNUMBER(SEARCH("Conocer",$R1097))+ISNUMBER(SEARCH("Aplicar",$R1097))+ISNUMBER(SEARCH("Razonar",$R1097))),0)</f>
        <v>0.5</v>
      </c>
      <c r="V1097" s="8" t="s">
        <v>385</v>
      </c>
      <c r="W1097" s="8" t="s">
        <v>4173</v>
      </c>
    </row>
    <row r="1098" customFormat="false" ht="15" hidden="false" customHeight="false" outlineLevel="0" collapsed="false">
      <c r="A1098" s="8" t="s">
        <v>4908</v>
      </c>
      <c r="B1098" s="8" t="n">
        <v>11</v>
      </c>
      <c r="C1098" s="8" t="s">
        <v>90</v>
      </c>
      <c r="D1098" s="8" t="s">
        <v>4164</v>
      </c>
      <c r="E1098" s="8" t="s">
        <v>4579</v>
      </c>
      <c r="F1098" s="8" t="n">
        <v>95</v>
      </c>
      <c r="G1098" s="8" t="s">
        <v>4888</v>
      </c>
      <c r="H1098" s="8" t="s">
        <v>4902</v>
      </c>
      <c r="I1098" s="27" t="s">
        <v>4909</v>
      </c>
      <c r="J1098" s="8" t="s">
        <v>4169</v>
      </c>
      <c r="K1098" s="8" t="s">
        <v>4170</v>
      </c>
      <c r="L1098" s="8"/>
      <c r="M1098" s="8" t="str">
        <f aca="false">IF(K1098="FUERA","Fuera del marco",IF(K1098="N/A","Sin marco",IFERROR(INDEX(Catalogo_TIMSS!$C$5:$C$105,MATCH(K1098,Catalogo_TIMSS!$A$5:$A$105,0)),"Pendiente de clasificar")))</f>
        <v>Sin marco</v>
      </c>
      <c r="N1098" s="8" t="str">
        <f aca="false">IF(K1098="FUERA","Fuera del marco",IF(K1098="N/A","Sin marco",IFERROR(INDEX(Catalogo_TIMSS!$F$5:$F$105,MATCH(K1098,Catalogo_TIMSS!$A$5:$A$105,0)),"Pendiente de clasificar")))</f>
        <v>Sin marco</v>
      </c>
      <c r="O1098" s="8" t="str">
        <f aca="false">IF(L1098="","",IFERROR(INDEX(Catalogo_TIMSS!$C$5:$C$105,MATCH(L1098,Catalogo_TIMSS!$A$5:$A$105,0)),"?"))</f>
        <v/>
      </c>
      <c r="P1098" s="8" t="s">
        <v>4170</v>
      </c>
      <c r="Q1098" s="27" t="s">
        <v>4171</v>
      </c>
      <c r="R1098" s="27" t="s">
        <v>4910</v>
      </c>
      <c r="S1098" s="28" t="n">
        <f aca="false">IFERROR(ISNUMBER(SEARCH("Conocer",$R1098))/(ISNUMBER(SEARCH("Conocer",$R1098))+ISNUMBER(SEARCH("Aplicar",$R1098))+ISNUMBER(SEARCH("Razonar",$R1098))),0)</f>
        <v>0.333333333333333</v>
      </c>
      <c r="T1098" s="28" t="n">
        <f aca="false">IFERROR(ISNUMBER(SEARCH("Aplicar",$R1098))/(ISNUMBER(SEARCH("Conocer",$R1098))+ISNUMBER(SEARCH("Aplicar",$R1098))+ISNUMBER(SEARCH("Razonar",$R1098))),0)</f>
        <v>0.333333333333333</v>
      </c>
      <c r="U1098" s="28" t="n">
        <f aca="false">IFERROR(ISNUMBER(SEARCH("Razonar",$R1098))/(ISNUMBER(SEARCH("Conocer",$R1098))+ISNUMBER(SEARCH("Aplicar",$R1098))+ISNUMBER(SEARCH("Razonar",$R1098))),0)</f>
        <v>0.333333333333333</v>
      </c>
      <c r="V1098" s="8" t="s">
        <v>385</v>
      </c>
      <c r="W1098" s="8" t="s">
        <v>4173</v>
      </c>
    </row>
    <row r="1099" customFormat="false" ht="15" hidden="false" customHeight="false" outlineLevel="0" collapsed="false">
      <c r="A1099" s="8" t="s">
        <v>4911</v>
      </c>
      <c r="B1099" s="8" t="n">
        <v>11</v>
      </c>
      <c r="C1099" s="8" t="s">
        <v>90</v>
      </c>
      <c r="D1099" s="8" t="s">
        <v>4164</v>
      </c>
      <c r="E1099" s="8" t="s">
        <v>4579</v>
      </c>
      <c r="F1099" s="8" t="n">
        <v>96</v>
      </c>
      <c r="G1099" s="8" t="s">
        <v>4912</v>
      </c>
      <c r="H1099" s="8" t="s">
        <v>4913</v>
      </c>
      <c r="I1099" s="27" t="s">
        <v>4914</v>
      </c>
      <c r="J1099" s="8" t="s">
        <v>4169</v>
      </c>
      <c r="K1099" s="8" t="s">
        <v>4170</v>
      </c>
      <c r="L1099" s="8"/>
      <c r="M1099" s="8" t="str">
        <f aca="false">IF(K1099="FUERA","Fuera del marco",IF(K1099="N/A","Sin marco",IFERROR(INDEX(Catalogo_TIMSS!$C$5:$C$105,MATCH(K1099,Catalogo_TIMSS!$A$5:$A$105,0)),"Pendiente de clasificar")))</f>
        <v>Sin marco</v>
      </c>
      <c r="N1099" s="8" t="str">
        <f aca="false">IF(K1099="FUERA","Fuera del marco",IF(K1099="N/A","Sin marco",IFERROR(INDEX(Catalogo_TIMSS!$F$5:$F$105,MATCH(K1099,Catalogo_TIMSS!$A$5:$A$105,0)),"Pendiente de clasificar")))</f>
        <v>Sin marco</v>
      </c>
      <c r="O1099" s="8" t="str">
        <f aca="false">IF(L1099="","",IFERROR(INDEX(Catalogo_TIMSS!$C$5:$C$105,MATCH(L1099,Catalogo_TIMSS!$A$5:$A$105,0)),"?"))</f>
        <v/>
      </c>
      <c r="P1099" s="8" t="s">
        <v>4170</v>
      </c>
      <c r="Q1099" s="27" t="s">
        <v>4171</v>
      </c>
      <c r="R1099" s="27" t="s">
        <v>4915</v>
      </c>
      <c r="S1099" s="28" t="n">
        <f aca="false">IFERROR(ISNUMBER(SEARCH("Conocer",$R1099))/(ISNUMBER(SEARCH("Conocer",$R1099))+ISNUMBER(SEARCH("Aplicar",$R1099))+ISNUMBER(SEARCH("Razonar",$R1099))),0)</f>
        <v>0</v>
      </c>
      <c r="T1099" s="28" t="n">
        <f aca="false">IFERROR(ISNUMBER(SEARCH("Aplicar",$R1099))/(ISNUMBER(SEARCH("Conocer",$R1099))+ISNUMBER(SEARCH("Aplicar",$R1099))+ISNUMBER(SEARCH("Razonar",$R1099))),0)</f>
        <v>0.5</v>
      </c>
      <c r="U1099" s="28" t="n">
        <f aca="false">IFERROR(ISNUMBER(SEARCH("Razonar",$R1099))/(ISNUMBER(SEARCH("Conocer",$R1099))+ISNUMBER(SEARCH("Aplicar",$R1099))+ISNUMBER(SEARCH("Razonar",$R1099))),0)</f>
        <v>0.5</v>
      </c>
      <c r="V1099" s="8" t="s">
        <v>385</v>
      </c>
      <c r="W1099" s="8" t="s">
        <v>4173</v>
      </c>
    </row>
    <row r="1100" customFormat="false" ht="15" hidden="false" customHeight="false" outlineLevel="0" collapsed="false">
      <c r="A1100" s="8" t="s">
        <v>4916</v>
      </c>
      <c r="B1100" s="8" t="n">
        <v>11</v>
      </c>
      <c r="C1100" s="8" t="s">
        <v>90</v>
      </c>
      <c r="D1100" s="8" t="s">
        <v>4164</v>
      </c>
      <c r="E1100" s="8" t="s">
        <v>4579</v>
      </c>
      <c r="F1100" s="8" t="n">
        <v>97</v>
      </c>
      <c r="G1100" s="8" t="s">
        <v>4912</v>
      </c>
      <c r="H1100" s="8" t="s">
        <v>4917</v>
      </c>
      <c r="I1100" s="27" t="s">
        <v>4918</v>
      </c>
      <c r="J1100" s="8" t="s">
        <v>4169</v>
      </c>
      <c r="K1100" s="8" t="s">
        <v>4170</v>
      </c>
      <c r="L1100" s="8"/>
      <c r="M1100" s="8" t="str">
        <f aca="false">IF(K1100="FUERA","Fuera del marco",IF(K1100="N/A","Sin marco",IFERROR(INDEX(Catalogo_TIMSS!$C$5:$C$105,MATCH(K1100,Catalogo_TIMSS!$A$5:$A$105,0)),"Pendiente de clasificar")))</f>
        <v>Sin marco</v>
      </c>
      <c r="N1100" s="8" t="str">
        <f aca="false">IF(K1100="FUERA","Fuera del marco",IF(K1100="N/A","Sin marco",IFERROR(INDEX(Catalogo_TIMSS!$F$5:$F$105,MATCH(K1100,Catalogo_TIMSS!$A$5:$A$105,0)),"Pendiente de clasificar")))</f>
        <v>Sin marco</v>
      </c>
      <c r="O1100" s="8" t="str">
        <f aca="false">IF(L1100="","",IFERROR(INDEX(Catalogo_TIMSS!$C$5:$C$105,MATCH(L1100,Catalogo_TIMSS!$A$5:$A$105,0)),"?"))</f>
        <v/>
      </c>
      <c r="P1100" s="8" t="s">
        <v>4170</v>
      </c>
      <c r="Q1100" s="27" t="s">
        <v>4171</v>
      </c>
      <c r="R1100" s="27" t="s">
        <v>4919</v>
      </c>
      <c r="S1100" s="28" t="n">
        <f aca="false">IFERROR(ISNUMBER(SEARCH("Conocer",$R1100))/(ISNUMBER(SEARCH("Conocer",$R1100))+ISNUMBER(SEARCH("Aplicar",$R1100))+ISNUMBER(SEARCH("Razonar",$R1100))),0)</f>
        <v>0</v>
      </c>
      <c r="T1100" s="28" t="n">
        <f aca="false">IFERROR(ISNUMBER(SEARCH("Aplicar",$R1100))/(ISNUMBER(SEARCH("Conocer",$R1100))+ISNUMBER(SEARCH("Aplicar",$R1100))+ISNUMBER(SEARCH("Razonar",$R1100))),0)</f>
        <v>0.5</v>
      </c>
      <c r="U1100" s="28" t="n">
        <f aca="false">IFERROR(ISNUMBER(SEARCH("Razonar",$R1100))/(ISNUMBER(SEARCH("Conocer",$R1100))+ISNUMBER(SEARCH("Aplicar",$R1100))+ISNUMBER(SEARCH("Razonar",$R1100))),0)</f>
        <v>0.5</v>
      </c>
      <c r="V1100" s="8" t="s">
        <v>385</v>
      </c>
      <c r="W1100" s="8" t="s">
        <v>4173</v>
      </c>
    </row>
    <row r="1101" customFormat="false" ht="15" hidden="false" customHeight="false" outlineLevel="0" collapsed="false">
      <c r="A1101" s="8" t="s">
        <v>4920</v>
      </c>
      <c r="B1101" s="8" t="n">
        <v>11</v>
      </c>
      <c r="C1101" s="8" t="s">
        <v>90</v>
      </c>
      <c r="D1101" s="8" t="s">
        <v>4164</v>
      </c>
      <c r="E1101" s="8" t="s">
        <v>4579</v>
      </c>
      <c r="F1101" s="8" t="n">
        <v>98</v>
      </c>
      <c r="G1101" s="8" t="s">
        <v>4912</v>
      </c>
      <c r="H1101" s="8" t="s">
        <v>4917</v>
      </c>
      <c r="I1101" s="27" t="s">
        <v>4921</v>
      </c>
      <c r="J1101" s="8" t="s">
        <v>4169</v>
      </c>
      <c r="K1101" s="8" t="s">
        <v>4170</v>
      </c>
      <c r="L1101" s="8"/>
      <c r="M1101" s="8" t="str">
        <f aca="false">IF(K1101="FUERA","Fuera del marco",IF(K1101="N/A","Sin marco",IFERROR(INDEX(Catalogo_TIMSS!$C$5:$C$105,MATCH(K1101,Catalogo_TIMSS!$A$5:$A$105,0)),"Pendiente de clasificar")))</f>
        <v>Sin marco</v>
      </c>
      <c r="N1101" s="8" t="str">
        <f aca="false">IF(K1101="FUERA","Fuera del marco",IF(K1101="N/A","Sin marco",IFERROR(INDEX(Catalogo_TIMSS!$F$5:$F$105,MATCH(K1101,Catalogo_TIMSS!$A$5:$A$105,0)),"Pendiente de clasificar")))</f>
        <v>Sin marco</v>
      </c>
      <c r="O1101" s="8" t="str">
        <f aca="false">IF(L1101="","",IFERROR(INDEX(Catalogo_TIMSS!$C$5:$C$105,MATCH(L1101,Catalogo_TIMSS!$A$5:$A$105,0)),"?"))</f>
        <v/>
      </c>
      <c r="P1101" s="8" t="s">
        <v>4170</v>
      </c>
      <c r="Q1101" s="27" t="s">
        <v>4171</v>
      </c>
      <c r="R1101" s="27" t="s">
        <v>4922</v>
      </c>
      <c r="S1101" s="28" t="n">
        <f aca="false">IFERROR(ISNUMBER(SEARCH("Conocer",$R1101))/(ISNUMBER(SEARCH("Conocer",$R1101))+ISNUMBER(SEARCH("Aplicar",$R1101))+ISNUMBER(SEARCH("Razonar",$R1101))),0)</f>
        <v>0</v>
      </c>
      <c r="T1101" s="28" t="n">
        <f aca="false">IFERROR(ISNUMBER(SEARCH("Aplicar",$R1101))/(ISNUMBER(SEARCH("Conocer",$R1101))+ISNUMBER(SEARCH("Aplicar",$R1101))+ISNUMBER(SEARCH("Razonar",$R1101))),0)</f>
        <v>0.5</v>
      </c>
      <c r="U1101" s="28" t="n">
        <f aca="false">IFERROR(ISNUMBER(SEARCH("Razonar",$R1101))/(ISNUMBER(SEARCH("Conocer",$R1101))+ISNUMBER(SEARCH("Aplicar",$R1101))+ISNUMBER(SEARCH("Razonar",$R1101))),0)</f>
        <v>0.5</v>
      </c>
      <c r="V1101" s="8" t="s">
        <v>385</v>
      </c>
      <c r="W1101" s="8" t="s">
        <v>4173</v>
      </c>
    </row>
    <row r="1102" customFormat="false" ht="15" hidden="false" customHeight="false" outlineLevel="0" collapsed="false">
      <c r="A1102" s="8" t="s">
        <v>4923</v>
      </c>
      <c r="B1102" s="8" t="n">
        <v>11</v>
      </c>
      <c r="C1102" s="8" t="s">
        <v>90</v>
      </c>
      <c r="D1102" s="8" t="s">
        <v>4164</v>
      </c>
      <c r="E1102" s="8" t="s">
        <v>4579</v>
      </c>
      <c r="F1102" s="8" t="n">
        <v>99</v>
      </c>
      <c r="G1102" s="8" t="s">
        <v>4912</v>
      </c>
      <c r="H1102" s="8" t="s">
        <v>4924</v>
      </c>
      <c r="I1102" s="27" t="s">
        <v>4925</v>
      </c>
      <c r="J1102" s="8" t="s">
        <v>4169</v>
      </c>
      <c r="K1102" s="8" t="s">
        <v>4170</v>
      </c>
      <c r="L1102" s="8"/>
      <c r="M1102" s="8" t="str">
        <f aca="false">IF(K1102="FUERA","Fuera del marco",IF(K1102="N/A","Sin marco",IFERROR(INDEX(Catalogo_TIMSS!$C$5:$C$105,MATCH(K1102,Catalogo_TIMSS!$A$5:$A$105,0)),"Pendiente de clasificar")))</f>
        <v>Sin marco</v>
      </c>
      <c r="N1102" s="8" t="str">
        <f aca="false">IF(K1102="FUERA","Fuera del marco",IF(K1102="N/A","Sin marco",IFERROR(INDEX(Catalogo_TIMSS!$F$5:$F$105,MATCH(K1102,Catalogo_TIMSS!$A$5:$A$105,0)),"Pendiente de clasificar")))</f>
        <v>Sin marco</v>
      </c>
      <c r="O1102" s="8" t="str">
        <f aca="false">IF(L1102="","",IFERROR(INDEX(Catalogo_TIMSS!$C$5:$C$105,MATCH(L1102,Catalogo_TIMSS!$A$5:$A$105,0)),"?"))</f>
        <v/>
      </c>
      <c r="P1102" s="8" t="s">
        <v>4170</v>
      </c>
      <c r="Q1102" s="27" t="s">
        <v>4171</v>
      </c>
      <c r="R1102" s="27" t="s">
        <v>4926</v>
      </c>
      <c r="S1102" s="28" t="n">
        <f aca="false">IFERROR(ISNUMBER(SEARCH("Conocer",$R1102))/(ISNUMBER(SEARCH("Conocer",$R1102))+ISNUMBER(SEARCH("Aplicar",$R1102))+ISNUMBER(SEARCH("Razonar",$R1102))),0)</f>
        <v>0</v>
      </c>
      <c r="T1102" s="28" t="n">
        <f aca="false">IFERROR(ISNUMBER(SEARCH("Aplicar",$R1102))/(ISNUMBER(SEARCH("Conocer",$R1102))+ISNUMBER(SEARCH("Aplicar",$R1102))+ISNUMBER(SEARCH("Razonar",$R1102))),0)</f>
        <v>0.5</v>
      </c>
      <c r="U1102" s="28" t="n">
        <f aca="false">IFERROR(ISNUMBER(SEARCH("Razonar",$R1102))/(ISNUMBER(SEARCH("Conocer",$R1102))+ISNUMBER(SEARCH("Aplicar",$R1102))+ISNUMBER(SEARCH("Razonar",$R1102))),0)</f>
        <v>0.5</v>
      </c>
      <c r="V1102" s="8" t="s">
        <v>385</v>
      </c>
      <c r="W1102" s="8" t="s">
        <v>4173</v>
      </c>
    </row>
    <row r="1103" customFormat="false" ht="15" hidden="false" customHeight="false" outlineLevel="0" collapsed="false">
      <c r="A1103" s="8" t="s">
        <v>4927</v>
      </c>
      <c r="B1103" s="8" t="n">
        <v>10</v>
      </c>
      <c r="C1103" s="8" t="s">
        <v>89</v>
      </c>
      <c r="D1103" s="8" t="s">
        <v>4928</v>
      </c>
      <c r="E1103" s="8" t="s">
        <v>4929</v>
      </c>
      <c r="F1103" s="8" t="n">
        <v>3</v>
      </c>
      <c r="G1103" s="8" t="s">
        <v>4930</v>
      </c>
      <c r="H1103" s="8" t="s">
        <v>4931</v>
      </c>
      <c r="I1103" s="27" t="s">
        <v>4932</v>
      </c>
      <c r="J1103" s="8" t="s">
        <v>4169</v>
      </c>
      <c r="K1103" s="8" t="s">
        <v>4170</v>
      </c>
      <c r="L1103" s="8"/>
      <c r="M1103" s="8" t="str">
        <f aca="false">IF(K1103="FUERA","Fuera del marco",IF(K1103="N/A","Sin marco",IFERROR(INDEX(Catalogo_TIMSS!$C$5:$C$105,MATCH(K1103,Catalogo_TIMSS!$A$5:$A$105,0)),"Pendiente de clasificar")))</f>
        <v>Sin marco</v>
      </c>
      <c r="N1103" s="8" t="str">
        <f aca="false">IF(K1103="FUERA","Fuera del marco",IF(K1103="N/A","Sin marco",IFERROR(INDEX(Catalogo_TIMSS!$F$5:$F$105,MATCH(K1103,Catalogo_TIMSS!$A$5:$A$105,0)),"Pendiente de clasificar")))</f>
        <v>Sin marco</v>
      </c>
      <c r="O1103" s="8" t="str">
        <f aca="false">IF(L1103="","",IFERROR(INDEX(Catalogo_TIMSS!$C$5:$C$105,MATCH(L1103,Catalogo_TIMSS!$A$5:$A$105,0)),"?"))</f>
        <v/>
      </c>
      <c r="P1103" s="8" t="s">
        <v>4170</v>
      </c>
      <c r="Q1103" s="27" t="s">
        <v>4171</v>
      </c>
      <c r="R1103" s="27" t="s">
        <v>4933</v>
      </c>
      <c r="S1103" s="28" t="n">
        <f aca="false">IFERROR(ISNUMBER(SEARCH("Conocer",$R1103))/(ISNUMBER(SEARCH("Conocer",$R1103))+ISNUMBER(SEARCH("Aplicar",$R1103))+ISNUMBER(SEARCH("Razonar",$R1103))),0)</f>
        <v>0.333333333333333</v>
      </c>
      <c r="T1103" s="28" t="n">
        <f aca="false">IFERROR(ISNUMBER(SEARCH("Aplicar",$R1103))/(ISNUMBER(SEARCH("Conocer",$R1103))+ISNUMBER(SEARCH("Aplicar",$R1103))+ISNUMBER(SEARCH("Razonar",$R1103))),0)</f>
        <v>0.333333333333333</v>
      </c>
      <c r="U1103" s="28" t="n">
        <f aca="false">IFERROR(ISNUMBER(SEARCH("Razonar",$R1103))/(ISNUMBER(SEARCH("Conocer",$R1103))+ISNUMBER(SEARCH("Aplicar",$R1103))+ISNUMBER(SEARCH("Razonar",$R1103))),0)</f>
        <v>0.333333333333333</v>
      </c>
      <c r="V1103" s="8" t="s">
        <v>386</v>
      </c>
      <c r="W1103" s="8" t="s">
        <v>4934</v>
      </c>
    </row>
    <row r="1104" customFormat="false" ht="15" hidden="false" customHeight="false" outlineLevel="0" collapsed="false">
      <c r="A1104" s="8" t="s">
        <v>4935</v>
      </c>
      <c r="B1104" s="8" t="n">
        <v>10</v>
      </c>
      <c r="C1104" s="8" t="s">
        <v>89</v>
      </c>
      <c r="D1104" s="8" t="s">
        <v>4928</v>
      </c>
      <c r="E1104" s="8" t="s">
        <v>4929</v>
      </c>
      <c r="F1104" s="8" t="n">
        <v>4</v>
      </c>
      <c r="G1104" s="8" t="s">
        <v>4930</v>
      </c>
      <c r="H1104" s="8" t="s">
        <v>4931</v>
      </c>
      <c r="I1104" s="27" t="s">
        <v>4936</v>
      </c>
      <c r="J1104" s="8" t="s">
        <v>4169</v>
      </c>
      <c r="K1104" s="8" t="s">
        <v>4170</v>
      </c>
      <c r="L1104" s="8"/>
      <c r="M1104" s="8" t="str">
        <f aca="false">IF(K1104="FUERA","Fuera del marco",IF(K1104="N/A","Sin marco",IFERROR(INDEX(Catalogo_TIMSS!$C$5:$C$105,MATCH(K1104,Catalogo_TIMSS!$A$5:$A$105,0)),"Pendiente de clasificar")))</f>
        <v>Sin marco</v>
      </c>
      <c r="N1104" s="8" t="str">
        <f aca="false">IF(K1104="FUERA","Fuera del marco",IF(K1104="N/A","Sin marco",IFERROR(INDEX(Catalogo_TIMSS!$F$5:$F$105,MATCH(K1104,Catalogo_TIMSS!$A$5:$A$105,0)),"Pendiente de clasificar")))</f>
        <v>Sin marco</v>
      </c>
      <c r="O1104" s="8" t="str">
        <f aca="false">IF(L1104="","",IFERROR(INDEX(Catalogo_TIMSS!$C$5:$C$105,MATCH(L1104,Catalogo_TIMSS!$A$5:$A$105,0)),"?"))</f>
        <v/>
      </c>
      <c r="P1104" s="8" t="s">
        <v>4170</v>
      </c>
      <c r="Q1104" s="27" t="s">
        <v>4171</v>
      </c>
      <c r="R1104" s="27" t="s">
        <v>4937</v>
      </c>
      <c r="S1104" s="28" t="n">
        <f aca="false">IFERROR(ISNUMBER(SEARCH("Conocer",$R1104))/(ISNUMBER(SEARCH("Conocer",$R1104))+ISNUMBER(SEARCH("Aplicar",$R1104))+ISNUMBER(SEARCH("Razonar",$R1104))),0)</f>
        <v>0</v>
      </c>
      <c r="T1104" s="28" t="n">
        <f aca="false">IFERROR(ISNUMBER(SEARCH("Aplicar",$R1104))/(ISNUMBER(SEARCH("Conocer",$R1104))+ISNUMBER(SEARCH("Aplicar",$R1104))+ISNUMBER(SEARCH("Razonar",$R1104))),0)</f>
        <v>0.5</v>
      </c>
      <c r="U1104" s="28" t="n">
        <f aca="false">IFERROR(ISNUMBER(SEARCH("Razonar",$R1104))/(ISNUMBER(SEARCH("Conocer",$R1104))+ISNUMBER(SEARCH("Aplicar",$R1104))+ISNUMBER(SEARCH("Razonar",$R1104))),0)</f>
        <v>0.5</v>
      </c>
      <c r="V1104" s="8" t="s">
        <v>386</v>
      </c>
      <c r="W1104" s="8" t="s">
        <v>4934</v>
      </c>
    </row>
    <row r="1105" customFormat="false" ht="15" hidden="false" customHeight="false" outlineLevel="0" collapsed="false">
      <c r="A1105" s="8" t="s">
        <v>4938</v>
      </c>
      <c r="B1105" s="8" t="n">
        <v>10</v>
      </c>
      <c r="C1105" s="8" t="s">
        <v>89</v>
      </c>
      <c r="D1105" s="8" t="s">
        <v>4928</v>
      </c>
      <c r="E1105" s="8" t="s">
        <v>4929</v>
      </c>
      <c r="F1105" s="8" t="n">
        <v>5</v>
      </c>
      <c r="G1105" s="8" t="s">
        <v>4930</v>
      </c>
      <c r="H1105" s="8" t="s">
        <v>4931</v>
      </c>
      <c r="I1105" s="27" t="s">
        <v>4939</v>
      </c>
      <c r="J1105" s="8" t="s">
        <v>4169</v>
      </c>
      <c r="K1105" s="8" t="s">
        <v>4170</v>
      </c>
      <c r="L1105" s="8"/>
      <c r="M1105" s="8" t="str">
        <f aca="false">IF(K1105="FUERA","Fuera del marco",IF(K1105="N/A","Sin marco",IFERROR(INDEX(Catalogo_TIMSS!$C$5:$C$105,MATCH(K1105,Catalogo_TIMSS!$A$5:$A$105,0)),"Pendiente de clasificar")))</f>
        <v>Sin marco</v>
      </c>
      <c r="N1105" s="8" t="str">
        <f aca="false">IF(K1105="FUERA","Fuera del marco",IF(K1105="N/A","Sin marco",IFERROR(INDEX(Catalogo_TIMSS!$F$5:$F$105,MATCH(K1105,Catalogo_TIMSS!$A$5:$A$105,0)),"Pendiente de clasificar")))</f>
        <v>Sin marco</v>
      </c>
      <c r="O1105" s="8" t="str">
        <f aca="false">IF(L1105="","",IFERROR(INDEX(Catalogo_TIMSS!$C$5:$C$105,MATCH(L1105,Catalogo_TIMSS!$A$5:$A$105,0)),"?"))</f>
        <v/>
      </c>
      <c r="P1105" s="8" t="s">
        <v>4170</v>
      </c>
      <c r="Q1105" s="27" t="s">
        <v>4171</v>
      </c>
      <c r="R1105" s="27" t="s">
        <v>4940</v>
      </c>
      <c r="S1105" s="28" t="n">
        <f aca="false">IFERROR(ISNUMBER(SEARCH("Conocer",$R1105))/(ISNUMBER(SEARCH("Conocer",$R1105))+ISNUMBER(SEARCH("Aplicar",$R1105))+ISNUMBER(SEARCH("Razonar",$R1105))),0)</f>
        <v>0</v>
      </c>
      <c r="T1105" s="28" t="n">
        <f aca="false">IFERROR(ISNUMBER(SEARCH("Aplicar",$R1105))/(ISNUMBER(SEARCH("Conocer",$R1105))+ISNUMBER(SEARCH("Aplicar",$R1105))+ISNUMBER(SEARCH("Razonar",$R1105))),0)</f>
        <v>0.5</v>
      </c>
      <c r="U1105" s="28" t="n">
        <f aca="false">IFERROR(ISNUMBER(SEARCH("Razonar",$R1105))/(ISNUMBER(SEARCH("Conocer",$R1105))+ISNUMBER(SEARCH("Aplicar",$R1105))+ISNUMBER(SEARCH("Razonar",$R1105))),0)</f>
        <v>0.5</v>
      </c>
      <c r="V1105" s="8" t="s">
        <v>386</v>
      </c>
      <c r="W1105" s="8" t="s">
        <v>4934</v>
      </c>
    </row>
    <row r="1106" customFormat="false" ht="15" hidden="false" customHeight="false" outlineLevel="0" collapsed="false">
      <c r="A1106" s="8" t="s">
        <v>4941</v>
      </c>
      <c r="B1106" s="8" t="n">
        <v>10</v>
      </c>
      <c r="C1106" s="8" t="s">
        <v>89</v>
      </c>
      <c r="D1106" s="8" t="s">
        <v>4928</v>
      </c>
      <c r="E1106" s="8" t="s">
        <v>4929</v>
      </c>
      <c r="F1106" s="8" t="n">
        <v>6</v>
      </c>
      <c r="G1106" s="8" t="s">
        <v>4930</v>
      </c>
      <c r="H1106" s="8" t="s">
        <v>4942</v>
      </c>
      <c r="I1106" s="27" t="s">
        <v>4943</v>
      </c>
      <c r="J1106" s="8" t="s">
        <v>4169</v>
      </c>
      <c r="K1106" s="8" t="s">
        <v>4170</v>
      </c>
      <c r="L1106" s="8"/>
      <c r="M1106" s="8" t="str">
        <f aca="false">IF(K1106="FUERA","Fuera del marco",IF(K1106="N/A","Sin marco",IFERROR(INDEX(Catalogo_TIMSS!$C$5:$C$105,MATCH(K1106,Catalogo_TIMSS!$A$5:$A$105,0)),"Pendiente de clasificar")))</f>
        <v>Sin marco</v>
      </c>
      <c r="N1106" s="8" t="str">
        <f aca="false">IF(K1106="FUERA","Fuera del marco",IF(K1106="N/A","Sin marco",IFERROR(INDEX(Catalogo_TIMSS!$F$5:$F$105,MATCH(K1106,Catalogo_TIMSS!$A$5:$A$105,0)),"Pendiente de clasificar")))</f>
        <v>Sin marco</v>
      </c>
      <c r="O1106" s="8" t="str">
        <f aca="false">IF(L1106="","",IFERROR(INDEX(Catalogo_TIMSS!$C$5:$C$105,MATCH(L1106,Catalogo_TIMSS!$A$5:$A$105,0)),"?"))</f>
        <v/>
      </c>
      <c r="P1106" s="8" t="s">
        <v>4170</v>
      </c>
      <c r="Q1106" s="27" t="s">
        <v>4171</v>
      </c>
      <c r="R1106" s="27" t="s">
        <v>4944</v>
      </c>
      <c r="S1106" s="28" t="n">
        <f aca="false">IFERROR(ISNUMBER(SEARCH("Conocer",$R1106))/(ISNUMBER(SEARCH("Conocer",$R1106))+ISNUMBER(SEARCH("Aplicar",$R1106))+ISNUMBER(SEARCH("Razonar",$R1106))),0)</f>
        <v>0.333333333333333</v>
      </c>
      <c r="T1106" s="28" t="n">
        <f aca="false">IFERROR(ISNUMBER(SEARCH("Aplicar",$R1106))/(ISNUMBER(SEARCH("Conocer",$R1106))+ISNUMBER(SEARCH("Aplicar",$R1106))+ISNUMBER(SEARCH("Razonar",$R1106))),0)</f>
        <v>0.333333333333333</v>
      </c>
      <c r="U1106" s="28" t="n">
        <f aca="false">IFERROR(ISNUMBER(SEARCH("Razonar",$R1106))/(ISNUMBER(SEARCH("Conocer",$R1106))+ISNUMBER(SEARCH("Aplicar",$R1106))+ISNUMBER(SEARCH("Razonar",$R1106))),0)</f>
        <v>0.333333333333333</v>
      </c>
      <c r="V1106" s="8" t="s">
        <v>386</v>
      </c>
      <c r="W1106" s="8" t="s">
        <v>4934</v>
      </c>
    </row>
    <row r="1107" customFormat="false" ht="15" hidden="false" customHeight="false" outlineLevel="0" collapsed="false">
      <c r="A1107" s="8" t="s">
        <v>4945</v>
      </c>
      <c r="B1107" s="8" t="n">
        <v>10</v>
      </c>
      <c r="C1107" s="8" t="s">
        <v>89</v>
      </c>
      <c r="D1107" s="8" t="s">
        <v>4928</v>
      </c>
      <c r="E1107" s="8" t="s">
        <v>4929</v>
      </c>
      <c r="F1107" s="8" t="n">
        <v>7</v>
      </c>
      <c r="G1107" s="8" t="s">
        <v>4930</v>
      </c>
      <c r="H1107" s="8" t="s">
        <v>4942</v>
      </c>
      <c r="I1107" s="27" t="s">
        <v>4946</v>
      </c>
      <c r="J1107" s="8" t="s">
        <v>4169</v>
      </c>
      <c r="K1107" s="8" t="s">
        <v>4170</v>
      </c>
      <c r="L1107" s="8"/>
      <c r="M1107" s="8" t="str">
        <f aca="false">IF(K1107="FUERA","Fuera del marco",IF(K1107="N/A","Sin marco",IFERROR(INDEX(Catalogo_TIMSS!$C$5:$C$105,MATCH(K1107,Catalogo_TIMSS!$A$5:$A$105,0)),"Pendiente de clasificar")))</f>
        <v>Sin marco</v>
      </c>
      <c r="N1107" s="8" t="str">
        <f aca="false">IF(K1107="FUERA","Fuera del marco",IF(K1107="N/A","Sin marco",IFERROR(INDEX(Catalogo_TIMSS!$F$5:$F$105,MATCH(K1107,Catalogo_TIMSS!$A$5:$A$105,0)),"Pendiente de clasificar")))</f>
        <v>Sin marco</v>
      </c>
      <c r="O1107" s="8" t="str">
        <f aca="false">IF(L1107="","",IFERROR(INDEX(Catalogo_TIMSS!$C$5:$C$105,MATCH(L1107,Catalogo_TIMSS!$A$5:$A$105,0)),"?"))</f>
        <v/>
      </c>
      <c r="P1107" s="8" t="s">
        <v>4170</v>
      </c>
      <c r="Q1107" s="27" t="s">
        <v>4171</v>
      </c>
      <c r="R1107" s="27" t="s">
        <v>4947</v>
      </c>
      <c r="S1107" s="28" t="n">
        <f aca="false">IFERROR(ISNUMBER(SEARCH("Conocer",$R1107))/(ISNUMBER(SEARCH("Conocer",$R1107))+ISNUMBER(SEARCH("Aplicar",$R1107))+ISNUMBER(SEARCH("Razonar",$R1107))),0)</f>
        <v>0</v>
      </c>
      <c r="T1107" s="28" t="n">
        <f aca="false">IFERROR(ISNUMBER(SEARCH("Aplicar",$R1107))/(ISNUMBER(SEARCH("Conocer",$R1107))+ISNUMBER(SEARCH("Aplicar",$R1107))+ISNUMBER(SEARCH("Razonar",$R1107))),0)</f>
        <v>0.5</v>
      </c>
      <c r="U1107" s="28" t="n">
        <f aca="false">IFERROR(ISNUMBER(SEARCH("Razonar",$R1107))/(ISNUMBER(SEARCH("Conocer",$R1107))+ISNUMBER(SEARCH("Aplicar",$R1107))+ISNUMBER(SEARCH("Razonar",$R1107))),0)</f>
        <v>0.5</v>
      </c>
      <c r="V1107" s="8" t="s">
        <v>386</v>
      </c>
      <c r="W1107" s="8" t="s">
        <v>4934</v>
      </c>
    </row>
    <row r="1108" customFormat="false" ht="15" hidden="false" customHeight="false" outlineLevel="0" collapsed="false">
      <c r="A1108" s="8" t="s">
        <v>4948</v>
      </c>
      <c r="B1108" s="8" t="n">
        <v>10</v>
      </c>
      <c r="C1108" s="8" t="s">
        <v>89</v>
      </c>
      <c r="D1108" s="8" t="s">
        <v>4928</v>
      </c>
      <c r="E1108" s="8" t="s">
        <v>4929</v>
      </c>
      <c r="F1108" s="8" t="n">
        <v>8</v>
      </c>
      <c r="G1108" s="8" t="s">
        <v>4930</v>
      </c>
      <c r="H1108" s="8" t="s">
        <v>4942</v>
      </c>
      <c r="I1108" s="27" t="s">
        <v>4949</v>
      </c>
      <c r="J1108" s="8" t="s">
        <v>4169</v>
      </c>
      <c r="K1108" s="8" t="s">
        <v>4170</v>
      </c>
      <c r="L1108" s="8"/>
      <c r="M1108" s="8" t="str">
        <f aca="false">IF(K1108="FUERA","Fuera del marco",IF(K1108="N/A","Sin marco",IFERROR(INDEX(Catalogo_TIMSS!$C$5:$C$105,MATCH(K1108,Catalogo_TIMSS!$A$5:$A$105,0)),"Pendiente de clasificar")))</f>
        <v>Sin marco</v>
      </c>
      <c r="N1108" s="8" t="str">
        <f aca="false">IF(K1108="FUERA","Fuera del marco",IF(K1108="N/A","Sin marco",IFERROR(INDEX(Catalogo_TIMSS!$F$5:$F$105,MATCH(K1108,Catalogo_TIMSS!$A$5:$A$105,0)),"Pendiente de clasificar")))</f>
        <v>Sin marco</v>
      </c>
      <c r="O1108" s="8" t="str">
        <f aca="false">IF(L1108="","",IFERROR(INDEX(Catalogo_TIMSS!$C$5:$C$105,MATCH(L1108,Catalogo_TIMSS!$A$5:$A$105,0)),"?"))</f>
        <v/>
      </c>
      <c r="P1108" s="8" t="s">
        <v>4170</v>
      </c>
      <c r="Q1108" s="27" t="s">
        <v>4171</v>
      </c>
      <c r="R1108" s="27" t="s">
        <v>4950</v>
      </c>
      <c r="S1108" s="28" t="n">
        <f aca="false">IFERROR(ISNUMBER(SEARCH("Conocer",$R1108))/(ISNUMBER(SEARCH("Conocer",$R1108))+ISNUMBER(SEARCH("Aplicar",$R1108))+ISNUMBER(SEARCH("Razonar",$R1108))),0)</f>
        <v>0</v>
      </c>
      <c r="T1108" s="28" t="n">
        <f aca="false">IFERROR(ISNUMBER(SEARCH("Aplicar",$R1108))/(ISNUMBER(SEARCH("Conocer",$R1108))+ISNUMBER(SEARCH("Aplicar",$R1108))+ISNUMBER(SEARCH("Razonar",$R1108))),0)</f>
        <v>0.5</v>
      </c>
      <c r="U1108" s="28" t="n">
        <f aca="false">IFERROR(ISNUMBER(SEARCH("Razonar",$R1108))/(ISNUMBER(SEARCH("Conocer",$R1108))+ISNUMBER(SEARCH("Aplicar",$R1108))+ISNUMBER(SEARCH("Razonar",$R1108))),0)</f>
        <v>0.5</v>
      </c>
      <c r="V1108" s="8" t="s">
        <v>386</v>
      </c>
      <c r="W1108" s="8" t="s">
        <v>4934</v>
      </c>
    </row>
    <row r="1109" customFormat="false" ht="15" hidden="false" customHeight="false" outlineLevel="0" collapsed="false">
      <c r="A1109" s="8" t="s">
        <v>4951</v>
      </c>
      <c r="B1109" s="8" t="n">
        <v>10</v>
      </c>
      <c r="C1109" s="8" t="s">
        <v>89</v>
      </c>
      <c r="D1109" s="8" t="s">
        <v>4928</v>
      </c>
      <c r="E1109" s="8" t="s">
        <v>4929</v>
      </c>
      <c r="F1109" s="8" t="n">
        <v>9</v>
      </c>
      <c r="G1109" s="8" t="s">
        <v>4930</v>
      </c>
      <c r="H1109" s="8" t="s">
        <v>4952</v>
      </c>
      <c r="I1109" s="27" t="s">
        <v>4953</v>
      </c>
      <c r="J1109" s="8" t="s">
        <v>4169</v>
      </c>
      <c r="K1109" s="8" t="s">
        <v>4170</v>
      </c>
      <c r="L1109" s="8"/>
      <c r="M1109" s="8" t="str">
        <f aca="false">IF(K1109="FUERA","Fuera del marco",IF(K1109="N/A","Sin marco",IFERROR(INDEX(Catalogo_TIMSS!$C$5:$C$105,MATCH(K1109,Catalogo_TIMSS!$A$5:$A$105,0)),"Pendiente de clasificar")))</f>
        <v>Sin marco</v>
      </c>
      <c r="N1109" s="8" t="str">
        <f aca="false">IF(K1109="FUERA","Fuera del marco",IF(K1109="N/A","Sin marco",IFERROR(INDEX(Catalogo_TIMSS!$F$5:$F$105,MATCH(K1109,Catalogo_TIMSS!$A$5:$A$105,0)),"Pendiente de clasificar")))</f>
        <v>Sin marco</v>
      </c>
      <c r="O1109" s="8" t="str">
        <f aca="false">IF(L1109="","",IFERROR(INDEX(Catalogo_TIMSS!$C$5:$C$105,MATCH(L1109,Catalogo_TIMSS!$A$5:$A$105,0)),"?"))</f>
        <v/>
      </c>
      <c r="P1109" s="8" t="s">
        <v>4170</v>
      </c>
      <c r="Q1109" s="27" t="s">
        <v>4171</v>
      </c>
      <c r="R1109" s="27" t="s">
        <v>4954</v>
      </c>
      <c r="S1109" s="28" t="n">
        <f aca="false">IFERROR(ISNUMBER(SEARCH("Conocer",$R1109))/(ISNUMBER(SEARCH("Conocer",$R1109))+ISNUMBER(SEARCH("Aplicar",$R1109))+ISNUMBER(SEARCH("Razonar",$R1109))),0)</f>
        <v>0.333333333333333</v>
      </c>
      <c r="T1109" s="28" t="n">
        <f aca="false">IFERROR(ISNUMBER(SEARCH("Aplicar",$R1109))/(ISNUMBER(SEARCH("Conocer",$R1109))+ISNUMBER(SEARCH("Aplicar",$R1109))+ISNUMBER(SEARCH("Razonar",$R1109))),0)</f>
        <v>0.333333333333333</v>
      </c>
      <c r="U1109" s="28" t="n">
        <f aca="false">IFERROR(ISNUMBER(SEARCH("Razonar",$R1109))/(ISNUMBER(SEARCH("Conocer",$R1109))+ISNUMBER(SEARCH("Aplicar",$R1109))+ISNUMBER(SEARCH("Razonar",$R1109))),0)</f>
        <v>0.333333333333333</v>
      </c>
      <c r="V1109" s="8" t="s">
        <v>386</v>
      </c>
      <c r="W1109" s="8" t="s">
        <v>4934</v>
      </c>
    </row>
    <row r="1110" customFormat="false" ht="15" hidden="false" customHeight="false" outlineLevel="0" collapsed="false">
      <c r="A1110" s="8" t="s">
        <v>4955</v>
      </c>
      <c r="B1110" s="8" t="n">
        <v>10</v>
      </c>
      <c r="C1110" s="8" t="s">
        <v>89</v>
      </c>
      <c r="D1110" s="8" t="s">
        <v>4928</v>
      </c>
      <c r="E1110" s="8" t="s">
        <v>4929</v>
      </c>
      <c r="F1110" s="8" t="n">
        <v>10</v>
      </c>
      <c r="G1110" s="8" t="s">
        <v>4930</v>
      </c>
      <c r="H1110" s="8" t="s">
        <v>4952</v>
      </c>
      <c r="I1110" s="27" t="s">
        <v>4956</v>
      </c>
      <c r="J1110" s="8" t="s">
        <v>4169</v>
      </c>
      <c r="K1110" s="8" t="s">
        <v>4170</v>
      </c>
      <c r="L1110" s="8"/>
      <c r="M1110" s="8" t="str">
        <f aca="false">IF(K1110="FUERA","Fuera del marco",IF(K1110="N/A","Sin marco",IFERROR(INDEX(Catalogo_TIMSS!$C$5:$C$105,MATCH(K1110,Catalogo_TIMSS!$A$5:$A$105,0)),"Pendiente de clasificar")))</f>
        <v>Sin marco</v>
      </c>
      <c r="N1110" s="8" t="str">
        <f aca="false">IF(K1110="FUERA","Fuera del marco",IF(K1110="N/A","Sin marco",IFERROR(INDEX(Catalogo_TIMSS!$F$5:$F$105,MATCH(K1110,Catalogo_TIMSS!$A$5:$A$105,0)),"Pendiente de clasificar")))</f>
        <v>Sin marco</v>
      </c>
      <c r="O1110" s="8" t="str">
        <f aca="false">IF(L1110="","",IFERROR(INDEX(Catalogo_TIMSS!$C$5:$C$105,MATCH(L1110,Catalogo_TIMSS!$A$5:$A$105,0)),"?"))</f>
        <v/>
      </c>
      <c r="P1110" s="8" t="s">
        <v>4170</v>
      </c>
      <c r="Q1110" s="27" t="s">
        <v>4171</v>
      </c>
      <c r="R1110" s="27" t="s">
        <v>4957</v>
      </c>
      <c r="S1110" s="28" t="n">
        <f aca="false">IFERROR(ISNUMBER(SEARCH("Conocer",$R1110))/(ISNUMBER(SEARCH("Conocer",$R1110))+ISNUMBER(SEARCH("Aplicar",$R1110))+ISNUMBER(SEARCH("Razonar",$R1110))),0)</f>
        <v>0</v>
      </c>
      <c r="T1110" s="28" t="n">
        <f aca="false">IFERROR(ISNUMBER(SEARCH("Aplicar",$R1110))/(ISNUMBER(SEARCH("Conocer",$R1110))+ISNUMBER(SEARCH("Aplicar",$R1110))+ISNUMBER(SEARCH("Razonar",$R1110))),0)</f>
        <v>0.5</v>
      </c>
      <c r="U1110" s="28" t="n">
        <f aca="false">IFERROR(ISNUMBER(SEARCH("Razonar",$R1110))/(ISNUMBER(SEARCH("Conocer",$R1110))+ISNUMBER(SEARCH("Aplicar",$R1110))+ISNUMBER(SEARCH("Razonar",$R1110))),0)</f>
        <v>0.5</v>
      </c>
      <c r="V1110" s="8" t="s">
        <v>386</v>
      </c>
      <c r="W1110" s="8" t="s">
        <v>4934</v>
      </c>
    </row>
    <row r="1111" customFormat="false" ht="15" hidden="false" customHeight="false" outlineLevel="0" collapsed="false">
      <c r="A1111" s="8" t="s">
        <v>4958</v>
      </c>
      <c r="B1111" s="8" t="n">
        <v>10</v>
      </c>
      <c r="C1111" s="8" t="s">
        <v>89</v>
      </c>
      <c r="D1111" s="8" t="s">
        <v>4928</v>
      </c>
      <c r="E1111" s="8" t="s">
        <v>4929</v>
      </c>
      <c r="F1111" s="8" t="n">
        <v>11</v>
      </c>
      <c r="G1111" s="8" t="s">
        <v>4930</v>
      </c>
      <c r="H1111" s="8" t="s">
        <v>4952</v>
      </c>
      <c r="I1111" s="27" t="s">
        <v>4959</v>
      </c>
      <c r="J1111" s="8" t="s">
        <v>4169</v>
      </c>
      <c r="K1111" s="8" t="s">
        <v>4170</v>
      </c>
      <c r="L1111" s="8"/>
      <c r="M1111" s="8" t="str">
        <f aca="false">IF(K1111="FUERA","Fuera del marco",IF(K1111="N/A","Sin marco",IFERROR(INDEX(Catalogo_TIMSS!$C$5:$C$105,MATCH(K1111,Catalogo_TIMSS!$A$5:$A$105,0)),"Pendiente de clasificar")))</f>
        <v>Sin marco</v>
      </c>
      <c r="N1111" s="8" t="str">
        <f aca="false">IF(K1111="FUERA","Fuera del marco",IF(K1111="N/A","Sin marco",IFERROR(INDEX(Catalogo_TIMSS!$F$5:$F$105,MATCH(K1111,Catalogo_TIMSS!$A$5:$A$105,0)),"Pendiente de clasificar")))</f>
        <v>Sin marco</v>
      </c>
      <c r="O1111" s="8" t="str">
        <f aca="false">IF(L1111="","",IFERROR(INDEX(Catalogo_TIMSS!$C$5:$C$105,MATCH(L1111,Catalogo_TIMSS!$A$5:$A$105,0)),"?"))</f>
        <v/>
      </c>
      <c r="P1111" s="8" t="s">
        <v>4170</v>
      </c>
      <c r="Q1111" s="27" t="s">
        <v>4171</v>
      </c>
      <c r="R1111" s="27" t="s">
        <v>4960</v>
      </c>
      <c r="S1111" s="28" t="n">
        <f aca="false">IFERROR(ISNUMBER(SEARCH("Conocer",$R1111))/(ISNUMBER(SEARCH("Conocer",$R1111))+ISNUMBER(SEARCH("Aplicar",$R1111))+ISNUMBER(SEARCH("Razonar",$R1111))),0)</f>
        <v>0</v>
      </c>
      <c r="T1111" s="28" t="n">
        <f aca="false">IFERROR(ISNUMBER(SEARCH("Aplicar",$R1111))/(ISNUMBER(SEARCH("Conocer",$R1111))+ISNUMBER(SEARCH("Aplicar",$R1111))+ISNUMBER(SEARCH("Razonar",$R1111))),0)</f>
        <v>0.5</v>
      </c>
      <c r="U1111" s="28" t="n">
        <f aca="false">IFERROR(ISNUMBER(SEARCH("Razonar",$R1111))/(ISNUMBER(SEARCH("Conocer",$R1111))+ISNUMBER(SEARCH("Aplicar",$R1111))+ISNUMBER(SEARCH("Razonar",$R1111))),0)</f>
        <v>0.5</v>
      </c>
      <c r="V1111" s="8" t="s">
        <v>386</v>
      </c>
      <c r="W1111" s="8" t="s">
        <v>4934</v>
      </c>
    </row>
    <row r="1112" customFormat="false" ht="15" hidden="false" customHeight="false" outlineLevel="0" collapsed="false">
      <c r="A1112" s="8" t="s">
        <v>4961</v>
      </c>
      <c r="B1112" s="8" t="n">
        <v>10</v>
      </c>
      <c r="C1112" s="8" t="s">
        <v>89</v>
      </c>
      <c r="D1112" s="8" t="s">
        <v>4928</v>
      </c>
      <c r="E1112" s="8" t="s">
        <v>4929</v>
      </c>
      <c r="F1112" s="8" t="n">
        <v>12</v>
      </c>
      <c r="G1112" s="8" t="s">
        <v>4930</v>
      </c>
      <c r="H1112" s="8" t="s">
        <v>4962</v>
      </c>
      <c r="I1112" s="27" t="s">
        <v>4963</v>
      </c>
      <c r="J1112" s="8" t="s">
        <v>4169</v>
      </c>
      <c r="K1112" s="8" t="s">
        <v>4170</v>
      </c>
      <c r="L1112" s="8"/>
      <c r="M1112" s="8" t="str">
        <f aca="false">IF(K1112="FUERA","Fuera del marco",IF(K1112="N/A","Sin marco",IFERROR(INDEX(Catalogo_TIMSS!$C$5:$C$105,MATCH(K1112,Catalogo_TIMSS!$A$5:$A$105,0)),"Pendiente de clasificar")))</f>
        <v>Sin marco</v>
      </c>
      <c r="N1112" s="8" t="str">
        <f aca="false">IF(K1112="FUERA","Fuera del marco",IF(K1112="N/A","Sin marco",IFERROR(INDEX(Catalogo_TIMSS!$F$5:$F$105,MATCH(K1112,Catalogo_TIMSS!$A$5:$A$105,0)),"Pendiente de clasificar")))</f>
        <v>Sin marco</v>
      </c>
      <c r="O1112" s="8" t="str">
        <f aca="false">IF(L1112="","",IFERROR(INDEX(Catalogo_TIMSS!$C$5:$C$105,MATCH(L1112,Catalogo_TIMSS!$A$5:$A$105,0)),"?"))</f>
        <v/>
      </c>
      <c r="P1112" s="8" t="s">
        <v>4170</v>
      </c>
      <c r="Q1112" s="27" t="s">
        <v>4171</v>
      </c>
      <c r="R1112" s="27" t="s">
        <v>4964</v>
      </c>
      <c r="S1112" s="28" t="n">
        <f aca="false">IFERROR(ISNUMBER(SEARCH("Conocer",$R1112))/(ISNUMBER(SEARCH("Conocer",$R1112))+ISNUMBER(SEARCH("Aplicar",$R1112))+ISNUMBER(SEARCH("Razonar",$R1112))),0)</f>
        <v>0.333333333333333</v>
      </c>
      <c r="T1112" s="28" t="n">
        <f aca="false">IFERROR(ISNUMBER(SEARCH("Aplicar",$R1112))/(ISNUMBER(SEARCH("Conocer",$R1112))+ISNUMBER(SEARCH("Aplicar",$R1112))+ISNUMBER(SEARCH("Razonar",$R1112))),0)</f>
        <v>0.333333333333333</v>
      </c>
      <c r="U1112" s="28" t="n">
        <f aca="false">IFERROR(ISNUMBER(SEARCH("Razonar",$R1112))/(ISNUMBER(SEARCH("Conocer",$R1112))+ISNUMBER(SEARCH("Aplicar",$R1112))+ISNUMBER(SEARCH("Razonar",$R1112))),0)</f>
        <v>0.333333333333333</v>
      </c>
      <c r="V1112" s="8" t="s">
        <v>386</v>
      </c>
      <c r="W1112" s="8" t="s">
        <v>4934</v>
      </c>
    </row>
    <row r="1113" customFormat="false" ht="15" hidden="false" customHeight="false" outlineLevel="0" collapsed="false">
      <c r="A1113" s="8" t="s">
        <v>4965</v>
      </c>
      <c r="B1113" s="8" t="n">
        <v>10</v>
      </c>
      <c r="C1113" s="8" t="s">
        <v>89</v>
      </c>
      <c r="D1113" s="8" t="s">
        <v>4928</v>
      </c>
      <c r="E1113" s="8" t="s">
        <v>4929</v>
      </c>
      <c r="F1113" s="8" t="n">
        <v>13</v>
      </c>
      <c r="G1113" s="8" t="s">
        <v>4930</v>
      </c>
      <c r="H1113" s="8" t="s">
        <v>4962</v>
      </c>
      <c r="I1113" s="27" t="s">
        <v>4966</v>
      </c>
      <c r="J1113" s="8" t="s">
        <v>4169</v>
      </c>
      <c r="K1113" s="8" t="s">
        <v>4170</v>
      </c>
      <c r="L1113" s="8"/>
      <c r="M1113" s="8" t="str">
        <f aca="false">IF(K1113="FUERA","Fuera del marco",IF(K1113="N/A","Sin marco",IFERROR(INDEX(Catalogo_TIMSS!$C$5:$C$105,MATCH(K1113,Catalogo_TIMSS!$A$5:$A$105,0)),"Pendiente de clasificar")))</f>
        <v>Sin marco</v>
      </c>
      <c r="N1113" s="8" t="str">
        <f aca="false">IF(K1113="FUERA","Fuera del marco",IF(K1113="N/A","Sin marco",IFERROR(INDEX(Catalogo_TIMSS!$F$5:$F$105,MATCH(K1113,Catalogo_TIMSS!$A$5:$A$105,0)),"Pendiente de clasificar")))</f>
        <v>Sin marco</v>
      </c>
      <c r="O1113" s="8" t="str">
        <f aca="false">IF(L1113="","",IFERROR(INDEX(Catalogo_TIMSS!$C$5:$C$105,MATCH(L1113,Catalogo_TIMSS!$A$5:$A$105,0)),"?"))</f>
        <v/>
      </c>
      <c r="P1113" s="8" t="s">
        <v>4170</v>
      </c>
      <c r="Q1113" s="27" t="s">
        <v>4171</v>
      </c>
      <c r="R1113" s="27" t="s">
        <v>4967</v>
      </c>
      <c r="S1113" s="28" t="n">
        <f aca="false">IFERROR(ISNUMBER(SEARCH("Conocer",$R1113))/(ISNUMBER(SEARCH("Conocer",$R1113))+ISNUMBER(SEARCH("Aplicar",$R1113))+ISNUMBER(SEARCH("Razonar",$R1113))),0)</f>
        <v>0</v>
      </c>
      <c r="T1113" s="28" t="n">
        <f aca="false">IFERROR(ISNUMBER(SEARCH("Aplicar",$R1113))/(ISNUMBER(SEARCH("Conocer",$R1113))+ISNUMBER(SEARCH("Aplicar",$R1113))+ISNUMBER(SEARCH("Razonar",$R1113))),0)</f>
        <v>0.5</v>
      </c>
      <c r="U1113" s="28" t="n">
        <f aca="false">IFERROR(ISNUMBER(SEARCH("Razonar",$R1113))/(ISNUMBER(SEARCH("Conocer",$R1113))+ISNUMBER(SEARCH("Aplicar",$R1113))+ISNUMBER(SEARCH("Razonar",$R1113))),0)</f>
        <v>0.5</v>
      </c>
      <c r="V1113" s="8" t="s">
        <v>386</v>
      </c>
      <c r="W1113" s="8" t="s">
        <v>4934</v>
      </c>
    </row>
    <row r="1114" customFormat="false" ht="15" hidden="false" customHeight="false" outlineLevel="0" collapsed="false">
      <c r="A1114" s="8" t="s">
        <v>4968</v>
      </c>
      <c r="B1114" s="8" t="n">
        <v>10</v>
      </c>
      <c r="C1114" s="8" t="s">
        <v>89</v>
      </c>
      <c r="D1114" s="8" t="s">
        <v>4928</v>
      </c>
      <c r="E1114" s="8" t="s">
        <v>4929</v>
      </c>
      <c r="F1114" s="8" t="n">
        <v>14</v>
      </c>
      <c r="G1114" s="8" t="s">
        <v>4969</v>
      </c>
      <c r="H1114" s="8" t="s">
        <v>4970</v>
      </c>
      <c r="I1114" s="27" t="s">
        <v>4971</v>
      </c>
      <c r="J1114" s="8" t="s">
        <v>4169</v>
      </c>
      <c r="K1114" s="8" t="s">
        <v>4170</v>
      </c>
      <c r="L1114" s="8"/>
      <c r="M1114" s="8" t="str">
        <f aca="false">IF(K1114="FUERA","Fuera del marco",IF(K1114="N/A","Sin marco",IFERROR(INDEX(Catalogo_TIMSS!$C$5:$C$105,MATCH(K1114,Catalogo_TIMSS!$A$5:$A$105,0)),"Pendiente de clasificar")))</f>
        <v>Sin marco</v>
      </c>
      <c r="N1114" s="8" t="str">
        <f aca="false">IF(K1114="FUERA","Fuera del marco",IF(K1114="N/A","Sin marco",IFERROR(INDEX(Catalogo_TIMSS!$F$5:$F$105,MATCH(K1114,Catalogo_TIMSS!$A$5:$A$105,0)),"Pendiente de clasificar")))</f>
        <v>Sin marco</v>
      </c>
      <c r="O1114" s="8" t="str">
        <f aca="false">IF(L1114="","",IFERROR(INDEX(Catalogo_TIMSS!$C$5:$C$105,MATCH(L1114,Catalogo_TIMSS!$A$5:$A$105,0)),"?"))</f>
        <v/>
      </c>
      <c r="P1114" s="8" t="s">
        <v>4170</v>
      </c>
      <c r="Q1114" s="27" t="s">
        <v>4171</v>
      </c>
      <c r="R1114" s="27" t="s">
        <v>4972</v>
      </c>
      <c r="S1114" s="28" t="n">
        <f aca="false">IFERROR(ISNUMBER(SEARCH("Conocer",$R1114))/(ISNUMBER(SEARCH("Conocer",$R1114))+ISNUMBER(SEARCH("Aplicar",$R1114))+ISNUMBER(SEARCH("Razonar",$R1114))),0)</f>
        <v>0.333333333333333</v>
      </c>
      <c r="T1114" s="28" t="n">
        <f aca="false">IFERROR(ISNUMBER(SEARCH("Aplicar",$R1114))/(ISNUMBER(SEARCH("Conocer",$R1114))+ISNUMBER(SEARCH("Aplicar",$R1114))+ISNUMBER(SEARCH("Razonar",$R1114))),0)</f>
        <v>0.333333333333333</v>
      </c>
      <c r="U1114" s="28" t="n">
        <f aca="false">IFERROR(ISNUMBER(SEARCH("Razonar",$R1114))/(ISNUMBER(SEARCH("Conocer",$R1114))+ISNUMBER(SEARCH("Aplicar",$R1114))+ISNUMBER(SEARCH("Razonar",$R1114))),0)</f>
        <v>0.333333333333333</v>
      </c>
      <c r="V1114" s="8" t="s">
        <v>386</v>
      </c>
      <c r="W1114" s="8" t="s">
        <v>4934</v>
      </c>
    </row>
    <row r="1115" customFormat="false" ht="15" hidden="false" customHeight="false" outlineLevel="0" collapsed="false">
      <c r="A1115" s="8" t="s">
        <v>4973</v>
      </c>
      <c r="B1115" s="8" t="n">
        <v>10</v>
      </c>
      <c r="C1115" s="8" t="s">
        <v>89</v>
      </c>
      <c r="D1115" s="8" t="s">
        <v>4928</v>
      </c>
      <c r="E1115" s="8" t="s">
        <v>4929</v>
      </c>
      <c r="F1115" s="8" t="n">
        <v>15</v>
      </c>
      <c r="G1115" s="8" t="s">
        <v>4969</v>
      </c>
      <c r="H1115" s="8" t="s">
        <v>4970</v>
      </c>
      <c r="I1115" s="27" t="s">
        <v>4974</v>
      </c>
      <c r="J1115" s="8" t="s">
        <v>4169</v>
      </c>
      <c r="K1115" s="8" t="s">
        <v>4170</v>
      </c>
      <c r="L1115" s="8"/>
      <c r="M1115" s="8" t="str">
        <f aca="false">IF(K1115="FUERA","Fuera del marco",IF(K1115="N/A","Sin marco",IFERROR(INDEX(Catalogo_TIMSS!$C$5:$C$105,MATCH(K1115,Catalogo_TIMSS!$A$5:$A$105,0)),"Pendiente de clasificar")))</f>
        <v>Sin marco</v>
      </c>
      <c r="N1115" s="8" t="str">
        <f aca="false">IF(K1115="FUERA","Fuera del marco",IF(K1115="N/A","Sin marco",IFERROR(INDEX(Catalogo_TIMSS!$F$5:$F$105,MATCH(K1115,Catalogo_TIMSS!$A$5:$A$105,0)),"Pendiente de clasificar")))</f>
        <v>Sin marco</v>
      </c>
      <c r="O1115" s="8" t="str">
        <f aca="false">IF(L1115="","",IFERROR(INDEX(Catalogo_TIMSS!$C$5:$C$105,MATCH(L1115,Catalogo_TIMSS!$A$5:$A$105,0)),"?"))</f>
        <v/>
      </c>
      <c r="P1115" s="8" t="s">
        <v>4170</v>
      </c>
      <c r="Q1115" s="27" t="s">
        <v>4171</v>
      </c>
      <c r="R1115" s="27" t="s">
        <v>4975</v>
      </c>
      <c r="S1115" s="28" t="n">
        <f aca="false">IFERROR(ISNUMBER(SEARCH("Conocer",$R1115))/(ISNUMBER(SEARCH("Conocer",$R1115))+ISNUMBER(SEARCH("Aplicar",$R1115))+ISNUMBER(SEARCH("Razonar",$R1115))),0)</f>
        <v>0.5</v>
      </c>
      <c r="T1115" s="28" t="n">
        <f aca="false">IFERROR(ISNUMBER(SEARCH("Aplicar",$R1115))/(ISNUMBER(SEARCH("Conocer",$R1115))+ISNUMBER(SEARCH("Aplicar",$R1115))+ISNUMBER(SEARCH("Razonar",$R1115))),0)</f>
        <v>0</v>
      </c>
      <c r="U1115" s="28" t="n">
        <f aca="false">IFERROR(ISNUMBER(SEARCH("Razonar",$R1115))/(ISNUMBER(SEARCH("Conocer",$R1115))+ISNUMBER(SEARCH("Aplicar",$R1115))+ISNUMBER(SEARCH("Razonar",$R1115))),0)</f>
        <v>0.5</v>
      </c>
      <c r="V1115" s="8" t="s">
        <v>386</v>
      </c>
      <c r="W1115" s="8" t="s">
        <v>4934</v>
      </c>
    </row>
    <row r="1116" customFormat="false" ht="15" hidden="false" customHeight="false" outlineLevel="0" collapsed="false">
      <c r="A1116" s="8" t="s">
        <v>4976</v>
      </c>
      <c r="B1116" s="8" t="n">
        <v>10</v>
      </c>
      <c r="C1116" s="8" t="s">
        <v>89</v>
      </c>
      <c r="D1116" s="8" t="s">
        <v>4928</v>
      </c>
      <c r="E1116" s="8" t="s">
        <v>4929</v>
      </c>
      <c r="F1116" s="8" t="n">
        <v>16</v>
      </c>
      <c r="G1116" s="8" t="s">
        <v>4969</v>
      </c>
      <c r="H1116" s="8" t="s">
        <v>4977</v>
      </c>
      <c r="I1116" s="27" t="s">
        <v>4978</v>
      </c>
      <c r="J1116" s="8" t="s">
        <v>4169</v>
      </c>
      <c r="K1116" s="8" t="s">
        <v>4170</v>
      </c>
      <c r="L1116" s="8"/>
      <c r="M1116" s="8" t="str">
        <f aca="false">IF(K1116="FUERA","Fuera del marco",IF(K1116="N/A","Sin marco",IFERROR(INDEX(Catalogo_TIMSS!$C$5:$C$105,MATCH(K1116,Catalogo_TIMSS!$A$5:$A$105,0)),"Pendiente de clasificar")))</f>
        <v>Sin marco</v>
      </c>
      <c r="N1116" s="8" t="str">
        <f aca="false">IF(K1116="FUERA","Fuera del marco",IF(K1116="N/A","Sin marco",IFERROR(INDEX(Catalogo_TIMSS!$F$5:$F$105,MATCH(K1116,Catalogo_TIMSS!$A$5:$A$105,0)),"Pendiente de clasificar")))</f>
        <v>Sin marco</v>
      </c>
      <c r="O1116" s="8" t="str">
        <f aca="false">IF(L1116="","",IFERROR(INDEX(Catalogo_TIMSS!$C$5:$C$105,MATCH(L1116,Catalogo_TIMSS!$A$5:$A$105,0)),"?"))</f>
        <v/>
      </c>
      <c r="P1116" s="8" t="s">
        <v>4170</v>
      </c>
      <c r="Q1116" s="27" t="s">
        <v>4171</v>
      </c>
      <c r="R1116" s="27" t="s">
        <v>4979</v>
      </c>
      <c r="S1116" s="28" t="n">
        <f aca="false">IFERROR(ISNUMBER(SEARCH("Conocer",$R1116))/(ISNUMBER(SEARCH("Conocer",$R1116))+ISNUMBER(SEARCH("Aplicar",$R1116))+ISNUMBER(SEARCH("Razonar",$R1116))),0)</f>
        <v>0</v>
      </c>
      <c r="T1116" s="28" t="n">
        <f aca="false">IFERROR(ISNUMBER(SEARCH("Aplicar",$R1116))/(ISNUMBER(SEARCH("Conocer",$R1116))+ISNUMBER(SEARCH("Aplicar",$R1116))+ISNUMBER(SEARCH("Razonar",$R1116))),0)</f>
        <v>0.5</v>
      </c>
      <c r="U1116" s="28" t="n">
        <f aca="false">IFERROR(ISNUMBER(SEARCH("Razonar",$R1116))/(ISNUMBER(SEARCH("Conocer",$R1116))+ISNUMBER(SEARCH("Aplicar",$R1116))+ISNUMBER(SEARCH("Razonar",$R1116))),0)</f>
        <v>0.5</v>
      </c>
      <c r="V1116" s="8" t="s">
        <v>386</v>
      </c>
      <c r="W1116" s="8" t="s">
        <v>4934</v>
      </c>
    </row>
    <row r="1117" customFormat="false" ht="15" hidden="false" customHeight="false" outlineLevel="0" collapsed="false">
      <c r="A1117" s="8" t="s">
        <v>4980</v>
      </c>
      <c r="B1117" s="8" t="n">
        <v>10</v>
      </c>
      <c r="C1117" s="8" t="s">
        <v>89</v>
      </c>
      <c r="D1117" s="8" t="s">
        <v>4928</v>
      </c>
      <c r="E1117" s="8" t="s">
        <v>4929</v>
      </c>
      <c r="F1117" s="8" t="n">
        <v>17</v>
      </c>
      <c r="G1117" s="8" t="s">
        <v>4969</v>
      </c>
      <c r="H1117" s="8" t="s">
        <v>4981</v>
      </c>
      <c r="I1117" s="27" t="s">
        <v>4982</v>
      </c>
      <c r="J1117" s="8" t="s">
        <v>4169</v>
      </c>
      <c r="K1117" s="8" t="s">
        <v>4170</v>
      </c>
      <c r="L1117" s="8"/>
      <c r="M1117" s="8" t="str">
        <f aca="false">IF(K1117="FUERA","Fuera del marco",IF(K1117="N/A","Sin marco",IFERROR(INDEX(Catalogo_TIMSS!$C$5:$C$105,MATCH(K1117,Catalogo_TIMSS!$A$5:$A$105,0)),"Pendiente de clasificar")))</f>
        <v>Sin marco</v>
      </c>
      <c r="N1117" s="8" t="str">
        <f aca="false">IF(K1117="FUERA","Fuera del marco",IF(K1117="N/A","Sin marco",IFERROR(INDEX(Catalogo_TIMSS!$F$5:$F$105,MATCH(K1117,Catalogo_TIMSS!$A$5:$A$105,0)),"Pendiente de clasificar")))</f>
        <v>Sin marco</v>
      </c>
      <c r="O1117" s="8" t="str">
        <f aca="false">IF(L1117="","",IFERROR(INDEX(Catalogo_TIMSS!$C$5:$C$105,MATCH(L1117,Catalogo_TIMSS!$A$5:$A$105,0)),"?"))</f>
        <v/>
      </c>
      <c r="P1117" s="8" t="s">
        <v>4170</v>
      </c>
      <c r="Q1117" s="27" t="s">
        <v>4171</v>
      </c>
      <c r="R1117" s="27" t="s">
        <v>4983</v>
      </c>
      <c r="S1117" s="28" t="n">
        <f aca="false">IFERROR(ISNUMBER(SEARCH("Conocer",$R1117))/(ISNUMBER(SEARCH("Conocer",$R1117))+ISNUMBER(SEARCH("Aplicar",$R1117))+ISNUMBER(SEARCH("Razonar",$R1117))),0)</f>
        <v>0.5</v>
      </c>
      <c r="T1117" s="28" t="n">
        <f aca="false">IFERROR(ISNUMBER(SEARCH("Aplicar",$R1117))/(ISNUMBER(SEARCH("Conocer",$R1117))+ISNUMBER(SEARCH("Aplicar",$R1117))+ISNUMBER(SEARCH("Razonar",$R1117))),0)</f>
        <v>0</v>
      </c>
      <c r="U1117" s="28" t="n">
        <f aca="false">IFERROR(ISNUMBER(SEARCH("Razonar",$R1117))/(ISNUMBER(SEARCH("Conocer",$R1117))+ISNUMBER(SEARCH("Aplicar",$R1117))+ISNUMBER(SEARCH("Razonar",$R1117))),0)</f>
        <v>0.5</v>
      </c>
      <c r="V1117" s="8" t="s">
        <v>386</v>
      </c>
      <c r="W1117" s="8" t="s">
        <v>4934</v>
      </c>
    </row>
    <row r="1118" customFormat="false" ht="15" hidden="false" customHeight="false" outlineLevel="0" collapsed="false">
      <c r="A1118" s="8" t="s">
        <v>4984</v>
      </c>
      <c r="B1118" s="8" t="n">
        <v>10</v>
      </c>
      <c r="C1118" s="8" t="s">
        <v>89</v>
      </c>
      <c r="D1118" s="8" t="s">
        <v>4928</v>
      </c>
      <c r="E1118" s="8" t="s">
        <v>4929</v>
      </c>
      <c r="F1118" s="8" t="n">
        <v>18</v>
      </c>
      <c r="G1118" s="8" t="s">
        <v>4969</v>
      </c>
      <c r="H1118" s="8" t="s">
        <v>4981</v>
      </c>
      <c r="I1118" s="27" t="s">
        <v>4985</v>
      </c>
      <c r="J1118" s="8" t="s">
        <v>4169</v>
      </c>
      <c r="K1118" s="8" t="s">
        <v>4170</v>
      </c>
      <c r="L1118" s="8"/>
      <c r="M1118" s="8" t="str">
        <f aca="false">IF(K1118="FUERA","Fuera del marco",IF(K1118="N/A","Sin marco",IFERROR(INDEX(Catalogo_TIMSS!$C$5:$C$105,MATCH(K1118,Catalogo_TIMSS!$A$5:$A$105,0)),"Pendiente de clasificar")))</f>
        <v>Sin marco</v>
      </c>
      <c r="N1118" s="8" t="str">
        <f aca="false">IF(K1118="FUERA","Fuera del marco",IF(K1118="N/A","Sin marco",IFERROR(INDEX(Catalogo_TIMSS!$F$5:$F$105,MATCH(K1118,Catalogo_TIMSS!$A$5:$A$105,0)),"Pendiente de clasificar")))</f>
        <v>Sin marco</v>
      </c>
      <c r="O1118" s="8" t="str">
        <f aca="false">IF(L1118="","",IFERROR(INDEX(Catalogo_TIMSS!$C$5:$C$105,MATCH(L1118,Catalogo_TIMSS!$A$5:$A$105,0)),"?"))</f>
        <v/>
      </c>
      <c r="P1118" s="8" t="s">
        <v>4170</v>
      </c>
      <c r="Q1118" s="27" t="s">
        <v>4171</v>
      </c>
      <c r="R1118" s="27" t="s">
        <v>4986</v>
      </c>
      <c r="S1118" s="28" t="n">
        <f aca="false">IFERROR(ISNUMBER(SEARCH("Conocer",$R1118))/(ISNUMBER(SEARCH("Conocer",$R1118))+ISNUMBER(SEARCH("Aplicar",$R1118))+ISNUMBER(SEARCH("Razonar",$R1118))),0)</f>
        <v>0.333333333333333</v>
      </c>
      <c r="T1118" s="28" t="n">
        <f aca="false">IFERROR(ISNUMBER(SEARCH("Aplicar",$R1118))/(ISNUMBER(SEARCH("Conocer",$R1118))+ISNUMBER(SEARCH("Aplicar",$R1118))+ISNUMBER(SEARCH("Razonar",$R1118))),0)</f>
        <v>0.333333333333333</v>
      </c>
      <c r="U1118" s="28" t="n">
        <f aca="false">IFERROR(ISNUMBER(SEARCH("Razonar",$R1118))/(ISNUMBER(SEARCH("Conocer",$R1118))+ISNUMBER(SEARCH("Aplicar",$R1118))+ISNUMBER(SEARCH("Razonar",$R1118))),0)</f>
        <v>0.333333333333333</v>
      </c>
      <c r="V1118" s="8" t="s">
        <v>386</v>
      </c>
      <c r="W1118" s="8" t="s">
        <v>4934</v>
      </c>
    </row>
    <row r="1119" customFormat="false" ht="15" hidden="false" customHeight="false" outlineLevel="0" collapsed="false">
      <c r="A1119" s="8" t="s">
        <v>4987</v>
      </c>
      <c r="B1119" s="8" t="n">
        <v>10</v>
      </c>
      <c r="C1119" s="8" t="s">
        <v>89</v>
      </c>
      <c r="D1119" s="8" t="s">
        <v>4928</v>
      </c>
      <c r="E1119" s="8" t="s">
        <v>4929</v>
      </c>
      <c r="F1119" s="8" t="n">
        <v>19</v>
      </c>
      <c r="G1119" s="8" t="s">
        <v>4969</v>
      </c>
      <c r="H1119" s="8" t="s">
        <v>4981</v>
      </c>
      <c r="I1119" s="27" t="s">
        <v>4988</v>
      </c>
      <c r="J1119" s="8" t="s">
        <v>4169</v>
      </c>
      <c r="K1119" s="8" t="s">
        <v>4170</v>
      </c>
      <c r="L1119" s="8"/>
      <c r="M1119" s="8" t="str">
        <f aca="false">IF(K1119="FUERA","Fuera del marco",IF(K1119="N/A","Sin marco",IFERROR(INDEX(Catalogo_TIMSS!$C$5:$C$105,MATCH(K1119,Catalogo_TIMSS!$A$5:$A$105,0)),"Pendiente de clasificar")))</f>
        <v>Sin marco</v>
      </c>
      <c r="N1119" s="8" t="str">
        <f aca="false">IF(K1119="FUERA","Fuera del marco",IF(K1119="N/A","Sin marco",IFERROR(INDEX(Catalogo_TIMSS!$F$5:$F$105,MATCH(K1119,Catalogo_TIMSS!$A$5:$A$105,0)),"Pendiente de clasificar")))</f>
        <v>Sin marco</v>
      </c>
      <c r="O1119" s="8" t="str">
        <f aca="false">IF(L1119="","",IFERROR(INDEX(Catalogo_TIMSS!$C$5:$C$105,MATCH(L1119,Catalogo_TIMSS!$A$5:$A$105,0)),"?"))</f>
        <v/>
      </c>
      <c r="P1119" s="8" t="s">
        <v>4170</v>
      </c>
      <c r="Q1119" s="27" t="s">
        <v>4171</v>
      </c>
      <c r="R1119" s="27" t="s">
        <v>4989</v>
      </c>
      <c r="S1119" s="28" t="n">
        <f aca="false">IFERROR(ISNUMBER(SEARCH("Conocer",$R1119))/(ISNUMBER(SEARCH("Conocer",$R1119))+ISNUMBER(SEARCH("Aplicar",$R1119))+ISNUMBER(SEARCH("Razonar",$R1119))),0)</f>
        <v>0</v>
      </c>
      <c r="T1119" s="28" t="n">
        <f aca="false">IFERROR(ISNUMBER(SEARCH("Aplicar",$R1119))/(ISNUMBER(SEARCH("Conocer",$R1119))+ISNUMBER(SEARCH("Aplicar",$R1119))+ISNUMBER(SEARCH("Razonar",$R1119))),0)</f>
        <v>0.5</v>
      </c>
      <c r="U1119" s="28" t="n">
        <f aca="false">IFERROR(ISNUMBER(SEARCH("Razonar",$R1119))/(ISNUMBER(SEARCH("Conocer",$R1119))+ISNUMBER(SEARCH("Aplicar",$R1119))+ISNUMBER(SEARCH("Razonar",$R1119))),0)</f>
        <v>0.5</v>
      </c>
      <c r="V1119" s="8" t="s">
        <v>386</v>
      </c>
      <c r="W1119" s="8" t="s">
        <v>4934</v>
      </c>
    </row>
    <row r="1120" customFormat="false" ht="15" hidden="false" customHeight="false" outlineLevel="0" collapsed="false">
      <c r="A1120" s="8" t="s">
        <v>4990</v>
      </c>
      <c r="B1120" s="8" t="n">
        <v>10</v>
      </c>
      <c r="C1120" s="8" t="s">
        <v>89</v>
      </c>
      <c r="D1120" s="8" t="s">
        <v>4928</v>
      </c>
      <c r="E1120" s="8" t="s">
        <v>4929</v>
      </c>
      <c r="F1120" s="8" t="n">
        <v>20</v>
      </c>
      <c r="G1120" s="8" t="s">
        <v>4969</v>
      </c>
      <c r="H1120" s="8" t="s">
        <v>4991</v>
      </c>
      <c r="I1120" s="27" t="s">
        <v>4992</v>
      </c>
      <c r="J1120" s="8" t="s">
        <v>4169</v>
      </c>
      <c r="K1120" s="8" t="s">
        <v>4170</v>
      </c>
      <c r="L1120" s="8"/>
      <c r="M1120" s="8" t="str">
        <f aca="false">IF(K1120="FUERA","Fuera del marco",IF(K1120="N/A","Sin marco",IFERROR(INDEX(Catalogo_TIMSS!$C$5:$C$105,MATCH(K1120,Catalogo_TIMSS!$A$5:$A$105,0)),"Pendiente de clasificar")))</f>
        <v>Sin marco</v>
      </c>
      <c r="N1120" s="8" t="str">
        <f aca="false">IF(K1120="FUERA","Fuera del marco",IF(K1120="N/A","Sin marco",IFERROR(INDEX(Catalogo_TIMSS!$F$5:$F$105,MATCH(K1120,Catalogo_TIMSS!$A$5:$A$105,0)),"Pendiente de clasificar")))</f>
        <v>Sin marco</v>
      </c>
      <c r="O1120" s="8" t="str">
        <f aca="false">IF(L1120="","",IFERROR(INDEX(Catalogo_TIMSS!$C$5:$C$105,MATCH(L1120,Catalogo_TIMSS!$A$5:$A$105,0)),"?"))</f>
        <v/>
      </c>
      <c r="P1120" s="8" t="s">
        <v>4170</v>
      </c>
      <c r="Q1120" s="27" t="s">
        <v>4171</v>
      </c>
      <c r="R1120" s="27" t="s">
        <v>4993</v>
      </c>
      <c r="S1120" s="28" t="n">
        <f aca="false">IFERROR(ISNUMBER(SEARCH("Conocer",$R1120))/(ISNUMBER(SEARCH("Conocer",$R1120))+ISNUMBER(SEARCH("Aplicar",$R1120))+ISNUMBER(SEARCH("Razonar",$R1120))),0)</f>
        <v>0</v>
      </c>
      <c r="T1120" s="28" t="n">
        <f aca="false">IFERROR(ISNUMBER(SEARCH("Aplicar",$R1120))/(ISNUMBER(SEARCH("Conocer",$R1120))+ISNUMBER(SEARCH("Aplicar",$R1120))+ISNUMBER(SEARCH("Razonar",$R1120))),0)</f>
        <v>0.5</v>
      </c>
      <c r="U1120" s="28" t="n">
        <f aca="false">IFERROR(ISNUMBER(SEARCH("Razonar",$R1120))/(ISNUMBER(SEARCH("Conocer",$R1120))+ISNUMBER(SEARCH("Aplicar",$R1120))+ISNUMBER(SEARCH("Razonar",$R1120))),0)</f>
        <v>0.5</v>
      </c>
      <c r="V1120" s="8" t="s">
        <v>386</v>
      </c>
      <c r="W1120" s="8" t="s">
        <v>4934</v>
      </c>
    </row>
    <row r="1121" customFormat="false" ht="15" hidden="false" customHeight="false" outlineLevel="0" collapsed="false">
      <c r="A1121" s="8" t="s">
        <v>4994</v>
      </c>
      <c r="B1121" s="8" t="n">
        <v>10</v>
      </c>
      <c r="C1121" s="8" t="s">
        <v>89</v>
      </c>
      <c r="D1121" s="8" t="s">
        <v>4928</v>
      </c>
      <c r="E1121" s="8" t="s">
        <v>4929</v>
      </c>
      <c r="F1121" s="8" t="n">
        <v>21</v>
      </c>
      <c r="G1121" s="8" t="s">
        <v>4969</v>
      </c>
      <c r="H1121" s="8" t="s">
        <v>4991</v>
      </c>
      <c r="I1121" s="27" t="s">
        <v>4995</v>
      </c>
      <c r="J1121" s="8" t="s">
        <v>4169</v>
      </c>
      <c r="K1121" s="8" t="s">
        <v>4170</v>
      </c>
      <c r="L1121" s="8"/>
      <c r="M1121" s="8" t="str">
        <f aca="false">IF(K1121="FUERA","Fuera del marco",IF(K1121="N/A","Sin marco",IFERROR(INDEX(Catalogo_TIMSS!$C$5:$C$105,MATCH(K1121,Catalogo_TIMSS!$A$5:$A$105,0)),"Pendiente de clasificar")))</f>
        <v>Sin marco</v>
      </c>
      <c r="N1121" s="8" t="str">
        <f aca="false">IF(K1121="FUERA","Fuera del marco",IF(K1121="N/A","Sin marco",IFERROR(INDEX(Catalogo_TIMSS!$F$5:$F$105,MATCH(K1121,Catalogo_TIMSS!$A$5:$A$105,0)),"Pendiente de clasificar")))</f>
        <v>Sin marco</v>
      </c>
      <c r="O1121" s="8" t="str">
        <f aca="false">IF(L1121="","",IFERROR(INDEX(Catalogo_TIMSS!$C$5:$C$105,MATCH(L1121,Catalogo_TIMSS!$A$5:$A$105,0)),"?"))</f>
        <v/>
      </c>
      <c r="P1121" s="8" t="s">
        <v>4170</v>
      </c>
      <c r="Q1121" s="27" t="s">
        <v>4171</v>
      </c>
      <c r="R1121" s="27" t="s">
        <v>4996</v>
      </c>
      <c r="S1121" s="28" t="n">
        <f aca="false">IFERROR(ISNUMBER(SEARCH("Conocer",$R1121))/(ISNUMBER(SEARCH("Conocer",$R1121))+ISNUMBER(SEARCH("Aplicar",$R1121))+ISNUMBER(SEARCH("Razonar",$R1121))),0)</f>
        <v>0</v>
      </c>
      <c r="T1121" s="28" t="n">
        <f aca="false">IFERROR(ISNUMBER(SEARCH("Aplicar",$R1121))/(ISNUMBER(SEARCH("Conocer",$R1121))+ISNUMBER(SEARCH("Aplicar",$R1121))+ISNUMBER(SEARCH("Razonar",$R1121))),0)</f>
        <v>0.5</v>
      </c>
      <c r="U1121" s="28" t="n">
        <f aca="false">IFERROR(ISNUMBER(SEARCH("Razonar",$R1121))/(ISNUMBER(SEARCH("Conocer",$R1121))+ISNUMBER(SEARCH("Aplicar",$R1121))+ISNUMBER(SEARCH("Razonar",$R1121))),0)</f>
        <v>0.5</v>
      </c>
      <c r="V1121" s="8" t="s">
        <v>386</v>
      </c>
      <c r="W1121" s="8" t="s">
        <v>4934</v>
      </c>
    </row>
    <row r="1122" customFormat="false" ht="15" hidden="false" customHeight="false" outlineLevel="0" collapsed="false">
      <c r="A1122" s="8" t="s">
        <v>4997</v>
      </c>
      <c r="B1122" s="8" t="n">
        <v>10</v>
      </c>
      <c r="C1122" s="8" t="s">
        <v>89</v>
      </c>
      <c r="D1122" s="8" t="s">
        <v>4928</v>
      </c>
      <c r="E1122" s="8" t="s">
        <v>4929</v>
      </c>
      <c r="F1122" s="8" t="n">
        <v>22</v>
      </c>
      <c r="G1122" s="8" t="s">
        <v>4969</v>
      </c>
      <c r="H1122" s="8" t="s">
        <v>4991</v>
      </c>
      <c r="I1122" s="27" t="s">
        <v>4998</v>
      </c>
      <c r="J1122" s="8" t="s">
        <v>4169</v>
      </c>
      <c r="K1122" s="8" t="s">
        <v>4170</v>
      </c>
      <c r="L1122" s="8"/>
      <c r="M1122" s="8" t="str">
        <f aca="false">IF(K1122="FUERA","Fuera del marco",IF(K1122="N/A","Sin marco",IFERROR(INDEX(Catalogo_TIMSS!$C$5:$C$105,MATCH(K1122,Catalogo_TIMSS!$A$5:$A$105,0)),"Pendiente de clasificar")))</f>
        <v>Sin marco</v>
      </c>
      <c r="N1122" s="8" t="str">
        <f aca="false">IF(K1122="FUERA","Fuera del marco",IF(K1122="N/A","Sin marco",IFERROR(INDEX(Catalogo_TIMSS!$F$5:$F$105,MATCH(K1122,Catalogo_TIMSS!$A$5:$A$105,0)),"Pendiente de clasificar")))</f>
        <v>Sin marco</v>
      </c>
      <c r="O1122" s="8" t="str">
        <f aca="false">IF(L1122="","",IFERROR(INDEX(Catalogo_TIMSS!$C$5:$C$105,MATCH(L1122,Catalogo_TIMSS!$A$5:$A$105,0)),"?"))</f>
        <v/>
      </c>
      <c r="P1122" s="8" t="s">
        <v>4170</v>
      </c>
      <c r="Q1122" s="27" t="s">
        <v>4171</v>
      </c>
      <c r="R1122" s="27" t="s">
        <v>4999</v>
      </c>
      <c r="S1122" s="28" t="n">
        <f aca="false">IFERROR(ISNUMBER(SEARCH("Conocer",$R1122))/(ISNUMBER(SEARCH("Conocer",$R1122))+ISNUMBER(SEARCH("Aplicar",$R1122))+ISNUMBER(SEARCH("Razonar",$R1122))),0)</f>
        <v>0</v>
      </c>
      <c r="T1122" s="28" t="n">
        <f aca="false">IFERROR(ISNUMBER(SEARCH("Aplicar",$R1122))/(ISNUMBER(SEARCH("Conocer",$R1122))+ISNUMBER(SEARCH("Aplicar",$R1122))+ISNUMBER(SEARCH("Razonar",$R1122))),0)</f>
        <v>0.5</v>
      </c>
      <c r="U1122" s="28" t="n">
        <f aca="false">IFERROR(ISNUMBER(SEARCH("Razonar",$R1122))/(ISNUMBER(SEARCH("Conocer",$R1122))+ISNUMBER(SEARCH("Aplicar",$R1122))+ISNUMBER(SEARCH("Razonar",$R1122))),0)</f>
        <v>0.5</v>
      </c>
      <c r="V1122" s="8" t="s">
        <v>386</v>
      </c>
      <c r="W1122" s="8" t="s">
        <v>4934</v>
      </c>
    </row>
    <row r="1123" customFormat="false" ht="15" hidden="false" customHeight="false" outlineLevel="0" collapsed="false">
      <c r="A1123" s="8" t="s">
        <v>5000</v>
      </c>
      <c r="B1123" s="8" t="n">
        <v>10</v>
      </c>
      <c r="C1123" s="8" t="s">
        <v>89</v>
      </c>
      <c r="D1123" s="8" t="s">
        <v>4928</v>
      </c>
      <c r="E1123" s="8" t="s">
        <v>4929</v>
      </c>
      <c r="F1123" s="8" t="n">
        <v>23</v>
      </c>
      <c r="G1123" s="8" t="s">
        <v>4969</v>
      </c>
      <c r="H1123" s="8" t="s">
        <v>5001</v>
      </c>
      <c r="I1123" s="27" t="s">
        <v>5002</v>
      </c>
      <c r="J1123" s="8" t="s">
        <v>4169</v>
      </c>
      <c r="K1123" s="8" t="s">
        <v>4170</v>
      </c>
      <c r="L1123" s="8"/>
      <c r="M1123" s="8" t="str">
        <f aca="false">IF(K1123="FUERA","Fuera del marco",IF(K1123="N/A","Sin marco",IFERROR(INDEX(Catalogo_TIMSS!$C$5:$C$105,MATCH(K1123,Catalogo_TIMSS!$A$5:$A$105,0)),"Pendiente de clasificar")))</f>
        <v>Sin marco</v>
      </c>
      <c r="N1123" s="8" t="str">
        <f aca="false">IF(K1123="FUERA","Fuera del marco",IF(K1123="N/A","Sin marco",IFERROR(INDEX(Catalogo_TIMSS!$F$5:$F$105,MATCH(K1123,Catalogo_TIMSS!$A$5:$A$105,0)),"Pendiente de clasificar")))</f>
        <v>Sin marco</v>
      </c>
      <c r="O1123" s="8" t="str">
        <f aca="false">IF(L1123="","",IFERROR(INDEX(Catalogo_TIMSS!$C$5:$C$105,MATCH(L1123,Catalogo_TIMSS!$A$5:$A$105,0)),"?"))</f>
        <v/>
      </c>
      <c r="P1123" s="8" t="s">
        <v>4170</v>
      </c>
      <c r="Q1123" s="27" t="s">
        <v>4171</v>
      </c>
      <c r="R1123" s="27" t="s">
        <v>5003</v>
      </c>
      <c r="S1123" s="28" t="n">
        <f aca="false">IFERROR(ISNUMBER(SEARCH("Conocer",$R1123))/(ISNUMBER(SEARCH("Conocer",$R1123))+ISNUMBER(SEARCH("Aplicar",$R1123))+ISNUMBER(SEARCH("Razonar",$R1123))),0)</f>
        <v>0.333333333333333</v>
      </c>
      <c r="T1123" s="28" t="n">
        <f aca="false">IFERROR(ISNUMBER(SEARCH("Aplicar",$R1123))/(ISNUMBER(SEARCH("Conocer",$R1123))+ISNUMBER(SEARCH("Aplicar",$R1123))+ISNUMBER(SEARCH("Razonar",$R1123))),0)</f>
        <v>0.333333333333333</v>
      </c>
      <c r="U1123" s="28" t="n">
        <f aca="false">IFERROR(ISNUMBER(SEARCH("Razonar",$R1123))/(ISNUMBER(SEARCH("Conocer",$R1123))+ISNUMBER(SEARCH("Aplicar",$R1123))+ISNUMBER(SEARCH("Razonar",$R1123))),0)</f>
        <v>0.333333333333333</v>
      </c>
      <c r="V1123" s="8" t="s">
        <v>386</v>
      </c>
      <c r="W1123" s="8" t="s">
        <v>4934</v>
      </c>
    </row>
    <row r="1124" customFormat="false" ht="15" hidden="false" customHeight="false" outlineLevel="0" collapsed="false">
      <c r="A1124" s="8" t="s">
        <v>5004</v>
      </c>
      <c r="B1124" s="8" t="n">
        <v>10</v>
      </c>
      <c r="C1124" s="8" t="s">
        <v>89</v>
      </c>
      <c r="D1124" s="8" t="s">
        <v>4928</v>
      </c>
      <c r="E1124" s="8" t="s">
        <v>4929</v>
      </c>
      <c r="F1124" s="8" t="n">
        <v>24</v>
      </c>
      <c r="G1124" s="8" t="s">
        <v>4969</v>
      </c>
      <c r="H1124" s="8" t="s">
        <v>5001</v>
      </c>
      <c r="I1124" s="27" t="s">
        <v>5005</v>
      </c>
      <c r="J1124" s="8" t="s">
        <v>4169</v>
      </c>
      <c r="K1124" s="8" t="s">
        <v>4170</v>
      </c>
      <c r="L1124" s="8"/>
      <c r="M1124" s="8" t="str">
        <f aca="false">IF(K1124="FUERA","Fuera del marco",IF(K1124="N/A","Sin marco",IFERROR(INDEX(Catalogo_TIMSS!$C$5:$C$105,MATCH(K1124,Catalogo_TIMSS!$A$5:$A$105,0)),"Pendiente de clasificar")))</f>
        <v>Sin marco</v>
      </c>
      <c r="N1124" s="8" t="str">
        <f aca="false">IF(K1124="FUERA","Fuera del marco",IF(K1124="N/A","Sin marco",IFERROR(INDEX(Catalogo_TIMSS!$F$5:$F$105,MATCH(K1124,Catalogo_TIMSS!$A$5:$A$105,0)),"Pendiente de clasificar")))</f>
        <v>Sin marco</v>
      </c>
      <c r="O1124" s="8" t="str">
        <f aca="false">IF(L1124="","",IFERROR(INDEX(Catalogo_TIMSS!$C$5:$C$105,MATCH(L1124,Catalogo_TIMSS!$A$5:$A$105,0)),"?"))</f>
        <v/>
      </c>
      <c r="P1124" s="8" t="s">
        <v>4170</v>
      </c>
      <c r="Q1124" s="27" t="s">
        <v>4171</v>
      </c>
      <c r="R1124" s="27" t="s">
        <v>5006</v>
      </c>
      <c r="S1124" s="28" t="n">
        <f aca="false">IFERROR(ISNUMBER(SEARCH("Conocer",$R1124))/(ISNUMBER(SEARCH("Conocer",$R1124))+ISNUMBER(SEARCH("Aplicar",$R1124))+ISNUMBER(SEARCH("Razonar",$R1124))),0)</f>
        <v>0</v>
      </c>
      <c r="T1124" s="28" t="n">
        <f aca="false">IFERROR(ISNUMBER(SEARCH("Aplicar",$R1124))/(ISNUMBER(SEARCH("Conocer",$R1124))+ISNUMBER(SEARCH("Aplicar",$R1124))+ISNUMBER(SEARCH("Razonar",$R1124))),0)</f>
        <v>0.5</v>
      </c>
      <c r="U1124" s="28" t="n">
        <f aca="false">IFERROR(ISNUMBER(SEARCH("Razonar",$R1124))/(ISNUMBER(SEARCH("Conocer",$R1124))+ISNUMBER(SEARCH("Aplicar",$R1124))+ISNUMBER(SEARCH("Razonar",$R1124))),0)</f>
        <v>0.5</v>
      </c>
      <c r="V1124" s="8" t="s">
        <v>386</v>
      </c>
      <c r="W1124" s="8" t="s">
        <v>4934</v>
      </c>
    </row>
    <row r="1125" customFormat="false" ht="15" hidden="false" customHeight="false" outlineLevel="0" collapsed="false">
      <c r="A1125" s="8" t="s">
        <v>5007</v>
      </c>
      <c r="B1125" s="8" t="n">
        <v>10</v>
      </c>
      <c r="C1125" s="8" t="s">
        <v>89</v>
      </c>
      <c r="D1125" s="8" t="s">
        <v>4928</v>
      </c>
      <c r="E1125" s="8" t="s">
        <v>4929</v>
      </c>
      <c r="F1125" s="8" t="n">
        <v>25</v>
      </c>
      <c r="G1125" s="8" t="s">
        <v>4969</v>
      </c>
      <c r="H1125" s="8" t="s">
        <v>5001</v>
      </c>
      <c r="I1125" s="27" t="s">
        <v>5008</v>
      </c>
      <c r="J1125" s="8" t="s">
        <v>4169</v>
      </c>
      <c r="K1125" s="8" t="s">
        <v>4170</v>
      </c>
      <c r="L1125" s="8"/>
      <c r="M1125" s="8" t="str">
        <f aca="false">IF(K1125="FUERA","Fuera del marco",IF(K1125="N/A","Sin marco",IFERROR(INDEX(Catalogo_TIMSS!$C$5:$C$105,MATCH(K1125,Catalogo_TIMSS!$A$5:$A$105,0)),"Pendiente de clasificar")))</f>
        <v>Sin marco</v>
      </c>
      <c r="N1125" s="8" t="str">
        <f aca="false">IF(K1125="FUERA","Fuera del marco",IF(K1125="N/A","Sin marco",IFERROR(INDEX(Catalogo_TIMSS!$F$5:$F$105,MATCH(K1125,Catalogo_TIMSS!$A$5:$A$105,0)),"Pendiente de clasificar")))</f>
        <v>Sin marco</v>
      </c>
      <c r="O1125" s="8" t="str">
        <f aca="false">IF(L1125="","",IFERROR(INDEX(Catalogo_TIMSS!$C$5:$C$105,MATCH(L1125,Catalogo_TIMSS!$A$5:$A$105,0)),"?"))</f>
        <v/>
      </c>
      <c r="P1125" s="8" t="s">
        <v>4170</v>
      </c>
      <c r="Q1125" s="27" t="s">
        <v>4171</v>
      </c>
      <c r="R1125" s="27" t="s">
        <v>5009</v>
      </c>
      <c r="S1125" s="28" t="n">
        <f aca="false">IFERROR(ISNUMBER(SEARCH("Conocer",$R1125))/(ISNUMBER(SEARCH("Conocer",$R1125))+ISNUMBER(SEARCH("Aplicar",$R1125))+ISNUMBER(SEARCH("Razonar",$R1125))),0)</f>
        <v>0</v>
      </c>
      <c r="T1125" s="28" t="n">
        <f aca="false">IFERROR(ISNUMBER(SEARCH("Aplicar",$R1125))/(ISNUMBER(SEARCH("Conocer",$R1125))+ISNUMBER(SEARCH("Aplicar",$R1125))+ISNUMBER(SEARCH("Razonar",$R1125))),0)</f>
        <v>0.5</v>
      </c>
      <c r="U1125" s="28" t="n">
        <f aca="false">IFERROR(ISNUMBER(SEARCH("Razonar",$R1125))/(ISNUMBER(SEARCH("Conocer",$R1125))+ISNUMBER(SEARCH("Aplicar",$R1125))+ISNUMBER(SEARCH("Razonar",$R1125))),0)</f>
        <v>0.5</v>
      </c>
      <c r="V1125" s="8" t="s">
        <v>386</v>
      </c>
      <c r="W1125" s="8" t="s">
        <v>4934</v>
      </c>
    </row>
    <row r="1126" customFormat="false" ht="15" hidden="false" customHeight="false" outlineLevel="0" collapsed="false">
      <c r="A1126" s="8" t="s">
        <v>5010</v>
      </c>
      <c r="B1126" s="8" t="n">
        <v>10</v>
      </c>
      <c r="C1126" s="8" t="s">
        <v>89</v>
      </c>
      <c r="D1126" s="8" t="s">
        <v>4928</v>
      </c>
      <c r="E1126" s="8" t="s">
        <v>4929</v>
      </c>
      <c r="F1126" s="8" t="n">
        <v>26</v>
      </c>
      <c r="G1126" s="8" t="s">
        <v>4969</v>
      </c>
      <c r="H1126" s="8" t="s">
        <v>5011</v>
      </c>
      <c r="I1126" s="27" t="s">
        <v>5012</v>
      </c>
      <c r="J1126" s="8" t="s">
        <v>4169</v>
      </c>
      <c r="K1126" s="8" t="s">
        <v>4170</v>
      </c>
      <c r="L1126" s="8"/>
      <c r="M1126" s="8" t="str">
        <f aca="false">IF(K1126="FUERA","Fuera del marco",IF(K1126="N/A","Sin marco",IFERROR(INDEX(Catalogo_TIMSS!$C$5:$C$105,MATCH(K1126,Catalogo_TIMSS!$A$5:$A$105,0)),"Pendiente de clasificar")))</f>
        <v>Sin marco</v>
      </c>
      <c r="N1126" s="8" t="str">
        <f aca="false">IF(K1126="FUERA","Fuera del marco",IF(K1126="N/A","Sin marco",IFERROR(INDEX(Catalogo_TIMSS!$F$5:$F$105,MATCH(K1126,Catalogo_TIMSS!$A$5:$A$105,0)),"Pendiente de clasificar")))</f>
        <v>Sin marco</v>
      </c>
      <c r="O1126" s="8" t="str">
        <f aca="false">IF(L1126="","",IFERROR(INDEX(Catalogo_TIMSS!$C$5:$C$105,MATCH(L1126,Catalogo_TIMSS!$A$5:$A$105,0)),"?"))</f>
        <v/>
      </c>
      <c r="P1126" s="8" t="s">
        <v>4170</v>
      </c>
      <c r="Q1126" s="27" t="s">
        <v>4171</v>
      </c>
      <c r="R1126" s="27" t="s">
        <v>5013</v>
      </c>
      <c r="S1126" s="28" t="n">
        <f aca="false">IFERROR(ISNUMBER(SEARCH("Conocer",$R1126))/(ISNUMBER(SEARCH("Conocer",$R1126))+ISNUMBER(SEARCH("Aplicar",$R1126))+ISNUMBER(SEARCH("Razonar",$R1126))),0)</f>
        <v>0</v>
      </c>
      <c r="T1126" s="28" t="n">
        <f aca="false">IFERROR(ISNUMBER(SEARCH("Aplicar",$R1126))/(ISNUMBER(SEARCH("Conocer",$R1126))+ISNUMBER(SEARCH("Aplicar",$R1126))+ISNUMBER(SEARCH("Razonar",$R1126))),0)</f>
        <v>0.5</v>
      </c>
      <c r="U1126" s="28" t="n">
        <f aca="false">IFERROR(ISNUMBER(SEARCH("Razonar",$R1126))/(ISNUMBER(SEARCH("Conocer",$R1126))+ISNUMBER(SEARCH("Aplicar",$R1126))+ISNUMBER(SEARCH("Razonar",$R1126))),0)</f>
        <v>0.5</v>
      </c>
      <c r="V1126" s="8" t="s">
        <v>386</v>
      </c>
      <c r="W1126" s="8" t="s">
        <v>4934</v>
      </c>
    </row>
    <row r="1127" customFormat="false" ht="15" hidden="false" customHeight="false" outlineLevel="0" collapsed="false">
      <c r="A1127" s="8" t="s">
        <v>5014</v>
      </c>
      <c r="B1127" s="8" t="n">
        <v>10</v>
      </c>
      <c r="C1127" s="8" t="s">
        <v>89</v>
      </c>
      <c r="D1127" s="8" t="s">
        <v>4928</v>
      </c>
      <c r="E1127" s="8" t="s">
        <v>4929</v>
      </c>
      <c r="F1127" s="8" t="n">
        <v>27</v>
      </c>
      <c r="G1127" s="8" t="s">
        <v>4969</v>
      </c>
      <c r="H1127" s="8" t="s">
        <v>5011</v>
      </c>
      <c r="I1127" s="27" t="s">
        <v>5015</v>
      </c>
      <c r="J1127" s="8" t="s">
        <v>4169</v>
      </c>
      <c r="K1127" s="8" t="s">
        <v>4170</v>
      </c>
      <c r="L1127" s="8"/>
      <c r="M1127" s="8" t="str">
        <f aca="false">IF(K1127="FUERA","Fuera del marco",IF(K1127="N/A","Sin marco",IFERROR(INDEX(Catalogo_TIMSS!$C$5:$C$105,MATCH(K1127,Catalogo_TIMSS!$A$5:$A$105,0)),"Pendiente de clasificar")))</f>
        <v>Sin marco</v>
      </c>
      <c r="N1127" s="8" t="str">
        <f aca="false">IF(K1127="FUERA","Fuera del marco",IF(K1127="N/A","Sin marco",IFERROR(INDEX(Catalogo_TIMSS!$F$5:$F$105,MATCH(K1127,Catalogo_TIMSS!$A$5:$A$105,0)),"Pendiente de clasificar")))</f>
        <v>Sin marco</v>
      </c>
      <c r="O1127" s="8" t="str">
        <f aca="false">IF(L1127="","",IFERROR(INDEX(Catalogo_TIMSS!$C$5:$C$105,MATCH(L1127,Catalogo_TIMSS!$A$5:$A$105,0)),"?"))</f>
        <v/>
      </c>
      <c r="P1127" s="8" t="s">
        <v>4170</v>
      </c>
      <c r="Q1127" s="27" t="s">
        <v>4171</v>
      </c>
      <c r="R1127" s="27" t="s">
        <v>5016</v>
      </c>
      <c r="S1127" s="28" t="n">
        <f aca="false">IFERROR(ISNUMBER(SEARCH("Conocer",$R1127))/(ISNUMBER(SEARCH("Conocer",$R1127))+ISNUMBER(SEARCH("Aplicar",$R1127))+ISNUMBER(SEARCH("Razonar",$R1127))),0)</f>
        <v>0</v>
      </c>
      <c r="T1127" s="28" t="n">
        <f aca="false">IFERROR(ISNUMBER(SEARCH("Aplicar",$R1127))/(ISNUMBER(SEARCH("Conocer",$R1127))+ISNUMBER(SEARCH("Aplicar",$R1127))+ISNUMBER(SEARCH("Razonar",$R1127))),0)</f>
        <v>0.5</v>
      </c>
      <c r="U1127" s="28" t="n">
        <f aca="false">IFERROR(ISNUMBER(SEARCH("Razonar",$R1127))/(ISNUMBER(SEARCH("Conocer",$R1127))+ISNUMBER(SEARCH("Aplicar",$R1127))+ISNUMBER(SEARCH("Razonar",$R1127))),0)</f>
        <v>0.5</v>
      </c>
      <c r="V1127" s="8" t="s">
        <v>386</v>
      </c>
      <c r="W1127" s="8" t="s">
        <v>4934</v>
      </c>
    </row>
    <row r="1128" customFormat="false" ht="15" hidden="false" customHeight="false" outlineLevel="0" collapsed="false">
      <c r="A1128" s="8" t="s">
        <v>5017</v>
      </c>
      <c r="B1128" s="8" t="n">
        <v>10</v>
      </c>
      <c r="C1128" s="8" t="s">
        <v>89</v>
      </c>
      <c r="D1128" s="8" t="s">
        <v>4928</v>
      </c>
      <c r="E1128" s="8" t="s">
        <v>4929</v>
      </c>
      <c r="F1128" s="8" t="n">
        <v>28</v>
      </c>
      <c r="G1128" s="8" t="s">
        <v>4969</v>
      </c>
      <c r="H1128" s="8" t="s">
        <v>5011</v>
      </c>
      <c r="I1128" s="27" t="s">
        <v>5018</v>
      </c>
      <c r="J1128" s="8" t="s">
        <v>4169</v>
      </c>
      <c r="K1128" s="8" t="s">
        <v>4170</v>
      </c>
      <c r="L1128" s="8"/>
      <c r="M1128" s="8" t="str">
        <f aca="false">IF(K1128="FUERA","Fuera del marco",IF(K1128="N/A","Sin marco",IFERROR(INDEX(Catalogo_TIMSS!$C$5:$C$105,MATCH(K1128,Catalogo_TIMSS!$A$5:$A$105,0)),"Pendiente de clasificar")))</f>
        <v>Sin marco</v>
      </c>
      <c r="N1128" s="8" t="str">
        <f aca="false">IF(K1128="FUERA","Fuera del marco",IF(K1128="N/A","Sin marco",IFERROR(INDEX(Catalogo_TIMSS!$F$5:$F$105,MATCH(K1128,Catalogo_TIMSS!$A$5:$A$105,0)),"Pendiente de clasificar")))</f>
        <v>Sin marco</v>
      </c>
      <c r="O1128" s="8" t="str">
        <f aca="false">IF(L1128="","",IFERROR(INDEX(Catalogo_TIMSS!$C$5:$C$105,MATCH(L1128,Catalogo_TIMSS!$A$5:$A$105,0)),"?"))</f>
        <v/>
      </c>
      <c r="P1128" s="8" t="s">
        <v>4170</v>
      </c>
      <c r="Q1128" s="27" t="s">
        <v>4171</v>
      </c>
      <c r="R1128" s="27" t="s">
        <v>5019</v>
      </c>
      <c r="S1128" s="28" t="n">
        <f aca="false">IFERROR(ISNUMBER(SEARCH("Conocer",$R1128))/(ISNUMBER(SEARCH("Conocer",$R1128))+ISNUMBER(SEARCH("Aplicar",$R1128))+ISNUMBER(SEARCH("Razonar",$R1128))),0)</f>
        <v>0</v>
      </c>
      <c r="T1128" s="28" t="n">
        <f aca="false">IFERROR(ISNUMBER(SEARCH("Aplicar",$R1128))/(ISNUMBER(SEARCH("Conocer",$R1128))+ISNUMBER(SEARCH("Aplicar",$R1128))+ISNUMBER(SEARCH("Razonar",$R1128))),0)</f>
        <v>0.5</v>
      </c>
      <c r="U1128" s="28" t="n">
        <f aca="false">IFERROR(ISNUMBER(SEARCH("Razonar",$R1128))/(ISNUMBER(SEARCH("Conocer",$R1128))+ISNUMBER(SEARCH("Aplicar",$R1128))+ISNUMBER(SEARCH("Razonar",$R1128))),0)</f>
        <v>0.5</v>
      </c>
      <c r="V1128" s="8" t="s">
        <v>386</v>
      </c>
      <c r="W1128" s="8" t="s">
        <v>4934</v>
      </c>
    </row>
    <row r="1129" customFormat="false" ht="15" hidden="false" customHeight="false" outlineLevel="0" collapsed="false">
      <c r="A1129" s="8" t="s">
        <v>5020</v>
      </c>
      <c r="B1129" s="8" t="n">
        <v>10</v>
      </c>
      <c r="C1129" s="8" t="s">
        <v>89</v>
      </c>
      <c r="D1129" s="8" t="s">
        <v>4928</v>
      </c>
      <c r="E1129" s="8" t="s">
        <v>4929</v>
      </c>
      <c r="F1129" s="8" t="n">
        <v>29</v>
      </c>
      <c r="G1129" s="8" t="s">
        <v>5021</v>
      </c>
      <c r="H1129" s="8" t="s">
        <v>5022</v>
      </c>
      <c r="I1129" s="27" t="s">
        <v>5023</v>
      </c>
      <c r="J1129" s="8" t="s">
        <v>4169</v>
      </c>
      <c r="K1129" s="8" t="s">
        <v>4170</v>
      </c>
      <c r="L1129" s="8"/>
      <c r="M1129" s="8" t="str">
        <f aca="false">IF(K1129="FUERA","Fuera del marco",IF(K1129="N/A","Sin marco",IFERROR(INDEX(Catalogo_TIMSS!$C$5:$C$105,MATCH(K1129,Catalogo_TIMSS!$A$5:$A$105,0)),"Pendiente de clasificar")))</f>
        <v>Sin marco</v>
      </c>
      <c r="N1129" s="8" t="str">
        <f aca="false">IF(K1129="FUERA","Fuera del marco",IF(K1129="N/A","Sin marco",IFERROR(INDEX(Catalogo_TIMSS!$F$5:$F$105,MATCH(K1129,Catalogo_TIMSS!$A$5:$A$105,0)),"Pendiente de clasificar")))</f>
        <v>Sin marco</v>
      </c>
      <c r="O1129" s="8" t="str">
        <f aca="false">IF(L1129="","",IFERROR(INDEX(Catalogo_TIMSS!$C$5:$C$105,MATCH(L1129,Catalogo_TIMSS!$A$5:$A$105,0)),"?"))</f>
        <v/>
      </c>
      <c r="P1129" s="8" t="s">
        <v>4170</v>
      </c>
      <c r="Q1129" s="27" t="s">
        <v>4171</v>
      </c>
      <c r="R1129" s="27" t="s">
        <v>5024</v>
      </c>
      <c r="S1129" s="28" t="n">
        <f aca="false">IFERROR(ISNUMBER(SEARCH("Conocer",$R1129))/(ISNUMBER(SEARCH("Conocer",$R1129))+ISNUMBER(SEARCH("Aplicar",$R1129))+ISNUMBER(SEARCH("Razonar",$R1129))),0)</f>
        <v>0</v>
      </c>
      <c r="T1129" s="28" t="n">
        <f aca="false">IFERROR(ISNUMBER(SEARCH("Aplicar",$R1129))/(ISNUMBER(SEARCH("Conocer",$R1129))+ISNUMBER(SEARCH("Aplicar",$R1129))+ISNUMBER(SEARCH("Razonar",$R1129))),0)</f>
        <v>0.5</v>
      </c>
      <c r="U1129" s="28" t="n">
        <f aca="false">IFERROR(ISNUMBER(SEARCH("Razonar",$R1129))/(ISNUMBER(SEARCH("Conocer",$R1129))+ISNUMBER(SEARCH("Aplicar",$R1129))+ISNUMBER(SEARCH("Razonar",$R1129))),0)</f>
        <v>0.5</v>
      </c>
      <c r="V1129" s="8" t="s">
        <v>386</v>
      </c>
      <c r="W1129" s="8" t="s">
        <v>4934</v>
      </c>
    </row>
    <row r="1130" customFormat="false" ht="15" hidden="false" customHeight="false" outlineLevel="0" collapsed="false">
      <c r="A1130" s="8" t="s">
        <v>5025</v>
      </c>
      <c r="B1130" s="8" t="n">
        <v>10</v>
      </c>
      <c r="C1130" s="8" t="s">
        <v>89</v>
      </c>
      <c r="D1130" s="8" t="s">
        <v>4928</v>
      </c>
      <c r="E1130" s="8" t="s">
        <v>4929</v>
      </c>
      <c r="F1130" s="8" t="n">
        <v>30</v>
      </c>
      <c r="G1130" s="8" t="s">
        <v>5021</v>
      </c>
      <c r="H1130" s="8" t="s">
        <v>5022</v>
      </c>
      <c r="I1130" s="27" t="s">
        <v>5026</v>
      </c>
      <c r="J1130" s="8" t="s">
        <v>4169</v>
      </c>
      <c r="K1130" s="8" t="s">
        <v>4170</v>
      </c>
      <c r="L1130" s="8"/>
      <c r="M1130" s="8" t="str">
        <f aca="false">IF(K1130="FUERA","Fuera del marco",IF(K1130="N/A","Sin marco",IFERROR(INDEX(Catalogo_TIMSS!$C$5:$C$105,MATCH(K1130,Catalogo_TIMSS!$A$5:$A$105,0)),"Pendiente de clasificar")))</f>
        <v>Sin marco</v>
      </c>
      <c r="N1130" s="8" t="str">
        <f aca="false">IF(K1130="FUERA","Fuera del marco",IF(K1130="N/A","Sin marco",IFERROR(INDEX(Catalogo_TIMSS!$F$5:$F$105,MATCH(K1130,Catalogo_TIMSS!$A$5:$A$105,0)),"Pendiente de clasificar")))</f>
        <v>Sin marco</v>
      </c>
      <c r="O1130" s="8" t="str">
        <f aca="false">IF(L1130="","",IFERROR(INDEX(Catalogo_TIMSS!$C$5:$C$105,MATCH(L1130,Catalogo_TIMSS!$A$5:$A$105,0)),"?"))</f>
        <v/>
      </c>
      <c r="P1130" s="8" t="s">
        <v>4170</v>
      </c>
      <c r="Q1130" s="27" t="s">
        <v>4171</v>
      </c>
      <c r="R1130" s="27" t="s">
        <v>5027</v>
      </c>
      <c r="S1130" s="28" t="n">
        <f aca="false">IFERROR(ISNUMBER(SEARCH("Conocer",$R1130))/(ISNUMBER(SEARCH("Conocer",$R1130))+ISNUMBER(SEARCH("Aplicar",$R1130))+ISNUMBER(SEARCH("Razonar",$R1130))),0)</f>
        <v>0.333333333333333</v>
      </c>
      <c r="T1130" s="28" t="n">
        <f aca="false">IFERROR(ISNUMBER(SEARCH("Aplicar",$R1130))/(ISNUMBER(SEARCH("Conocer",$R1130))+ISNUMBER(SEARCH("Aplicar",$R1130))+ISNUMBER(SEARCH("Razonar",$R1130))),0)</f>
        <v>0.333333333333333</v>
      </c>
      <c r="U1130" s="28" t="n">
        <f aca="false">IFERROR(ISNUMBER(SEARCH("Razonar",$R1130))/(ISNUMBER(SEARCH("Conocer",$R1130))+ISNUMBER(SEARCH("Aplicar",$R1130))+ISNUMBER(SEARCH("Razonar",$R1130))),0)</f>
        <v>0.333333333333333</v>
      </c>
      <c r="V1130" s="8" t="s">
        <v>386</v>
      </c>
      <c r="W1130" s="8" t="s">
        <v>4934</v>
      </c>
    </row>
    <row r="1131" customFormat="false" ht="15" hidden="false" customHeight="false" outlineLevel="0" collapsed="false">
      <c r="A1131" s="8" t="s">
        <v>5028</v>
      </c>
      <c r="B1131" s="8" t="n">
        <v>10</v>
      </c>
      <c r="C1131" s="8" t="s">
        <v>89</v>
      </c>
      <c r="D1131" s="8" t="s">
        <v>4928</v>
      </c>
      <c r="E1131" s="8" t="s">
        <v>4929</v>
      </c>
      <c r="F1131" s="8" t="n">
        <v>31</v>
      </c>
      <c r="G1131" s="8" t="s">
        <v>5021</v>
      </c>
      <c r="H1131" s="8" t="s">
        <v>5022</v>
      </c>
      <c r="I1131" s="27" t="s">
        <v>5029</v>
      </c>
      <c r="J1131" s="8" t="s">
        <v>4169</v>
      </c>
      <c r="K1131" s="8" t="s">
        <v>4170</v>
      </c>
      <c r="L1131" s="8"/>
      <c r="M1131" s="8" t="str">
        <f aca="false">IF(K1131="FUERA","Fuera del marco",IF(K1131="N/A","Sin marco",IFERROR(INDEX(Catalogo_TIMSS!$C$5:$C$105,MATCH(K1131,Catalogo_TIMSS!$A$5:$A$105,0)),"Pendiente de clasificar")))</f>
        <v>Sin marco</v>
      </c>
      <c r="N1131" s="8" t="str">
        <f aca="false">IF(K1131="FUERA","Fuera del marco",IF(K1131="N/A","Sin marco",IFERROR(INDEX(Catalogo_TIMSS!$F$5:$F$105,MATCH(K1131,Catalogo_TIMSS!$A$5:$A$105,0)),"Pendiente de clasificar")))</f>
        <v>Sin marco</v>
      </c>
      <c r="O1131" s="8" t="str">
        <f aca="false">IF(L1131="","",IFERROR(INDEX(Catalogo_TIMSS!$C$5:$C$105,MATCH(L1131,Catalogo_TIMSS!$A$5:$A$105,0)),"?"))</f>
        <v/>
      </c>
      <c r="P1131" s="8" t="s">
        <v>4170</v>
      </c>
      <c r="Q1131" s="27" t="s">
        <v>4171</v>
      </c>
      <c r="R1131" s="27" t="s">
        <v>5030</v>
      </c>
      <c r="S1131" s="28" t="n">
        <f aca="false">IFERROR(ISNUMBER(SEARCH("Conocer",$R1131))/(ISNUMBER(SEARCH("Conocer",$R1131))+ISNUMBER(SEARCH("Aplicar",$R1131))+ISNUMBER(SEARCH("Razonar",$R1131))),0)</f>
        <v>0.333333333333333</v>
      </c>
      <c r="T1131" s="28" t="n">
        <f aca="false">IFERROR(ISNUMBER(SEARCH("Aplicar",$R1131))/(ISNUMBER(SEARCH("Conocer",$R1131))+ISNUMBER(SEARCH("Aplicar",$R1131))+ISNUMBER(SEARCH("Razonar",$R1131))),0)</f>
        <v>0.333333333333333</v>
      </c>
      <c r="U1131" s="28" t="n">
        <f aca="false">IFERROR(ISNUMBER(SEARCH("Razonar",$R1131))/(ISNUMBER(SEARCH("Conocer",$R1131))+ISNUMBER(SEARCH("Aplicar",$R1131))+ISNUMBER(SEARCH("Razonar",$R1131))),0)</f>
        <v>0.333333333333333</v>
      </c>
      <c r="V1131" s="8" t="s">
        <v>386</v>
      </c>
      <c r="W1131" s="8" t="s">
        <v>4934</v>
      </c>
    </row>
    <row r="1132" customFormat="false" ht="15" hidden="false" customHeight="false" outlineLevel="0" collapsed="false">
      <c r="A1132" s="8" t="s">
        <v>5031</v>
      </c>
      <c r="B1132" s="8" t="n">
        <v>10</v>
      </c>
      <c r="C1132" s="8" t="s">
        <v>89</v>
      </c>
      <c r="D1132" s="8" t="s">
        <v>4928</v>
      </c>
      <c r="E1132" s="8" t="s">
        <v>4929</v>
      </c>
      <c r="F1132" s="8" t="n">
        <v>32</v>
      </c>
      <c r="G1132" s="8" t="s">
        <v>5021</v>
      </c>
      <c r="H1132" s="8" t="s">
        <v>5032</v>
      </c>
      <c r="I1132" s="27" t="s">
        <v>5033</v>
      </c>
      <c r="J1132" s="8" t="s">
        <v>4169</v>
      </c>
      <c r="K1132" s="8" t="s">
        <v>4170</v>
      </c>
      <c r="L1132" s="8"/>
      <c r="M1132" s="8" t="str">
        <f aca="false">IF(K1132="FUERA","Fuera del marco",IF(K1132="N/A","Sin marco",IFERROR(INDEX(Catalogo_TIMSS!$C$5:$C$105,MATCH(K1132,Catalogo_TIMSS!$A$5:$A$105,0)),"Pendiente de clasificar")))</f>
        <v>Sin marco</v>
      </c>
      <c r="N1132" s="8" t="str">
        <f aca="false">IF(K1132="FUERA","Fuera del marco",IF(K1132="N/A","Sin marco",IFERROR(INDEX(Catalogo_TIMSS!$F$5:$F$105,MATCH(K1132,Catalogo_TIMSS!$A$5:$A$105,0)),"Pendiente de clasificar")))</f>
        <v>Sin marco</v>
      </c>
      <c r="O1132" s="8" t="str">
        <f aca="false">IF(L1132="","",IFERROR(INDEX(Catalogo_TIMSS!$C$5:$C$105,MATCH(L1132,Catalogo_TIMSS!$A$5:$A$105,0)),"?"))</f>
        <v/>
      </c>
      <c r="P1132" s="8" t="s">
        <v>4170</v>
      </c>
      <c r="Q1132" s="27" t="s">
        <v>4171</v>
      </c>
      <c r="R1132" s="27" t="s">
        <v>5034</v>
      </c>
      <c r="S1132" s="28" t="n">
        <f aca="false">IFERROR(ISNUMBER(SEARCH("Conocer",$R1132))/(ISNUMBER(SEARCH("Conocer",$R1132))+ISNUMBER(SEARCH("Aplicar",$R1132))+ISNUMBER(SEARCH("Razonar",$R1132))),0)</f>
        <v>0.333333333333333</v>
      </c>
      <c r="T1132" s="28" t="n">
        <f aca="false">IFERROR(ISNUMBER(SEARCH("Aplicar",$R1132))/(ISNUMBER(SEARCH("Conocer",$R1132))+ISNUMBER(SEARCH("Aplicar",$R1132))+ISNUMBER(SEARCH("Razonar",$R1132))),0)</f>
        <v>0.333333333333333</v>
      </c>
      <c r="U1132" s="28" t="n">
        <f aca="false">IFERROR(ISNUMBER(SEARCH("Razonar",$R1132))/(ISNUMBER(SEARCH("Conocer",$R1132))+ISNUMBER(SEARCH("Aplicar",$R1132))+ISNUMBER(SEARCH("Razonar",$R1132))),0)</f>
        <v>0.333333333333333</v>
      </c>
      <c r="V1132" s="8" t="s">
        <v>386</v>
      </c>
      <c r="W1132" s="8" t="s">
        <v>4934</v>
      </c>
    </row>
    <row r="1133" customFormat="false" ht="15" hidden="false" customHeight="false" outlineLevel="0" collapsed="false">
      <c r="A1133" s="8" t="s">
        <v>5035</v>
      </c>
      <c r="B1133" s="8" t="n">
        <v>10</v>
      </c>
      <c r="C1133" s="8" t="s">
        <v>89</v>
      </c>
      <c r="D1133" s="8" t="s">
        <v>4928</v>
      </c>
      <c r="E1133" s="8" t="s">
        <v>4929</v>
      </c>
      <c r="F1133" s="8" t="n">
        <v>33</v>
      </c>
      <c r="G1133" s="8" t="s">
        <v>5021</v>
      </c>
      <c r="H1133" s="8" t="s">
        <v>5032</v>
      </c>
      <c r="I1133" s="27" t="s">
        <v>5036</v>
      </c>
      <c r="J1133" s="8" t="s">
        <v>4169</v>
      </c>
      <c r="K1133" s="8" t="s">
        <v>4170</v>
      </c>
      <c r="L1133" s="8"/>
      <c r="M1133" s="8" t="str">
        <f aca="false">IF(K1133="FUERA","Fuera del marco",IF(K1133="N/A","Sin marco",IFERROR(INDEX(Catalogo_TIMSS!$C$5:$C$105,MATCH(K1133,Catalogo_TIMSS!$A$5:$A$105,0)),"Pendiente de clasificar")))</f>
        <v>Sin marco</v>
      </c>
      <c r="N1133" s="8" t="str">
        <f aca="false">IF(K1133="FUERA","Fuera del marco",IF(K1133="N/A","Sin marco",IFERROR(INDEX(Catalogo_TIMSS!$F$5:$F$105,MATCH(K1133,Catalogo_TIMSS!$A$5:$A$105,0)),"Pendiente de clasificar")))</f>
        <v>Sin marco</v>
      </c>
      <c r="O1133" s="8" t="str">
        <f aca="false">IF(L1133="","",IFERROR(INDEX(Catalogo_TIMSS!$C$5:$C$105,MATCH(L1133,Catalogo_TIMSS!$A$5:$A$105,0)),"?"))</f>
        <v/>
      </c>
      <c r="P1133" s="8" t="s">
        <v>4170</v>
      </c>
      <c r="Q1133" s="27" t="s">
        <v>4171</v>
      </c>
      <c r="R1133" s="27" t="s">
        <v>5037</v>
      </c>
      <c r="S1133" s="28" t="n">
        <f aca="false">IFERROR(ISNUMBER(SEARCH("Conocer",$R1133))/(ISNUMBER(SEARCH("Conocer",$R1133))+ISNUMBER(SEARCH("Aplicar",$R1133))+ISNUMBER(SEARCH("Razonar",$R1133))),0)</f>
        <v>0</v>
      </c>
      <c r="T1133" s="28" t="n">
        <f aca="false">IFERROR(ISNUMBER(SEARCH("Aplicar",$R1133))/(ISNUMBER(SEARCH("Conocer",$R1133))+ISNUMBER(SEARCH("Aplicar",$R1133))+ISNUMBER(SEARCH("Razonar",$R1133))),0)</f>
        <v>0.5</v>
      </c>
      <c r="U1133" s="28" t="n">
        <f aca="false">IFERROR(ISNUMBER(SEARCH("Razonar",$R1133))/(ISNUMBER(SEARCH("Conocer",$R1133))+ISNUMBER(SEARCH("Aplicar",$R1133))+ISNUMBER(SEARCH("Razonar",$R1133))),0)</f>
        <v>0.5</v>
      </c>
      <c r="V1133" s="8" t="s">
        <v>386</v>
      </c>
      <c r="W1133" s="8" t="s">
        <v>4934</v>
      </c>
    </row>
    <row r="1134" customFormat="false" ht="15" hidden="false" customHeight="false" outlineLevel="0" collapsed="false">
      <c r="A1134" s="8" t="s">
        <v>5038</v>
      </c>
      <c r="B1134" s="8" t="n">
        <v>10</v>
      </c>
      <c r="C1134" s="8" t="s">
        <v>89</v>
      </c>
      <c r="D1134" s="8" t="s">
        <v>4928</v>
      </c>
      <c r="E1134" s="8" t="s">
        <v>4929</v>
      </c>
      <c r="F1134" s="8" t="n">
        <v>34</v>
      </c>
      <c r="G1134" s="8" t="s">
        <v>5021</v>
      </c>
      <c r="H1134" s="8" t="s">
        <v>5032</v>
      </c>
      <c r="I1134" s="27" t="s">
        <v>5039</v>
      </c>
      <c r="J1134" s="8" t="s">
        <v>4169</v>
      </c>
      <c r="K1134" s="8" t="s">
        <v>4170</v>
      </c>
      <c r="L1134" s="8"/>
      <c r="M1134" s="8" t="str">
        <f aca="false">IF(K1134="FUERA","Fuera del marco",IF(K1134="N/A","Sin marco",IFERROR(INDEX(Catalogo_TIMSS!$C$5:$C$105,MATCH(K1134,Catalogo_TIMSS!$A$5:$A$105,0)),"Pendiente de clasificar")))</f>
        <v>Sin marco</v>
      </c>
      <c r="N1134" s="8" t="str">
        <f aca="false">IF(K1134="FUERA","Fuera del marco",IF(K1134="N/A","Sin marco",IFERROR(INDEX(Catalogo_TIMSS!$F$5:$F$105,MATCH(K1134,Catalogo_TIMSS!$A$5:$A$105,0)),"Pendiente de clasificar")))</f>
        <v>Sin marco</v>
      </c>
      <c r="O1134" s="8" t="str">
        <f aca="false">IF(L1134="","",IFERROR(INDEX(Catalogo_TIMSS!$C$5:$C$105,MATCH(L1134,Catalogo_TIMSS!$A$5:$A$105,0)),"?"))</f>
        <v/>
      </c>
      <c r="P1134" s="8" t="s">
        <v>4170</v>
      </c>
      <c r="Q1134" s="27" t="s">
        <v>4171</v>
      </c>
      <c r="R1134" s="27" t="s">
        <v>5040</v>
      </c>
      <c r="S1134" s="28" t="n">
        <f aca="false">IFERROR(ISNUMBER(SEARCH("Conocer",$R1134))/(ISNUMBER(SEARCH("Conocer",$R1134))+ISNUMBER(SEARCH("Aplicar",$R1134))+ISNUMBER(SEARCH("Razonar",$R1134))),0)</f>
        <v>0</v>
      </c>
      <c r="T1134" s="28" t="n">
        <f aca="false">IFERROR(ISNUMBER(SEARCH("Aplicar",$R1134))/(ISNUMBER(SEARCH("Conocer",$R1134))+ISNUMBER(SEARCH("Aplicar",$R1134))+ISNUMBER(SEARCH("Razonar",$R1134))),0)</f>
        <v>0.5</v>
      </c>
      <c r="U1134" s="28" t="n">
        <f aca="false">IFERROR(ISNUMBER(SEARCH("Razonar",$R1134))/(ISNUMBER(SEARCH("Conocer",$R1134))+ISNUMBER(SEARCH("Aplicar",$R1134))+ISNUMBER(SEARCH("Razonar",$R1134))),0)</f>
        <v>0.5</v>
      </c>
      <c r="V1134" s="8" t="s">
        <v>386</v>
      </c>
      <c r="W1134" s="8" t="s">
        <v>4934</v>
      </c>
    </row>
    <row r="1135" customFormat="false" ht="15" hidden="false" customHeight="false" outlineLevel="0" collapsed="false">
      <c r="A1135" s="8" t="s">
        <v>5041</v>
      </c>
      <c r="B1135" s="8" t="n">
        <v>10</v>
      </c>
      <c r="C1135" s="8" t="s">
        <v>89</v>
      </c>
      <c r="D1135" s="8" t="s">
        <v>4928</v>
      </c>
      <c r="E1135" s="8" t="s">
        <v>4929</v>
      </c>
      <c r="F1135" s="8" t="n">
        <v>35</v>
      </c>
      <c r="G1135" s="8" t="s">
        <v>5021</v>
      </c>
      <c r="H1135" s="8" t="s">
        <v>5042</v>
      </c>
      <c r="I1135" s="27" t="s">
        <v>5043</v>
      </c>
      <c r="J1135" s="8" t="s">
        <v>4169</v>
      </c>
      <c r="K1135" s="8" t="s">
        <v>4170</v>
      </c>
      <c r="L1135" s="8"/>
      <c r="M1135" s="8" t="str">
        <f aca="false">IF(K1135="FUERA","Fuera del marco",IF(K1135="N/A","Sin marco",IFERROR(INDEX(Catalogo_TIMSS!$C$5:$C$105,MATCH(K1135,Catalogo_TIMSS!$A$5:$A$105,0)),"Pendiente de clasificar")))</f>
        <v>Sin marco</v>
      </c>
      <c r="N1135" s="8" t="str">
        <f aca="false">IF(K1135="FUERA","Fuera del marco",IF(K1135="N/A","Sin marco",IFERROR(INDEX(Catalogo_TIMSS!$F$5:$F$105,MATCH(K1135,Catalogo_TIMSS!$A$5:$A$105,0)),"Pendiente de clasificar")))</f>
        <v>Sin marco</v>
      </c>
      <c r="O1135" s="8" t="str">
        <f aca="false">IF(L1135="","",IFERROR(INDEX(Catalogo_TIMSS!$C$5:$C$105,MATCH(L1135,Catalogo_TIMSS!$A$5:$A$105,0)),"?"))</f>
        <v/>
      </c>
      <c r="P1135" s="8" t="s">
        <v>4170</v>
      </c>
      <c r="Q1135" s="27" t="s">
        <v>4171</v>
      </c>
      <c r="R1135" s="27" t="s">
        <v>5044</v>
      </c>
      <c r="S1135" s="28" t="n">
        <f aca="false">IFERROR(ISNUMBER(SEARCH("Conocer",$R1135))/(ISNUMBER(SEARCH("Conocer",$R1135))+ISNUMBER(SEARCH("Aplicar",$R1135))+ISNUMBER(SEARCH("Razonar",$R1135))),0)</f>
        <v>0.333333333333333</v>
      </c>
      <c r="T1135" s="28" t="n">
        <f aca="false">IFERROR(ISNUMBER(SEARCH("Aplicar",$R1135))/(ISNUMBER(SEARCH("Conocer",$R1135))+ISNUMBER(SEARCH("Aplicar",$R1135))+ISNUMBER(SEARCH("Razonar",$R1135))),0)</f>
        <v>0.333333333333333</v>
      </c>
      <c r="U1135" s="28" t="n">
        <f aca="false">IFERROR(ISNUMBER(SEARCH("Razonar",$R1135))/(ISNUMBER(SEARCH("Conocer",$R1135))+ISNUMBER(SEARCH("Aplicar",$R1135))+ISNUMBER(SEARCH("Razonar",$R1135))),0)</f>
        <v>0.333333333333333</v>
      </c>
      <c r="V1135" s="8" t="s">
        <v>386</v>
      </c>
      <c r="W1135" s="8" t="s">
        <v>4934</v>
      </c>
    </row>
    <row r="1136" customFormat="false" ht="15" hidden="false" customHeight="false" outlineLevel="0" collapsed="false">
      <c r="A1136" s="8" t="s">
        <v>5045</v>
      </c>
      <c r="B1136" s="8" t="n">
        <v>10</v>
      </c>
      <c r="C1136" s="8" t="s">
        <v>89</v>
      </c>
      <c r="D1136" s="8" t="s">
        <v>4928</v>
      </c>
      <c r="E1136" s="8" t="s">
        <v>4929</v>
      </c>
      <c r="F1136" s="8" t="n">
        <v>36</v>
      </c>
      <c r="G1136" s="8" t="s">
        <v>5021</v>
      </c>
      <c r="H1136" s="8" t="s">
        <v>5042</v>
      </c>
      <c r="I1136" s="27" t="s">
        <v>5046</v>
      </c>
      <c r="J1136" s="8" t="s">
        <v>4169</v>
      </c>
      <c r="K1136" s="8" t="s">
        <v>4170</v>
      </c>
      <c r="L1136" s="8"/>
      <c r="M1136" s="8" t="str">
        <f aca="false">IF(K1136="FUERA","Fuera del marco",IF(K1136="N/A","Sin marco",IFERROR(INDEX(Catalogo_TIMSS!$C$5:$C$105,MATCH(K1136,Catalogo_TIMSS!$A$5:$A$105,0)),"Pendiente de clasificar")))</f>
        <v>Sin marco</v>
      </c>
      <c r="N1136" s="8" t="str">
        <f aca="false">IF(K1136="FUERA","Fuera del marco",IF(K1136="N/A","Sin marco",IFERROR(INDEX(Catalogo_TIMSS!$F$5:$F$105,MATCH(K1136,Catalogo_TIMSS!$A$5:$A$105,0)),"Pendiente de clasificar")))</f>
        <v>Sin marco</v>
      </c>
      <c r="O1136" s="8" t="str">
        <f aca="false">IF(L1136="","",IFERROR(INDEX(Catalogo_TIMSS!$C$5:$C$105,MATCH(L1136,Catalogo_TIMSS!$A$5:$A$105,0)),"?"))</f>
        <v/>
      </c>
      <c r="P1136" s="8" t="s">
        <v>4170</v>
      </c>
      <c r="Q1136" s="27" t="s">
        <v>4171</v>
      </c>
      <c r="R1136" s="27" t="s">
        <v>5047</v>
      </c>
      <c r="S1136" s="28" t="n">
        <f aca="false">IFERROR(ISNUMBER(SEARCH("Conocer",$R1136))/(ISNUMBER(SEARCH("Conocer",$R1136))+ISNUMBER(SEARCH("Aplicar",$R1136))+ISNUMBER(SEARCH("Razonar",$R1136))),0)</f>
        <v>0.333333333333333</v>
      </c>
      <c r="T1136" s="28" t="n">
        <f aca="false">IFERROR(ISNUMBER(SEARCH("Aplicar",$R1136))/(ISNUMBER(SEARCH("Conocer",$R1136))+ISNUMBER(SEARCH("Aplicar",$R1136))+ISNUMBER(SEARCH("Razonar",$R1136))),0)</f>
        <v>0.333333333333333</v>
      </c>
      <c r="U1136" s="28" t="n">
        <f aca="false">IFERROR(ISNUMBER(SEARCH("Razonar",$R1136))/(ISNUMBER(SEARCH("Conocer",$R1136))+ISNUMBER(SEARCH("Aplicar",$R1136))+ISNUMBER(SEARCH("Razonar",$R1136))),0)</f>
        <v>0.333333333333333</v>
      </c>
      <c r="V1136" s="8" t="s">
        <v>386</v>
      </c>
      <c r="W1136" s="8" t="s">
        <v>4934</v>
      </c>
    </row>
    <row r="1137" customFormat="false" ht="15" hidden="false" customHeight="false" outlineLevel="0" collapsed="false">
      <c r="A1137" s="8" t="s">
        <v>5048</v>
      </c>
      <c r="B1137" s="8" t="n">
        <v>10</v>
      </c>
      <c r="C1137" s="8" t="s">
        <v>89</v>
      </c>
      <c r="D1137" s="8" t="s">
        <v>4928</v>
      </c>
      <c r="E1137" s="8" t="s">
        <v>4929</v>
      </c>
      <c r="F1137" s="8" t="n">
        <v>37</v>
      </c>
      <c r="G1137" s="8" t="s">
        <v>5021</v>
      </c>
      <c r="H1137" s="8" t="s">
        <v>5042</v>
      </c>
      <c r="I1137" s="27" t="s">
        <v>5049</v>
      </c>
      <c r="J1137" s="8" t="s">
        <v>4169</v>
      </c>
      <c r="K1137" s="8" t="s">
        <v>4170</v>
      </c>
      <c r="L1137" s="8"/>
      <c r="M1137" s="8" t="str">
        <f aca="false">IF(K1137="FUERA","Fuera del marco",IF(K1137="N/A","Sin marco",IFERROR(INDEX(Catalogo_TIMSS!$C$5:$C$105,MATCH(K1137,Catalogo_TIMSS!$A$5:$A$105,0)),"Pendiente de clasificar")))</f>
        <v>Sin marco</v>
      </c>
      <c r="N1137" s="8" t="str">
        <f aca="false">IF(K1137="FUERA","Fuera del marco",IF(K1137="N/A","Sin marco",IFERROR(INDEX(Catalogo_TIMSS!$F$5:$F$105,MATCH(K1137,Catalogo_TIMSS!$A$5:$A$105,0)),"Pendiente de clasificar")))</f>
        <v>Sin marco</v>
      </c>
      <c r="O1137" s="8" t="str">
        <f aca="false">IF(L1137="","",IFERROR(INDEX(Catalogo_TIMSS!$C$5:$C$105,MATCH(L1137,Catalogo_TIMSS!$A$5:$A$105,0)),"?"))</f>
        <v/>
      </c>
      <c r="P1137" s="8" t="s">
        <v>4170</v>
      </c>
      <c r="Q1137" s="27" t="s">
        <v>4171</v>
      </c>
      <c r="R1137" s="27" t="s">
        <v>5050</v>
      </c>
      <c r="S1137" s="28" t="n">
        <f aca="false">IFERROR(ISNUMBER(SEARCH("Conocer",$R1137))/(ISNUMBER(SEARCH("Conocer",$R1137))+ISNUMBER(SEARCH("Aplicar",$R1137))+ISNUMBER(SEARCH("Razonar",$R1137))),0)</f>
        <v>0</v>
      </c>
      <c r="T1137" s="28" t="n">
        <f aca="false">IFERROR(ISNUMBER(SEARCH("Aplicar",$R1137))/(ISNUMBER(SEARCH("Conocer",$R1137))+ISNUMBER(SEARCH("Aplicar",$R1137))+ISNUMBER(SEARCH("Razonar",$R1137))),0)</f>
        <v>0.5</v>
      </c>
      <c r="U1137" s="28" t="n">
        <f aca="false">IFERROR(ISNUMBER(SEARCH("Razonar",$R1137))/(ISNUMBER(SEARCH("Conocer",$R1137))+ISNUMBER(SEARCH("Aplicar",$R1137))+ISNUMBER(SEARCH("Razonar",$R1137))),0)</f>
        <v>0.5</v>
      </c>
      <c r="V1137" s="8" t="s">
        <v>386</v>
      </c>
      <c r="W1137" s="8" t="s">
        <v>4934</v>
      </c>
    </row>
    <row r="1138" customFormat="false" ht="15" hidden="false" customHeight="false" outlineLevel="0" collapsed="false">
      <c r="A1138" s="8" t="s">
        <v>5051</v>
      </c>
      <c r="B1138" s="8" t="n">
        <v>10</v>
      </c>
      <c r="C1138" s="8" t="s">
        <v>89</v>
      </c>
      <c r="D1138" s="8" t="s">
        <v>4928</v>
      </c>
      <c r="E1138" s="8" t="s">
        <v>4929</v>
      </c>
      <c r="F1138" s="8" t="n">
        <v>38</v>
      </c>
      <c r="G1138" s="8" t="s">
        <v>5021</v>
      </c>
      <c r="H1138" s="8" t="s">
        <v>5052</v>
      </c>
      <c r="I1138" s="27" t="s">
        <v>5053</v>
      </c>
      <c r="J1138" s="8" t="s">
        <v>4169</v>
      </c>
      <c r="K1138" s="8" t="s">
        <v>4170</v>
      </c>
      <c r="L1138" s="8"/>
      <c r="M1138" s="8" t="str">
        <f aca="false">IF(K1138="FUERA","Fuera del marco",IF(K1138="N/A","Sin marco",IFERROR(INDEX(Catalogo_TIMSS!$C$5:$C$105,MATCH(K1138,Catalogo_TIMSS!$A$5:$A$105,0)),"Pendiente de clasificar")))</f>
        <v>Sin marco</v>
      </c>
      <c r="N1138" s="8" t="str">
        <f aca="false">IF(K1138="FUERA","Fuera del marco",IF(K1138="N/A","Sin marco",IFERROR(INDEX(Catalogo_TIMSS!$F$5:$F$105,MATCH(K1138,Catalogo_TIMSS!$A$5:$A$105,0)),"Pendiente de clasificar")))</f>
        <v>Sin marco</v>
      </c>
      <c r="O1138" s="8" t="str">
        <f aca="false">IF(L1138="","",IFERROR(INDEX(Catalogo_TIMSS!$C$5:$C$105,MATCH(L1138,Catalogo_TIMSS!$A$5:$A$105,0)),"?"))</f>
        <v/>
      </c>
      <c r="P1138" s="8" t="s">
        <v>4170</v>
      </c>
      <c r="Q1138" s="27" t="s">
        <v>4171</v>
      </c>
      <c r="R1138" s="27" t="s">
        <v>5054</v>
      </c>
      <c r="S1138" s="28" t="n">
        <f aca="false">IFERROR(ISNUMBER(SEARCH("Conocer",$R1138))/(ISNUMBER(SEARCH("Conocer",$R1138))+ISNUMBER(SEARCH("Aplicar",$R1138))+ISNUMBER(SEARCH("Razonar",$R1138))),0)</f>
        <v>0.333333333333333</v>
      </c>
      <c r="T1138" s="28" t="n">
        <f aca="false">IFERROR(ISNUMBER(SEARCH("Aplicar",$R1138))/(ISNUMBER(SEARCH("Conocer",$R1138))+ISNUMBER(SEARCH("Aplicar",$R1138))+ISNUMBER(SEARCH("Razonar",$R1138))),0)</f>
        <v>0.333333333333333</v>
      </c>
      <c r="U1138" s="28" t="n">
        <f aca="false">IFERROR(ISNUMBER(SEARCH("Razonar",$R1138))/(ISNUMBER(SEARCH("Conocer",$R1138))+ISNUMBER(SEARCH("Aplicar",$R1138))+ISNUMBER(SEARCH("Razonar",$R1138))),0)</f>
        <v>0.333333333333333</v>
      </c>
      <c r="V1138" s="8" t="s">
        <v>386</v>
      </c>
      <c r="W1138" s="8" t="s">
        <v>4934</v>
      </c>
    </row>
    <row r="1139" customFormat="false" ht="15" hidden="false" customHeight="false" outlineLevel="0" collapsed="false">
      <c r="A1139" s="8" t="s">
        <v>5055</v>
      </c>
      <c r="B1139" s="8" t="n">
        <v>10</v>
      </c>
      <c r="C1139" s="8" t="s">
        <v>89</v>
      </c>
      <c r="D1139" s="8" t="s">
        <v>4928</v>
      </c>
      <c r="E1139" s="8" t="s">
        <v>4929</v>
      </c>
      <c r="F1139" s="8" t="n">
        <v>39</v>
      </c>
      <c r="G1139" s="8" t="s">
        <v>5021</v>
      </c>
      <c r="H1139" s="8" t="s">
        <v>5052</v>
      </c>
      <c r="I1139" s="27" t="s">
        <v>5056</v>
      </c>
      <c r="J1139" s="8" t="s">
        <v>4169</v>
      </c>
      <c r="K1139" s="8" t="s">
        <v>4170</v>
      </c>
      <c r="L1139" s="8"/>
      <c r="M1139" s="8" t="str">
        <f aca="false">IF(K1139="FUERA","Fuera del marco",IF(K1139="N/A","Sin marco",IFERROR(INDEX(Catalogo_TIMSS!$C$5:$C$105,MATCH(K1139,Catalogo_TIMSS!$A$5:$A$105,0)),"Pendiente de clasificar")))</f>
        <v>Sin marco</v>
      </c>
      <c r="N1139" s="8" t="str">
        <f aca="false">IF(K1139="FUERA","Fuera del marco",IF(K1139="N/A","Sin marco",IFERROR(INDEX(Catalogo_TIMSS!$F$5:$F$105,MATCH(K1139,Catalogo_TIMSS!$A$5:$A$105,0)),"Pendiente de clasificar")))</f>
        <v>Sin marco</v>
      </c>
      <c r="O1139" s="8" t="str">
        <f aca="false">IF(L1139="","",IFERROR(INDEX(Catalogo_TIMSS!$C$5:$C$105,MATCH(L1139,Catalogo_TIMSS!$A$5:$A$105,0)),"?"))</f>
        <v/>
      </c>
      <c r="P1139" s="8" t="s">
        <v>4170</v>
      </c>
      <c r="Q1139" s="27" t="s">
        <v>4171</v>
      </c>
      <c r="R1139" s="27" t="s">
        <v>5057</v>
      </c>
      <c r="S1139" s="28" t="n">
        <f aca="false">IFERROR(ISNUMBER(SEARCH("Conocer",$R1139))/(ISNUMBER(SEARCH("Conocer",$R1139))+ISNUMBER(SEARCH("Aplicar",$R1139))+ISNUMBER(SEARCH("Razonar",$R1139))),0)</f>
        <v>0</v>
      </c>
      <c r="T1139" s="28" t="n">
        <f aca="false">IFERROR(ISNUMBER(SEARCH("Aplicar",$R1139))/(ISNUMBER(SEARCH("Conocer",$R1139))+ISNUMBER(SEARCH("Aplicar",$R1139))+ISNUMBER(SEARCH("Razonar",$R1139))),0)</f>
        <v>0.5</v>
      </c>
      <c r="U1139" s="28" t="n">
        <f aca="false">IFERROR(ISNUMBER(SEARCH("Razonar",$R1139))/(ISNUMBER(SEARCH("Conocer",$R1139))+ISNUMBER(SEARCH("Aplicar",$R1139))+ISNUMBER(SEARCH("Razonar",$R1139))),0)</f>
        <v>0.5</v>
      </c>
      <c r="V1139" s="8" t="s">
        <v>386</v>
      </c>
      <c r="W1139" s="8" t="s">
        <v>4934</v>
      </c>
    </row>
    <row r="1140" customFormat="false" ht="15" hidden="false" customHeight="false" outlineLevel="0" collapsed="false">
      <c r="A1140" s="8" t="s">
        <v>5058</v>
      </c>
      <c r="B1140" s="8" t="n">
        <v>10</v>
      </c>
      <c r="C1140" s="8" t="s">
        <v>89</v>
      </c>
      <c r="D1140" s="8" t="s">
        <v>4928</v>
      </c>
      <c r="E1140" s="8" t="s">
        <v>4929</v>
      </c>
      <c r="F1140" s="8" t="n">
        <v>40</v>
      </c>
      <c r="G1140" s="8" t="s">
        <v>5021</v>
      </c>
      <c r="H1140" s="8" t="s">
        <v>5052</v>
      </c>
      <c r="I1140" s="27" t="s">
        <v>5059</v>
      </c>
      <c r="J1140" s="8" t="s">
        <v>4169</v>
      </c>
      <c r="K1140" s="8" t="s">
        <v>4170</v>
      </c>
      <c r="L1140" s="8"/>
      <c r="M1140" s="8" t="str">
        <f aca="false">IF(K1140="FUERA","Fuera del marco",IF(K1140="N/A","Sin marco",IFERROR(INDEX(Catalogo_TIMSS!$C$5:$C$105,MATCH(K1140,Catalogo_TIMSS!$A$5:$A$105,0)),"Pendiente de clasificar")))</f>
        <v>Sin marco</v>
      </c>
      <c r="N1140" s="8" t="str">
        <f aca="false">IF(K1140="FUERA","Fuera del marco",IF(K1140="N/A","Sin marco",IFERROR(INDEX(Catalogo_TIMSS!$F$5:$F$105,MATCH(K1140,Catalogo_TIMSS!$A$5:$A$105,0)),"Pendiente de clasificar")))</f>
        <v>Sin marco</v>
      </c>
      <c r="O1140" s="8" t="str">
        <f aca="false">IF(L1140="","",IFERROR(INDEX(Catalogo_TIMSS!$C$5:$C$105,MATCH(L1140,Catalogo_TIMSS!$A$5:$A$105,0)),"?"))</f>
        <v/>
      </c>
      <c r="P1140" s="8" t="s">
        <v>4170</v>
      </c>
      <c r="Q1140" s="27" t="s">
        <v>4171</v>
      </c>
      <c r="R1140" s="27" t="s">
        <v>5060</v>
      </c>
      <c r="S1140" s="28" t="n">
        <f aca="false">IFERROR(ISNUMBER(SEARCH("Conocer",$R1140))/(ISNUMBER(SEARCH("Conocer",$R1140))+ISNUMBER(SEARCH("Aplicar",$R1140))+ISNUMBER(SEARCH("Razonar",$R1140))),0)</f>
        <v>0.333333333333333</v>
      </c>
      <c r="T1140" s="28" t="n">
        <f aca="false">IFERROR(ISNUMBER(SEARCH("Aplicar",$R1140))/(ISNUMBER(SEARCH("Conocer",$R1140))+ISNUMBER(SEARCH("Aplicar",$R1140))+ISNUMBER(SEARCH("Razonar",$R1140))),0)</f>
        <v>0.333333333333333</v>
      </c>
      <c r="U1140" s="28" t="n">
        <f aca="false">IFERROR(ISNUMBER(SEARCH("Razonar",$R1140))/(ISNUMBER(SEARCH("Conocer",$R1140))+ISNUMBER(SEARCH("Aplicar",$R1140))+ISNUMBER(SEARCH("Razonar",$R1140))),0)</f>
        <v>0.333333333333333</v>
      </c>
      <c r="V1140" s="8" t="s">
        <v>386</v>
      </c>
      <c r="W1140" s="8" t="s">
        <v>4934</v>
      </c>
    </row>
    <row r="1141" customFormat="false" ht="15" hidden="false" customHeight="false" outlineLevel="0" collapsed="false">
      <c r="A1141" s="8" t="s">
        <v>5061</v>
      </c>
      <c r="B1141" s="8" t="n">
        <v>10</v>
      </c>
      <c r="C1141" s="8" t="s">
        <v>89</v>
      </c>
      <c r="D1141" s="8" t="s">
        <v>4928</v>
      </c>
      <c r="E1141" s="8" t="s">
        <v>4929</v>
      </c>
      <c r="F1141" s="8" t="n">
        <v>41</v>
      </c>
      <c r="G1141" s="8" t="s">
        <v>5062</v>
      </c>
      <c r="H1141" s="8" t="s">
        <v>5063</v>
      </c>
      <c r="I1141" s="27" t="s">
        <v>5064</v>
      </c>
      <c r="J1141" s="8" t="s">
        <v>4169</v>
      </c>
      <c r="K1141" s="8" t="s">
        <v>4170</v>
      </c>
      <c r="L1141" s="8"/>
      <c r="M1141" s="8" t="str">
        <f aca="false">IF(K1141="FUERA","Fuera del marco",IF(K1141="N/A","Sin marco",IFERROR(INDEX(Catalogo_TIMSS!$C$5:$C$105,MATCH(K1141,Catalogo_TIMSS!$A$5:$A$105,0)),"Pendiente de clasificar")))</f>
        <v>Sin marco</v>
      </c>
      <c r="N1141" s="8" t="str">
        <f aca="false">IF(K1141="FUERA","Fuera del marco",IF(K1141="N/A","Sin marco",IFERROR(INDEX(Catalogo_TIMSS!$F$5:$F$105,MATCH(K1141,Catalogo_TIMSS!$A$5:$A$105,0)),"Pendiente de clasificar")))</f>
        <v>Sin marco</v>
      </c>
      <c r="O1141" s="8" t="str">
        <f aca="false">IF(L1141="","",IFERROR(INDEX(Catalogo_TIMSS!$C$5:$C$105,MATCH(L1141,Catalogo_TIMSS!$A$5:$A$105,0)),"?"))</f>
        <v/>
      </c>
      <c r="P1141" s="8" t="s">
        <v>4170</v>
      </c>
      <c r="Q1141" s="27" t="s">
        <v>4171</v>
      </c>
      <c r="R1141" s="27" t="s">
        <v>5065</v>
      </c>
      <c r="S1141" s="28" t="n">
        <f aca="false">IFERROR(ISNUMBER(SEARCH("Conocer",$R1141))/(ISNUMBER(SEARCH("Conocer",$R1141))+ISNUMBER(SEARCH("Aplicar",$R1141))+ISNUMBER(SEARCH("Razonar",$R1141))),0)</f>
        <v>0</v>
      </c>
      <c r="T1141" s="28" t="n">
        <f aca="false">IFERROR(ISNUMBER(SEARCH("Aplicar",$R1141))/(ISNUMBER(SEARCH("Conocer",$R1141))+ISNUMBER(SEARCH("Aplicar",$R1141))+ISNUMBER(SEARCH("Razonar",$R1141))),0)</f>
        <v>0.5</v>
      </c>
      <c r="U1141" s="28" t="n">
        <f aca="false">IFERROR(ISNUMBER(SEARCH("Razonar",$R1141))/(ISNUMBER(SEARCH("Conocer",$R1141))+ISNUMBER(SEARCH("Aplicar",$R1141))+ISNUMBER(SEARCH("Razonar",$R1141))),0)</f>
        <v>0.5</v>
      </c>
      <c r="V1141" s="8" t="s">
        <v>386</v>
      </c>
      <c r="W1141" s="8" t="s">
        <v>4934</v>
      </c>
    </row>
    <row r="1142" customFormat="false" ht="15" hidden="false" customHeight="false" outlineLevel="0" collapsed="false">
      <c r="A1142" s="8" t="s">
        <v>5066</v>
      </c>
      <c r="B1142" s="8" t="n">
        <v>10</v>
      </c>
      <c r="C1142" s="8" t="s">
        <v>89</v>
      </c>
      <c r="D1142" s="8" t="s">
        <v>4928</v>
      </c>
      <c r="E1142" s="8" t="s">
        <v>4929</v>
      </c>
      <c r="F1142" s="8" t="n">
        <v>42</v>
      </c>
      <c r="G1142" s="8" t="s">
        <v>5062</v>
      </c>
      <c r="H1142" s="8" t="s">
        <v>5063</v>
      </c>
      <c r="I1142" s="27" t="s">
        <v>5067</v>
      </c>
      <c r="J1142" s="8" t="s">
        <v>4169</v>
      </c>
      <c r="K1142" s="8" t="s">
        <v>4170</v>
      </c>
      <c r="L1142" s="8"/>
      <c r="M1142" s="8" t="str">
        <f aca="false">IF(K1142="FUERA","Fuera del marco",IF(K1142="N/A","Sin marco",IFERROR(INDEX(Catalogo_TIMSS!$C$5:$C$105,MATCH(K1142,Catalogo_TIMSS!$A$5:$A$105,0)),"Pendiente de clasificar")))</f>
        <v>Sin marco</v>
      </c>
      <c r="N1142" s="8" t="str">
        <f aca="false">IF(K1142="FUERA","Fuera del marco",IF(K1142="N/A","Sin marco",IFERROR(INDEX(Catalogo_TIMSS!$F$5:$F$105,MATCH(K1142,Catalogo_TIMSS!$A$5:$A$105,0)),"Pendiente de clasificar")))</f>
        <v>Sin marco</v>
      </c>
      <c r="O1142" s="8" t="str">
        <f aca="false">IF(L1142="","",IFERROR(INDEX(Catalogo_TIMSS!$C$5:$C$105,MATCH(L1142,Catalogo_TIMSS!$A$5:$A$105,0)),"?"))</f>
        <v/>
      </c>
      <c r="P1142" s="8" t="s">
        <v>4170</v>
      </c>
      <c r="Q1142" s="27" t="s">
        <v>4171</v>
      </c>
      <c r="R1142" s="27" t="s">
        <v>5068</v>
      </c>
      <c r="S1142" s="28" t="n">
        <f aca="false">IFERROR(ISNUMBER(SEARCH("Conocer",$R1142))/(ISNUMBER(SEARCH("Conocer",$R1142))+ISNUMBER(SEARCH("Aplicar",$R1142))+ISNUMBER(SEARCH("Razonar",$R1142))),0)</f>
        <v>0</v>
      </c>
      <c r="T1142" s="28" t="n">
        <f aca="false">IFERROR(ISNUMBER(SEARCH("Aplicar",$R1142))/(ISNUMBER(SEARCH("Conocer",$R1142))+ISNUMBER(SEARCH("Aplicar",$R1142))+ISNUMBER(SEARCH("Razonar",$R1142))),0)</f>
        <v>0.5</v>
      </c>
      <c r="U1142" s="28" t="n">
        <f aca="false">IFERROR(ISNUMBER(SEARCH("Razonar",$R1142))/(ISNUMBER(SEARCH("Conocer",$R1142))+ISNUMBER(SEARCH("Aplicar",$R1142))+ISNUMBER(SEARCH("Razonar",$R1142))),0)</f>
        <v>0.5</v>
      </c>
      <c r="V1142" s="8" t="s">
        <v>386</v>
      </c>
      <c r="W1142" s="8" t="s">
        <v>4934</v>
      </c>
    </row>
    <row r="1143" customFormat="false" ht="15" hidden="false" customHeight="false" outlineLevel="0" collapsed="false">
      <c r="A1143" s="8" t="s">
        <v>5069</v>
      </c>
      <c r="B1143" s="8" t="n">
        <v>10</v>
      </c>
      <c r="C1143" s="8" t="s">
        <v>89</v>
      </c>
      <c r="D1143" s="8" t="s">
        <v>4928</v>
      </c>
      <c r="E1143" s="8" t="s">
        <v>4929</v>
      </c>
      <c r="F1143" s="8" t="n">
        <v>43</v>
      </c>
      <c r="G1143" s="8" t="s">
        <v>5062</v>
      </c>
      <c r="H1143" s="8" t="s">
        <v>5070</v>
      </c>
      <c r="I1143" s="27" t="s">
        <v>5071</v>
      </c>
      <c r="J1143" s="8" t="s">
        <v>4169</v>
      </c>
      <c r="K1143" s="8" t="s">
        <v>4170</v>
      </c>
      <c r="L1143" s="8"/>
      <c r="M1143" s="8" t="str">
        <f aca="false">IF(K1143="FUERA","Fuera del marco",IF(K1143="N/A","Sin marco",IFERROR(INDEX(Catalogo_TIMSS!$C$5:$C$105,MATCH(K1143,Catalogo_TIMSS!$A$5:$A$105,0)),"Pendiente de clasificar")))</f>
        <v>Sin marco</v>
      </c>
      <c r="N1143" s="8" t="str">
        <f aca="false">IF(K1143="FUERA","Fuera del marco",IF(K1143="N/A","Sin marco",IFERROR(INDEX(Catalogo_TIMSS!$F$5:$F$105,MATCH(K1143,Catalogo_TIMSS!$A$5:$A$105,0)),"Pendiente de clasificar")))</f>
        <v>Sin marco</v>
      </c>
      <c r="O1143" s="8" t="str">
        <f aca="false">IF(L1143="","",IFERROR(INDEX(Catalogo_TIMSS!$C$5:$C$105,MATCH(L1143,Catalogo_TIMSS!$A$5:$A$105,0)),"?"))</f>
        <v/>
      </c>
      <c r="P1143" s="8" t="s">
        <v>4170</v>
      </c>
      <c r="Q1143" s="27" t="s">
        <v>4171</v>
      </c>
      <c r="R1143" s="27" t="s">
        <v>5072</v>
      </c>
      <c r="S1143" s="28" t="n">
        <f aca="false">IFERROR(ISNUMBER(SEARCH("Conocer",$R1143))/(ISNUMBER(SEARCH("Conocer",$R1143))+ISNUMBER(SEARCH("Aplicar",$R1143))+ISNUMBER(SEARCH("Razonar",$R1143))),0)</f>
        <v>0</v>
      </c>
      <c r="T1143" s="28" t="n">
        <f aca="false">IFERROR(ISNUMBER(SEARCH("Aplicar",$R1143))/(ISNUMBER(SEARCH("Conocer",$R1143))+ISNUMBER(SEARCH("Aplicar",$R1143))+ISNUMBER(SEARCH("Razonar",$R1143))),0)</f>
        <v>0.5</v>
      </c>
      <c r="U1143" s="28" t="n">
        <f aca="false">IFERROR(ISNUMBER(SEARCH("Razonar",$R1143))/(ISNUMBER(SEARCH("Conocer",$R1143))+ISNUMBER(SEARCH("Aplicar",$R1143))+ISNUMBER(SEARCH("Razonar",$R1143))),0)</f>
        <v>0.5</v>
      </c>
      <c r="V1143" s="8" t="s">
        <v>386</v>
      </c>
      <c r="W1143" s="8" t="s">
        <v>4934</v>
      </c>
    </row>
    <row r="1144" customFormat="false" ht="15" hidden="false" customHeight="false" outlineLevel="0" collapsed="false">
      <c r="A1144" s="8" t="s">
        <v>5073</v>
      </c>
      <c r="B1144" s="8" t="n">
        <v>10</v>
      </c>
      <c r="C1144" s="8" t="s">
        <v>89</v>
      </c>
      <c r="D1144" s="8" t="s">
        <v>4928</v>
      </c>
      <c r="E1144" s="8" t="s">
        <v>4929</v>
      </c>
      <c r="F1144" s="8" t="n">
        <v>44</v>
      </c>
      <c r="G1144" s="8" t="s">
        <v>5062</v>
      </c>
      <c r="H1144" s="8" t="s">
        <v>5074</v>
      </c>
      <c r="I1144" s="27" t="s">
        <v>5075</v>
      </c>
      <c r="J1144" s="8" t="s">
        <v>4169</v>
      </c>
      <c r="K1144" s="8" t="s">
        <v>4170</v>
      </c>
      <c r="L1144" s="8"/>
      <c r="M1144" s="8" t="str">
        <f aca="false">IF(K1144="FUERA","Fuera del marco",IF(K1144="N/A","Sin marco",IFERROR(INDEX(Catalogo_TIMSS!$C$5:$C$105,MATCH(K1144,Catalogo_TIMSS!$A$5:$A$105,0)),"Pendiente de clasificar")))</f>
        <v>Sin marco</v>
      </c>
      <c r="N1144" s="8" t="str">
        <f aca="false">IF(K1144="FUERA","Fuera del marco",IF(K1144="N/A","Sin marco",IFERROR(INDEX(Catalogo_TIMSS!$F$5:$F$105,MATCH(K1144,Catalogo_TIMSS!$A$5:$A$105,0)),"Pendiente de clasificar")))</f>
        <v>Sin marco</v>
      </c>
      <c r="O1144" s="8" t="str">
        <f aca="false">IF(L1144="","",IFERROR(INDEX(Catalogo_TIMSS!$C$5:$C$105,MATCH(L1144,Catalogo_TIMSS!$A$5:$A$105,0)),"?"))</f>
        <v/>
      </c>
      <c r="P1144" s="8" t="s">
        <v>4170</v>
      </c>
      <c r="Q1144" s="27" t="s">
        <v>4171</v>
      </c>
      <c r="R1144" s="27" t="s">
        <v>5076</v>
      </c>
      <c r="S1144" s="28" t="n">
        <f aca="false">IFERROR(ISNUMBER(SEARCH("Conocer",$R1144))/(ISNUMBER(SEARCH("Conocer",$R1144))+ISNUMBER(SEARCH("Aplicar",$R1144))+ISNUMBER(SEARCH("Razonar",$R1144))),0)</f>
        <v>0</v>
      </c>
      <c r="T1144" s="28" t="n">
        <f aca="false">IFERROR(ISNUMBER(SEARCH("Aplicar",$R1144))/(ISNUMBER(SEARCH("Conocer",$R1144))+ISNUMBER(SEARCH("Aplicar",$R1144))+ISNUMBER(SEARCH("Razonar",$R1144))),0)</f>
        <v>0.5</v>
      </c>
      <c r="U1144" s="28" t="n">
        <f aca="false">IFERROR(ISNUMBER(SEARCH("Razonar",$R1144))/(ISNUMBER(SEARCH("Conocer",$R1144))+ISNUMBER(SEARCH("Aplicar",$R1144))+ISNUMBER(SEARCH("Razonar",$R1144))),0)</f>
        <v>0.5</v>
      </c>
      <c r="V1144" s="8" t="s">
        <v>386</v>
      </c>
      <c r="W1144" s="8" t="s">
        <v>4934</v>
      </c>
    </row>
    <row r="1145" customFormat="false" ht="15" hidden="false" customHeight="false" outlineLevel="0" collapsed="false">
      <c r="A1145" s="8" t="s">
        <v>5077</v>
      </c>
      <c r="B1145" s="8" t="n">
        <v>10</v>
      </c>
      <c r="C1145" s="8" t="s">
        <v>89</v>
      </c>
      <c r="D1145" s="8" t="s">
        <v>4928</v>
      </c>
      <c r="E1145" s="8" t="s">
        <v>4929</v>
      </c>
      <c r="F1145" s="8" t="n">
        <v>45</v>
      </c>
      <c r="G1145" s="8" t="s">
        <v>5062</v>
      </c>
      <c r="H1145" s="8" t="s">
        <v>5078</v>
      </c>
      <c r="I1145" s="27" t="s">
        <v>5079</v>
      </c>
      <c r="J1145" s="8" t="s">
        <v>4169</v>
      </c>
      <c r="K1145" s="8" t="s">
        <v>4170</v>
      </c>
      <c r="L1145" s="8"/>
      <c r="M1145" s="8" t="str">
        <f aca="false">IF(K1145="FUERA","Fuera del marco",IF(K1145="N/A","Sin marco",IFERROR(INDEX(Catalogo_TIMSS!$C$5:$C$105,MATCH(K1145,Catalogo_TIMSS!$A$5:$A$105,0)),"Pendiente de clasificar")))</f>
        <v>Sin marco</v>
      </c>
      <c r="N1145" s="8" t="str">
        <f aca="false">IF(K1145="FUERA","Fuera del marco",IF(K1145="N/A","Sin marco",IFERROR(INDEX(Catalogo_TIMSS!$F$5:$F$105,MATCH(K1145,Catalogo_TIMSS!$A$5:$A$105,0)),"Pendiente de clasificar")))</f>
        <v>Sin marco</v>
      </c>
      <c r="O1145" s="8" t="str">
        <f aca="false">IF(L1145="","",IFERROR(INDEX(Catalogo_TIMSS!$C$5:$C$105,MATCH(L1145,Catalogo_TIMSS!$A$5:$A$105,0)),"?"))</f>
        <v/>
      </c>
      <c r="P1145" s="8" t="s">
        <v>4170</v>
      </c>
      <c r="Q1145" s="27" t="s">
        <v>4171</v>
      </c>
      <c r="R1145" s="27" t="s">
        <v>5080</v>
      </c>
      <c r="S1145" s="28" t="n">
        <f aca="false">IFERROR(ISNUMBER(SEARCH("Conocer",$R1145))/(ISNUMBER(SEARCH("Conocer",$R1145))+ISNUMBER(SEARCH("Aplicar",$R1145))+ISNUMBER(SEARCH("Razonar",$R1145))),0)</f>
        <v>0</v>
      </c>
      <c r="T1145" s="28" t="n">
        <f aca="false">IFERROR(ISNUMBER(SEARCH("Aplicar",$R1145))/(ISNUMBER(SEARCH("Conocer",$R1145))+ISNUMBER(SEARCH("Aplicar",$R1145))+ISNUMBER(SEARCH("Razonar",$R1145))),0)</f>
        <v>0.5</v>
      </c>
      <c r="U1145" s="28" t="n">
        <f aca="false">IFERROR(ISNUMBER(SEARCH("Razonar",$R1145))/(ISNUMBER(SEARCH("Conocer",$R1145))+ISNUMBER(SEARCH("Aplicar",$R1145))+ISNUMBER(SEARCH("Razonar",$R1145))),0)</f>
        <v>0.5</v>
      </c>
      <c r="V1145" s="8" t="s">
        <v>386</v>
      </c>
      <c r="W1145" s="8" t="s">
        <v>4934</v>
      </c>
    </row>
    <row r="1146" customFormat="false" ht="15" hidden="false" customHeight="false" outlineLevel="0" collapsed="false">
      <c r="A1146" s="8" t="s">
        <v>5081</v>
      </c>
      <c r="B1146" s="8" t="n">
        <v>10</v>
      </c>
      <c r="C1146" s="8" t="s">
        <v>89</v>
      </c>
      <c r="D1146" s="8" t="s">
        <v>4928</v>
      </c>
      <c r="E1146" s="8" t="s">
        <v>4929</v>
      </c>
      <c r="F1146" s="8" t="n">
        <v>46</v>
      </c>
      <c r="G1146" s="8" t="s">
        <v>5062</v>
      </c>
      <c r="H1146" s="8" t="s">
        <v>5082</v>
      </c>
      <c r="I1146" s="27" t="s">
        <v>5083</v>
      </c>
      <c r="J1146" s="8" t="s">
        <v>4169</v>
      </c>
      <c r="K1146" s="8" t="s">
        <v>4170</v>
      </c>
      <c r="L1146" s="8"/>
      <c r="M1146" s="8" t="str">
        <f aca="false">IF(K1146="FUERA","Fuera del marco",IF(K1146="N/A","Sin marco",IFERROR(INDEX(Catalogo_TIMSS!$C$5:$C$105,MATCH(K1146,Catalogo_TIMSS!$A$5:$A$105,0)),"Pendiente de clasificar")))</f>
        <v>Sin marco</v>
      </c>
      <c r="N1146" s="8" t="str">
        <f aca="false">IF(K1146="FUERA","Fuera del marco",IF(K1146="N/A","Sin marco",IFERROR(INDEX(Catalogo_TIMSS!$F$5:$F$105,MATCH(K1146,Catalogo_TIMSS!$A$5:$A$105,0)),"Pendiente de clasificar")))</f>
        <v>Sin marco</v>
      </c>
      <c r="O1146" s="8" t="str">
        <f aca="false">IF(L1146="","",IFERROR(INDEX(Catalogo_TIMSS!$C$5:$C$105,MATCH(L1146,Catalogo_TIMSS!$A$5:$A$105,0)),"?"))</f>
        <v/>
      </c>
      <c r="P1146" s="8" t="s">
        <v>4170</v>
      </c>
      <c r="Q1146" s="27" t="s">
        <v>4171</v>
      </c>
      <c r="R1146" s="27" t="s">
        <v>5084</v>
      </c>
      <c r="S1146" s="28" t="n">
        <f aca="false">IFERROR(ISNUMBER(SEARCH("Conocer",$R1146))/(ISNUMBER(SEARCH("Conocer",$R1146))+ISNUMBER(SEARCH("Aplicar",$R1146))+ISNUMBER(SEARCH("Razonar",$R1146))),0)</f>
        <v>0.333333333333333</v>
      </c>
      <c r="T1146" s="28" t="n">
        <f aca="false">IFERROR(ISNUMBER(SEARCH("Aplicar",$R1146))/(ISNUMBER(SEARCH("Conocer",$R1146))+ISNUMBER(SEARCH("Aplicar",$R1146))+ISNUMBER(SEARCH("Razonar",$R1146))),0)</f>
        <v>0.333333333333333</v>
      </c>
      <c r="U1146" s="28" t="n">
        <f aca="false">IFERROR(ISNUMBER(SEARCH("Razonar",$R1146))/(ISNUMBER(SEARCH("Conocer",$R1146))+ISNUMBER(SEARCH("Aplicar",$R1146))+ISNUMBER(SEARCH("Razonar",$R1146))),0)</f>
        <v>0.333333333333333</v>
      </c>
      <c r="V1146" s="8" t="s">
        <v>386</v>
      </c>
      <c r="W1146" s="8" t="s">
        <v>4934</v>
      </c>
    </row>
    <row r="1147" customFormat="false" ht="15" hidden="false" customHeight="false" outlineLevel="0" collapsed="false">
      <c r="A1147" s="8" t="s">
        <v>5085</v>
      </c>
      <c r="B1147" s="8" t="n">
        <v>10</v>
      </c>
      <c r="C1147" s="8" t="s">
        <v>89</v>
      </c>
      <c r="D1147" s="8" t="s">
        <v>4928</v>
      </c>
      <c r="E1147" s="8" t="s">
        <v>4929</v>
      </c>
      <c r="F1147" s="8" t="n">
        <v>47</v>
      </c>
      <c r="G1147" s="8" t="s">
        <v>5062</v>
      </c>
      <c r="H1147" s="8" t="s">
        <v>5086</v>
      </c>
      <c r="I1147" s="27" t="s">
        <v>5087</v>
      </c>
      <c r="J1147" s="8" t="s">
        <v>4169</v>
      </c>
      <c r="K1147" s="8" t="s">
        <v>4170</v>
      </c>
      <c r="L1147" s="8"/>
      <c r="M1147" s="8" t="str">
        <f aca="false">IF(K1147="FUERA","Fuera del marco",IF(K1147="N/A","Sin marco",IFERROR(INDEX(Catalogo_TIMSS!$C$5:$C$105,MATCH(K1147,Catalogo_TIMSS!$A$5:$A$105,0)),"Pendiente de clasificar")))</f>
        <v>Sin marco</v>
      </c>
      <c r="N1147" s="8" t="str">
        <f aca="false">IF(K1147="FUERA","Fuera del marco",IF(K1147="N/A","Sin marco",IFERROR(INDEX(Catalogo_TIMSS!$F$5:$F$105,MATCH(K1147,Catalogo_TIMSS!$A$5:$A$105,0)),"Pendiente de clasificar")))</f>
        <v>Sin marco</v>
      </c>
      <c r="O1147" s="8" t="str">
        <f aca="false">IF(L1147="","",IFERROR(INDEX(Catalogo_TIMSS!$C$5:$C$105,MATCH(L1147,Catalogo_TIMSS!$A$5:$A$105,0)),"?"))</f>
        <v/>
      </c>
      <c r="P1147" s="8" t="s">
        <v>4170</v>
      </c>
      <c r="Q1147" s="27" t="s">
        <v>4171</v>
      </c>
      <c r="R1147" s="27" t="s">
        <v>5088</v>
      </c>
      <c r="S1147" s="28" t="n">
        <f aca="false">IFERROR(ISNUMBER(SEARCH("Conocer",$R1147))/(ISNUMBER(SEARCH("Conocer",$R1147))+ISNUMBER(SEARCH("Aplicar",$R1147))+ISNUMBER(SEARCH("Razonar",$R1147))),0)</f>
        <v>0.5</v>
      </c>
      <c r="T1147" s="28" t="n">
        <f aca="false">IFERROR(ISNUMBER(SEARCH("Aplicar",$R1147))/(ISNUMBER(SEARCH("Conocer",$R1147))+ISNUMBER(SEARCH("Aplicar",$R1147))+ISNUMBER(SEARCH("Razonar",$R1147))),0)</f>
        <v>0</v>
      </c>
      <c r="U1147" s="28" t="n">
        <f aca="false">IFERROR(ISNUMBER(SEARCH("Razonar",$R1147))/(ISNUMBER(SEARCH("Conocer",$R1147))+ISNUMBER(SEARCH("Aplicar",$R1147))+ISNUMBER(SEARCH("Razonar",$R1147))),0)</f>
        <v>0.5</v>
      </c>
      <c r="V1147" s="8" t="s">
        <v>386</v>
      </c>
      <c r="W1147" s="8" t="s">
        <v>4934</v>
      </c>
    </row>
    <row r="1148" customFormat="false" ht="15" hidden="false" customHeight="false" outlineLevel="0" collapsed="false">
      <c r="A1148" s="8" t="s">
        <v>5089</v>
      </c>
      <c r="B1148" s="8" t="n">
        <v>10</v>
      </c>
      <c r="C1148" s="8" t="s">
        <v>89</v>
      </c>
      <c r="D1148" s="8" t="s">
        <v>4928</v>
      </c>
      <c r="E1148" s="8" t="s">
        <v>4929</v>
      </c>
      <c r="F1148" s="8" t="n">
        <v>48</v>
      </c>
      <c r="G1148" s="8" t="s">
        <v>5090</v>
      </c>
      <c r="H1148" s="8" t="s">
        <v>5091</v>
      </c>
      <c r="I1148" s="27" t="s">
        <v>5092</v>
      </c>
      <c r="J1148" s="8" t="s">
        <v>4169</v>
      </c>
      <c r="K1148" s="8" t="s">
        <v>4170</v>
      </c>
      <c r="L1148" s="8"/>
      <c r="M1148" s="8" t="str">
        <f aca="false">IF(K1148="FUERA","Fuera del marco",IF(K1148="N/A","Sin marco",IFERROR(INDEX(Catalogo_TIMSS!$C$5:$C$105,MATCH(K1148,Catalogo_TIMSS!$A$5:$A$105,0)),"Pendiente de clasificar")))</f>
        <v>Sin marco</v>
      </c>
      <c r="N1148" s="8" t="str">
        <f aca="false">IF(K1148="FUERA","Fuera del marco",IF(K1148="N/A","Sin marco",IFERROR(INDEX(Catalogo_TIMSS!$F$5:$F$105,MATCH(K1148,Catalogo_TIMSS!$A$5:$A$105,0)),"Pendiente de clasificar")))</f>
        <v>Sin marco</v>
      </c>
      <c r="O1148" s="8" t="str">
        <f aca="false">IF(L1148="","",IFERROR(INDEX(Catalogo_TIMSS!$C$5:$C$105,MATCH(L1148,Catalogo_TIMSS!$A$5:$A$105,0)),"?"))</f>
        <v/>
      </c>
      <c r="P1148" s="8" t="s">
        <v>4170</v>
      </c>
      <c r="Q1148" s="27" t="s">
        <v>4171</v>
      </c>
      <c r="R1148" s="27" t="s">
        <v>5093</v>
      </c>
      <c r="S1148" s="28" t="n">
        <f aca="false">IFERROR(ISNUMBER(SEARCH("Conocer",$R1148))/(ISNUMBER(SEARCH("Conocer",$R1148))+ISNUMBER(SEARCH("Aplicar",$R1148))+ISNUMBER(SEARCH("Razonar",$R1148))),0)</f>
        <v>0.5</v>
      </c>
      <c r="T1148" s="28" t="n">
        <f aca="false">IFERROR(ISNUMBER(SEARCH("Aplicar",$R1148))/(ISNUMBER(SEARCH("Conocer",$R1148))+ISNUMBER(SEARCH("Aplicar",$R1148))+ISNUMBER(SEARCH("Razonar",$R1148))),0)</f>
        <v>0</v>
      </c>
      <c r="U1148" s="28" t="n">
        <f aca="false">IFERROR(ISNUMBER(SEARCH("Razonar",$R1148))/(ISNUMBER(SEARCH("Conocer",$R1148))+ISNUMBER(SEARCH("Aplicar",$R1148))+ISNUMBER(SEARCH("Razonar",$R1148))),0)</f>
        <v>0.5</v>
      </c>
      <c r="V1148" s="8" t="s">
        <v>386</v>
      </c>
      <c r="W1148" s="8" t="s">
        <v>4934</v>
      </c>
    </row>
    <row r="1149" customFormat="false" ht="15" hidden="false" customHeight="false" outlineLevel="0" collapsed="false">
      <c r="A1149" s="8" t="s">
        <v>5094</v>
      </c>
      <c r="B1149" s="8" t="n">
        <v>10</v>
      </c>
      <c r="C1149" s="8" t="s">
        <v>89</v>
      </c>
      <c r="D1149" s="8" t="s">
        <v>4928</v>
      </c>
      <c r="E1149" s="8" t="s">
        <v>4929</v>
      </c>
      <c r="F1149" s="8" t="n">
        <v>49</v>
      </c>
      <c r="G1149" s="8" t="s">
        <v>5090</v>
      </c>
      <c r="H1149" s="8" t="s">
        <v>5091</v>
      </c>
      <c r="I1149" s="27" t="s">
        <v>5095</v>
      </c>
      <c r="J1149" s="8" t="s">
        <v>4169</v>
      </c>
      <c r="K1149" s="8" t="s">
        <v>4170</v>
      </c>
      <c r="L1149" s="8"/>
      <c r="M1149" s="8" t="str">
        <f aca="false">IF(K1149="FUERA","Fuera del marco",IF(K1149="N/A","Sin marco",IFERROR(INDEX(Catalogo_TIMSS!$C$5:$C$105,MATCH(K1149,Catalogo_TIMSS!$A$5:$A$105,0)),"Pendiente de clasificar")))</f>
        <v>Sin marco</v>
      </c>
      <c r="N1149" s="8" t="str">
        <f aca="false">IF(K1149="FUERA","Fuera del marco",IF(K1149="N/A","Sin marco",IFERROR(INDEX(Catalogo_TIMSS!$F$5:$F$105,MATCH(K1149,Catalogo_TIMSS!$A$5:$A$105,0)),"Pendiente de clasificar")))</f>
        <v>Sin marco</v>
      </c>
      <c r="O1149" s="8" t="str">
        <f aca="false">IF(L1149="","",IFERROR(INDEX(Catalogo_TIMSS!$C$5:$C$105,MATCH(L1149,Catalogo_TIMSS!$A$5:$A$105,0)),"?"))</f>
        <v/>
      </c>
      <c r="P1149" s="8" t="s">
        <v>4170</v>
      </c>
      <c r="Q1149" s="27" t="s">
        <v>4171</v>
      </c>
      <c r="R1149" s="27" t="s">
        <v>5096</v>
      </c>
      <c r="S1149" s="28" t="n">
        <f aca="false">IFERROR(ISNUMBER(SEARCH("Conocer",$R1149))/(ISNUMBER(SEARCH("Conocer",$R1149))+ISNUMBER(SEARCH("Aplicar",$R1149))+ISNUMBER(SEARCH("Razonar",$R1149))),0)</f>
        <v>0.5</v>
      </c>
      <c r="T1149" s="28" t="n">
        <f aca="false">IFERROR(ISNUMBER(SEARCH("Aplicar",$R1149))/(ISNUMBER(SEARCH("Conocer",$R1149))+ISNUMBER(SEARCH("Aplicar",$R1149))+ISNUMBER(SEARCH("Razonar",$R1149))),0)</f>
        <v>0</v>
      </c>
      <c r="U1149" s="28" t="n">
        <f aca="false">IFERROR(ISNUMBER(SEARCH("Razonar",$R1149))/(ISNUMBER(SEARCH("Conocer",$R1149))+ISNUMBER(SEARCH("Aplicar",$R1149))+ISNUMBER(SEARCH("Razonar",$R1149))),0)</f>
        <v>0.5</v>
      </c>
      <c r="V1149" s="8" t="s">
        <v>386</v>
      </c>
      <c r="W1149" s="8" t="s">
        <v>4934</v>
      </c>
    </row>
    <row r="1150" customFormat="false" ht="15" hidden="false" customHeight="false" outlineLevel="0" collapsed="false">
      <c r="A1150" s="8" t="s">
        <v>5097</v>
      </c>
      <c r="B1150" s="8" t="n">
        <v>10</v>
      </c>
      <c r="C1150" s="8" t="s">
        <v>89</v>
      </c>
      <c r="D1150" s="8" t="s">
        <v>4928</v>
      </c>
      <c r="E1150" s="8" t="s">
        <v>4929</v>
      </c>
      <c r="F1150" s="8" t="n">
        <v>50</v>
      </c>
      <c r="G1150" s="8" t="s">
        <v>5090</v>
      </c>
      <c r="H1150" s="8" t="s">
        <v>5098</v>
      </c>
      <c r="I1150" s="27" t="s">
        <v>5099</v>
      </c>
      <c r="J1150" s="8" t="s">
        <v>4169</v>
      </c>
      <c r="K1150" s="8" t="s">
        <v>4170</v>
      </c>
      <c r="L1150" s="8"/>
      <c r="M1150" s="8" t="str">
        <f aca="false">IF(K1150="FUERA","Fuera del marco",IF(K1150="N/A","Sin marco",IFERROR(INDEX(Catalogo_TIMSS!$C$5:$C$105,MATCH(K1150,Catalogo_TIMSS!$A$5:$A$105,0)),"Pendiente de clasificar")))</f>
        <v>Sin marco</v>
      </c>
      <c r="N1150" s="8" t="str">
        <f aca="false">IF(K1150="FUERA","Fuera del marco",IF(K1150="N/A","Sin marco",IFERROR(INDEX(Catalogo_TIMSS!$F$5:$F$105,MATCH(K1150,Catalogo_TIMSS!$A$5:$A$105,0)),"Pendiente de clasificar")))</f>
        <v>Sin marco</v>
      </c>
      <c r="O1150" s="8" t="str">
        <f aca="false">IF(L1150="","",IFERROR(INDEX(Catalogo_TIMSS!$C$5:$C$105,MATCH(L1150,Catalogo_TIMSS!$A$5:$A$105,0)),"?"))</f>
        <v/>
      </c>
      <c r="P1150" s="8" t="s">
        <v>4170</v>
      </c>
      <c r="Q1150" s="27" t="s">
        <v>4171</v>
      </c>
      <c r="R1150" s="27" t="s">
        <v>5100</v>
      </c>
      <c r="S1150" s="28" t="n">
        <f aca="false">IFERROR(ISNUMBER(SEARCH("Conocer",$R1150))/(ISNUMBER(SEARCH("Conocer",$R1150))+ISNUMBER(SEARCH("Aplicar",$R1150))+ISNUMBER(SEARCH("Razonar",$R1150))),0)</f>
        <v>0</v>
      </c>
      <c r="T1150" s="28" t="n">
        <f aca="false">IFERROR(ISNUMBER(SEARCH("Aplicar",$R1150))/(ISNUMBER(SEARCH("Conocer",$R1150))+ISNUMBER(SEARCH("Aplicar",$R1150))+ISNUMBER(SEARCH("Razonar",$R1150))),0)</f>
        <v>0.5</v>
      </c>
      <c r="U1150" s="28" t="n">
        <f aca="false">IFERROR(ISNUMBER(SEARCH("Razonar",$R1150))/(ISNUMBER(SEARCH("Conocer",$R1150))+ISNUMBER(SEARCH("Aplicar",$R1150))+ISNUMBER(SEARCH("Razonar",$R1150))),0)</f>
        <v>0.5</v>
      </c>
      <c r="V1150" s="8" t="s">
        <v>386</v>
      </c>
      <c r="W1150" s="8" t="s">
        <v>4934</v>
      </c>
    </row>
    <row r="1151" customFormat="false" ht="15" hidden="false" customHeight="false" outlineLevel="0" collapsed="false">
      <c r="A1151" s="8" t="s">
        <v>5101</v>
      </c>
      <c r="B1151" s="8" t="n">
        <v>10</v>
      </c>
      <c r="C1151" s="8" t="s">
        <v>89</v>
      </c>
      <c r="D1151" s="8" t="s">
        <v>4928</v>
      </c>
      <c r="E1151" s="8" t="s">
        <v>4929</v>
      </c>
      <c r="F1151" s="8" t="n">
        <v>51</v>
      </c>
      <c r="G1151" s="8" t="s">
        <v>5090</v>
      </c>
      <c r="H1151" s="8" t="s">
        <v>5098</v>
      </c>
      <c r="I1151" s="27" t="s">
        <v>5102</v>
      </c>
      <c r="J1151" s="8" t="s">
        <v>4169</v>
      </c>
      <c r="K1151" s="8" t="s">
        <v>4170</v>
      </c>
      <c r="L1151" s="8"/>
      <c r="M1151" s="8" t="str">
        <f aca="false">IF(K1151="FUERA","Fuera del marco",IF(K1151="N/A","Sin marco",IFERROR(INDEX(Catalogo_TIMSS!$C$5:$C$105,MATCH(K1151,Catalogo_TIMSS!$A$5:$A$105,0)),"Pendiente de clasificar")))</f>
        <v>Sin marco</v>
      </c>
      <c r="N1151" s="8" t="str">
        <f aca="false">IF(K1151="FUERA","Fuera del marco",IF(K1151="N/A","Sin marco",IFERROR(INDEX(Catalogo_TIMSS!$F$5:$F$105,MATCH(K1151,Catalogo_TIMSS!$A$5:$A$105,0)),"Pendiente de clasificar")))</f>
        <v>Sin marco</v>
      </c>
      <c r="O1151" s="8" t="str">
        <f aca="false">IF(L1151="","",IFERROR(INDEX(Catalogo_TIMSS!$C$5:$C$105,MATCH(L1151,Catalogo_TIMSS!$A$5:$A$105,0)),"?"))</f>
        <v/>
      </c>
      <c r="P1151" s="8" t="s">
        <v>4170</v>
      </c>
      <c r="Q1151" s="27" t="s">
        <v>4171</v>
      </c>
      <c r="R1151" s="27" t="s">
        <v>5103</v>
      </c>
      <c r="S1151" s="28" t="n">
        <f aca="false">IFERROR(ISNUMBER(SEARCH("Conocer",$R1151))/(ISNUMBER(SEARCH("Conocer",$R1151))+ISNUMBER(SEARCH("Aplicar",$R1151))+ISNUMBER(SEARCH("Razonar",$R1151))),0)</f>
        <v>0.5</v>
      </c>
      <c r="T1151" s="28" t="n">
        <f aca="false">IFERROR(ISNUMBER(SEARCH("Aplicar",$R1151))/(ISNUMBER(SEARCH("Conocer",$R1151))+ISNUMBER(SEARCH("Aplicar",$R1151))+ISNUMBER(SEARCH("Razonar",$R1151))),0)</f>
        <v>0</v>
      </c>
      <c r="U1151" s="28" t="n">
        <f aca="false">IFERROR(ISNUMBER(SEARCH("Razonar",$R1151))/(ISNUMBER(SEARCH("Conocer",$R1151))+ISNUMBER(SEARCH("Aplicar",$R1151))+ISNUMBER(SEARCH("Razonar",$R1151))),0)</f>
        <v>0.5</v>
      </c>
      <c r="V1151" s="8" t="s">
        <v>386</v>
      </c>
      <c r="W1151" s="8" t="s">
        <v>4934</v>
      </c>
    </row>
    <row r="1152" customFormat="false" ht="15" hidden="false" customHeight="false" outlineLevel="0" collapsed="false">
      <c r="A1152" s="8" t="s">
        <v>5104</v>
      </c>
      <c r="B1152" s="8" t="n">
        <v>10</v>
      </c>
      <c r="C1152" s="8" t="s">
        <v>89</v>
      </c>
      <c r="D1152" s="8" t="s">
        <v>4928</v>
      </c>
      <c r="E1152" s="8" t="s">
        <v>4929</v>
      </c>
      <c r="F1152" s="8" t="n">
        <v>52</v>
      </c>
      <c r="G1152" s="8" t="s">
        <v>5090</v>
      </c>
      <c r="H1152" s="8" t="s">
        <v>5098</v>
      </c>
      <c r="I1152" s="27" t="s">
        <v>5105</v>
      </c>
      <c r="J1152" s="8" t="s">
        <v>4169</v>
      </c>
      <c r="K1152" s="8" t="s">
        <v>4170</v>
      </c>
      <c r="L1152" s="8"/>
      <c r="M1152" s="8" t="str">
        <f aca="false">IF(K1152="FUERA","Fuera del marco",IF(K1152="N/A","Sin marco",IFERROR(INDEX(Catalogo_TIMSS!$C$5:$C$105,MATCH(K1152,Catalogo_TIMSS!$A$5:$A$105,0)),"Pendiente de clasificar")))</f>
        <v>Sin marco</v>
      </c>
      <c r="N1152" s="8" t="str">
        <f aca="false">IF(K1152="FUERA","Fuera del marco",IF(K1152="N/A","Sin marco",IFERROR(INDEX(Catalogo_TIMSS!$F$5:$F$105,MATCH(K1152,Catalogo_TIMSS!$A$5:$A$105,0)),"Pendiente de clasificar")))</f>
        <v>Sin marco</v>
      </c>
      <c r="O1152" s="8" t="str">
        <f aca="false">IF(L1152="","",IFERROR(INDEX(Catalogo_TIMSS!$C$5:$C$105,MATCH(L1152,Catalogo_TIMSS!$A$5:$A$105,0)),"?"))</f>
        <v/>
      </c>
      <c r="P1152" s="8" t="s">
        <v>4170</v>
      </c>
      <c r="Q1152" s="27" t="s">
        <v>4171</v>
      </c>
      <c r="R1152" s="27" t="s">
        <v>5106</v>
      </c>
      <c r="S1152" s="28" t="n">
        <f aca="false">IFERROR(ISNUMBER(SEARCH("Conocer",$R1152))/(ISNUMBER(SEARCH("Conocer",$R1152))+ISNUMBER(SEARCH("Aplicar",$R1152))+ISNUMBER(SEARCH("Razonar",$R1152))),0)</f>
        <v>0.5</v>
      </c>
      <c r="T1152" s="28" t="n">
        <f aca="false">IFERROR(ISNUMBER(SEARCH("Aplicar",$R1152))/(ISNUMBER(SEARCH("Conocer",$R1152))+ISNUMBER(SEARCH("Aplicar",$R1152))+ISNUMBER(SEARCH("Razonar",$R1152))),0)</f>
        <v>0</v>
      </c>
      <c r="U1152" s="28" t="n">
        <f aca="false">IFERROR(ISNUMBER(SEARCH("Razonar",$R1152))/(ISNUMBER(SEARCH("Conocer",$R1152))+ISNUMBER(SEARCH("Aplicar",$R1152))+ISNUMBER(SEARCH("Razonar",$R1152))),0)</f>
        <v>0.5</v>
      </c>
      <c r="V1152" s="8" t="s">
        <v>386</v>
      </c>
      <c r="W1152" s="8" t="s">
        <v>4934</v>
      </c>
    </row>
    <row r="1153" customFormat="false" ht="15" hidden="false" customHeight="false" outlineLevel="0" collapsed="false">
      <c r="A1153" s="8" t="s">
        <v>5107</v>
      </c>
      <c r="B1153" s="8" t="n">
        <v>10</v>
      </c>
      <c r="C1153" s="8" t="s">
        <v>89</v>
      </c>
      <c r="D1153" s="8" t="s">
        <v>4928</v>
      </c>
      <c r="E1153" s="8" t="s">
        <v>4929</v>
      </c>
      <c r="F1153" s="8" t="n">
        <v>53</v>
      </c>
      <c r="G1153" s="8" t="s">
        <v>5090</v>
      </c>
      <c r="H1153" s="8" t="s">
        <v>5098</v>
      </c>
      <c r="I1153" s="27" t="s">
        <v>5108</v>
      </c>
      <c r="J1153" s="8" t="s">
        <v>4169</v>
      </c>
      <c r="K1153" s="8" t="s">
        <v>4170</v>
      </c>
      <c r="L1153" s="8"/>
      <c r="M1153" s="8" t="str">
        <f aca="false">IF(K1153="FUERA","Fuera del marco",IF(K1153="N/A","Sin marco",IFERROR(INDEX(Catalogo_TIMSS!$C$5:$C$105,MATCH(K1153,Catalogo_TIMSS!$A$5:$A$105,0)),"Pendiente de clasificar")))</f>
        <v>Sin marco</v>
      </c>
      <c r="N1153" s="8" t="str">
        <f aca="false">IF(K1153="FUERA","Fuera del marco",IF(K1153="N/A","Sin marco",IFERROR(INDEX(Catalogo_TIMSS!$F$5:$F$105,MATCH(K1153,Catalogo_TIMSS!$A$5:$A$105,0)),"Pendiente de clasificar")))</f>
        <v>Sin marco</v>
      </c>
      <c r="O1153" s="8" t="str">
        <f aca="false">IF(L1153="","",IFERROR(INDEX(Catalogo_TIMSS!$C$5:$C$105,MATCH(L1153,Catalogo_TIMSS!$A$5:$A$105,0)),"?"))</f>
        <v/>
      </c>
      <c r="P1153" s="8" t="s">
        <v>4170</v>
      </c>
      <c r="Q1153" s="27" t="s">
        <v>4171</v>
      </c>
      <c r="R1153" s="27" t="s">
        <v>5109</v>
      </c>
      <c r="S1153" s="28" t="n">
        <f aca="false">IFERROR(ISNUMBER(SEARCH("Conocer",$R1153))/(ISNUMBER(SEARCH("Conocer",$R1153))+ISNUMBER(SEARCH("Aplicar",$R1153))+ISNUMBER(SEARCH("Razonar",$R1153))),0)</f>
        <v>0</v>
      </c>
      <c r="T1153" s="28" t="n">
        <f aca="false">IFERROR(ISNUMBER(SEARCH("Aplicar",$R1153))/(ISNUMBER(SEARCH("Conocer",$R1153))+ISNUMBER(SEARCH("Aplicar",$R1153))+ISNUMBER(SEARCH("Razonar",$R1153))),0)</f>
        <v>0.5</v>
      </c>
      <c r="U1153" s="28" t="n">
        <f aca="false">IFERROR(ISNUMBER(SEARCH("Razonar",$R1153))/(ISNUMBER(SEARCH("Conocer",$R1153))+ISNUMBER(SEARCH("Aplicar",$R1153))+ISNUMBER(SEARCH("Razonar",$R1153))),0)</f>
        <v>0.5</v>
      </c>
      <c r="V1153" s="8" t="s">
        <v>386</v>
      </c>
      <c r="W1153" s="8" t="s">
        <v>4934</v>
      </c>
    </row>
    <row r="1154" customFormat="false" ht="15" hidden="false" customHeight="false" outlineLevel="0" collapsed="false">
      <c r="A1154" s="8" t="s">
        <v>5110</v>
      </c>
      <c r="B1154" s="8" t="n">
        <v>10</v>
      </c>
      <c r="C1154" s="8" t="s">
        <v>89</v>
      </c>
      <c r="D1154" s="8" t="s">
        <v>4928</v>
      </c>
      <c r="E1154" s="8" t="s">
        <v>4929</v>
      </c>
      <c r="F1154" s="8" t="n">
        <v>54</v>
      </c>
      <c r="G1154" s="8" t="s">
        <v>5090</v>
      </c>
      <c r="H1154" s="8" t="s">
        <v>5098</v>
      </c>
      <c r="I1154" s="27" t="s">
        <v>5111</v>
      </c>
      <c r="J1154" s="8" t="s">
        <v>4169</v>
      </c>
      <c r="K1154" s="8" t="s">
        <v>4170</v>
      </c>
      <c r="L1154" s="8"/>
      <c r="M1154" s="8" t="str">
        <f aca="false">IF(K1154="FUERA","Fuera del marco",IF(K1154="N/A","Sin marco",IFERROR(INDEX(Catalogo_TIMSS!$C$5:$C$105,MATCH(K1154,Catalogo_TIMSS!$A$5:$A$105,0)),"Pendiente de clasificar")))</f>
        <v>Sin marco</v>
      </c>
      <c r="N1154" s="8" t="str">
        <f aca="false">IF(K1154="FUERA","Fuera del marco",IF(K1154="N/A","Sin marco",IFERROR(INDEX(Catalogo_TIMSS!$F$5:$F$105,MATCH(K1154,Catalogo_TIMSS!$A$5:$A$105,0)),"Pendiente de clasificar")))</f>
        <v>Sin marco</v>
      </c>
      <c r="O1154" s="8" t="str">
        <f aca="false">IF(L1154="","",IFERROR(INDEX(Catalogo_TIMSS!$C$5:$C$105,MATCH(L1154,Catalogo_TIMSS!$A$5:$A$105,0)),"?"))</f>
        <v/>
      </c>
      <c r="P1154" s="8" t="s">
        <v>4170</v>
      </c>
      <c r="Q1154" s="27" t="s">
        <v>4171</v>
      </c>
      <c r="R1154" s="27" t="s">
        <v>5112</v>
      </c>
      <c r="S1154" s="28" t="n">
        <f aca="false">IFERROR(ISNUMBER(SEARCH("Conocer",$R1154))/(ISNUMBER(SEARCH("Conocer",$R1154))+ISNUMBER(SEARCH("Aplicar",$R1154))+ISNUMBER(SEARCH("Razonar",$R1154))),0)</f>
        <v>0</v>
      </c>
      <c r="T1154" s="28" t="n">
        <f aca="false">IFERROR(ISNUMBER(SEARCH("Aplicar",$R1154))/(ISNUMBER(SEARCH("Conocer",$R1154))+ISNUMBER(SEARCH("Aplicar",$R1154))+ISNUMBER(SEARCH("Razonar",$R1154))),0)</f>
        <v>0.5</v>
      </c>
      <c r="U1154" s="28" t="n">
        <f aca="false">IFERROR(ISNUMBER(SEARCH("Razonar",$R1154))/(ISNUMBER(SEARCH("Conocer",$R1154))+ISNUMBER(SEARCH("Aplicar",$R1154))+ISNUMBER(SEARCH("Razonar",$R1154))),0)</f>
        <v>0.5</v>
      </c>
      <c r="V1154" s="8" t="s">
        <v>386</v>
      </c>
      <c r="W1154" s="8" t="s">
        <v>4934</v>
      </c>
    </row>
    <row r="1155" customFormat="false" ht="15" hidden="false" customHeight="false" outlineLevel="0" collapsed="false">
      <c r="A1155" s="8" t="s">
        <v>5113</v>
      </c>
      <c r="B1155" s="8" t="n">
        <v>10</v>
      </c>
      <c r="C1155" s="8" t="s">
        <v>89</v>
      </c>
      <c r="D1155" s="8" t="s">
        <v>4928</v>
      </c>
      <c r="E1155" s="8" t="s">
        <v>4929</v>
      </c>
      <c r="F1155" s="8" t="n">
        <v>55</v>
      </c>
      <c r="G1155" s="8" t="s">
        <v>5090</v>
      </c>
      <c r="H1155" s="8" t="s">
        <v>5114</v>
      </c>
      <c r="I1155" s="27" t="s">
        <v>5115</v>
      </c>
      <c r="J1155" s="8" t="s">
        <v>4169</v>
      </c>
      <c r="K1155" s="8" t="s">
        <v>4170</v>
      </c>
      <c r="L1155" s="8"/>
      <c r="M1155" s="8" t="str">
        <f aca="false">IF(K1155="FUERA","Fuera del marco",IF(K1155="N/A","Sin marco",IFERROR(INDEX(Catalogo_TIMSS!$C$5:$C$105,MATCH(K1155,Catalogo_TIMSS!$A$5:$A$105,0)),"Pendiente de clasificar")))</f>
        <v>Sin marco</v>
      </c>
      <c r="N1155" s="8" t="str">
        <f aca="false">IF(K1155="FUERA","Fuera del marco",IF(K1155="N/A","Sin marco",IFERROR(INDEX(Catalogo_TIMSS!$F$5:$F$105,MATCH(K1155,Catalogo_TIMSS!$A$5:$A$105,0)),"Pendiente de clasificar")))</f>
        <v>Sin marco</v>
      </c>
      <c r="O1155" s="8" t="str">
        <f aca="false">IF(L1155="","",IFERROR(INDEX(Catalogo_TIMSS!$C$5:$C$105,MATCH(L1155,Catalogo_TIMSS!$A$5:$A$105,0)),"?"))</f>
        <v/>
      </c>
      <c r="P1155" s="8" t="s">
        <v>4170</v>
      </c>
      <c r="Q1155" s="27" t="s">
        <v>4171</v>
      </c>
      <c r="R1155" s="27" t="s">
        <v>5116</v>
      </c>
      <c r="S1155" s="28" t="n">
        <f aca="false">IFERROR(ISNUMBER(SEARCH("Conocer",$R1155))/(ISNUMBER(SEARCH("Conocer",$R1155))+ISNUMBER(SEARCH("Aplicar",$R1155))+ISNUMBER(SEARCH("Razonar",$R1155))),0)</f>
        <v>0.5</v>
      </c>
      <c r="T1155" s="28" t="n">
        <f aca="false">IFERROR(ISNUMBER(SEARCH("Aplicar",$R1155))/(ISNUMBER(SEARCH("Conocer",$R1155))+ISNUMBER(SEARCH("Aplicar",$R1155))+ISNUMBER(SEARCH("Razonar",$R1155))),0)</f>
        <v>0</v>
      </c>
      <c r="U1155" s="28" t="n">
        <f aca="false">IFERROR(ISNUMBER(SEARCH("Razonar",$R1155))/(ISNUMBER(SEARCH("Conocer",$R1155))+ISNUMBER(SEARCH("Aplicar",$R1155))+ISNUMBER(SEARCH("Razonar",$R1155))),0)</f>
        <v>0.5</v>
      </c>
      <c r="V1155" s="8" t="s">
        <v>386</v>
      </c>
      <c r="W1155" s="8" t="s">
        <v>4934</v>
      </c>
    </row>
    <row r="1156" customFormat="false" ht="15" hidden="false" customHeight="false" outlineLevel="0" collapsed="false">
      <c r="A1156" s="8" t="s">
        <v>5117</v>
      </c>
      <c r="B1156" s="8" t="n">
        <v>10</v>
      </c>
      <c r="C1156" s="8" t="s">
        <v>89</v>
      </c>
      <c r="D1156" s="8" t="s">
        <v>4928</v>
      </c>
      <c r="E1156" s="8" t="s">
        <v>4929</v>
      </c>
      <c r="F1156" s="8" t="n">
        <v>56</v>
      </c>
      <c r="G1156" s="8" t="s">
        <v>5118</v>
      </c>
      <c r="H1156" s="8" t="s">
        <v>5119</v>
      </c>
      <c r="I1156" s="27" t="s">
        <v>5120</v>
      </c>
      <c r="J1156" s="8" t="s">
        <v>4169</v>
      </c>
      <c r="K1156" s="8" t="s">
        <v>4170</v>
      </c>
      <c r="L1156" s="8"/>
      <c r="M1156" s="8" t="str">
        <f aca="false">IF(K1156="FUERA","Fuera del marco",IF(K1156="N/A","Sin marco",IFERROR(INDEX(Catalogo_TIMSS!$C$5:$C$105,MATCH(K1156,Catalogo_TIMSS!$A$5:$A$105,0)),"Pendiente de clasificar")))</f>
        <v>Sin marco</v>
      </c>
      <c r="N1156" s="8" t="str">
        <f aca="false">IF(K1156="FUERA","Fuera del marco",IF(K1156="N/A","Sin marco",IFERROR(INDEX(Catalogo_TIMSS!$F$5:$F$105,MATCH(K1156,Catalogo_TIMSS!$A$5:$A$105,0)),"Pendiente de clasificar")))</f>
        <v>Sin marco</v>
      </c>
      <c r="O1156" s="8" t="str">
        <f aca="false">IF(L1156="","",IFERROR(INDEX(Catalogo_TIMSS!$C$5:$C$105,MATCH(L1156,Catalogo_TIMSS!$A$5:$A$105,0)),"?"))</f>
        <v/>
      </c>
      <c r="P1156" s="8" t="s">
        <v>4170</v>
      </c>
      <c r="Q1156" s="27" t="s">
        <v>4171</v>
      </c>
      <c r="R1156" s="27" t="s">
        <v>5121</v>
      </c>
      <c r="S1156" s="28" t="n">
        <f aca="false">IFERROR(ISNUMBER(SEARCH("Conocer",$R1156))/(ISNUMBER(SEARCH("Conocer",$R1156))+ISNUMBER(SEARCH("Aplicar",$R1156))+ISNUMBER(SEARCH("Razonar",$R1156))),0)</f>
        <v>0</v>
      </c>
      <c r="T1156" s="28" t="n">
        <f aca="false">IFERROR(ISNUMBER(SEARCH("Aplicar",$R1156))/(ISNUMBER(SEARCH("Conocer",$R1156))+ISNUMBER(SEARCH("Aplicar",$R1156))+ISNUMBER(SEARCH("Razonar",$R1156))),0)</f>
        <v>0.5</v>
      </c>
      <c r="U1156" s="28" t="n">
        <f aca="false">IFERROR(ISNUMBER(SEARCH("Razonar",$R1156))/(ISNUMBER(SEARCH("Conocer",$R1156))+ISNUMBER(SEARCH("Aplicar",$R1156))+ISNUMBER(SEARCH("Razonar",$R1156))),0)</f>
        <v>0.5</v>
      </c>
      <c r="V1156" s="8" t="s">
        <v>386</v>
      </c>
      <c r="W1156" s="8" t="s">
        <v>4934</v>
      </c>
    </row>
    <row r="1157" customFormat="false" ht="15" hidden="false" customHeight="false" outlineLevel="0" collapsed="false">
      <c r="A1157" s="8" t="s">
        <v>5122</v>
      </c>
      <c r="B1157" s="8" t="n">
        <v>10</v>
      </c>
      <c r="C1157" s="8" t="s">
        <v>89</v>
      </c>
      <c r="D1157" s="8" t="s">
        <v>4928</v>
      </c>
      <c r="E1157" s="8" t="s">
        <v>4929</v>
      </c>
      <c r="F1157" s="8" t="n">
        <v>57</v>
      </c>
      <c r="G1157" s="8" t="s">
        <v>5118</v>
      </c>
      <c r="H1157" s="8" t="s">
        <v>5123</v>
      </c>
      <c r="I1157" s="27" t="s">
        <v>5124</v>
      </c>
      <c r="J1157" s="8" t="s">
        <v>4169</v>
      </c>
      <c r="K1157" s="8" t="s">
        <v>4170</v>
      </c>
      <c r="L1157" s="8"/>
      <c r="M1157" s="8" t="str">
        <f aca="false">IF(K1157="FUERA","Fuera del marco",IF(K1157="N/A","Sin marco",IFERROR(INDEX(Catalogo_TIMSS!$C$5:$C$105,MATCH(K1157,Catalogo_TIMSS!$A$5:$A$105,0)),"Pendiente de clasificar")))</f>
        <v>Sin marco</v>
      </c>
      <c r="N1157" s="8" t="str">
        <f aca="false">IF(K1157="FUERA","Fuera del marco",IF(K1157="N/A","Sin marco",IFERROR(INDEX(Catalogo_TIMSS!$F$5:$F$105,MATCH(K1157,Catalogo_TIMSS!$A$5:$A$105,0)),"Pendiente de clasificar")))</f>
        <v>Sin marco</v>
      </c>
      <c r="O1157" s="8" t="str">
        <f aca="false">IF(L1157="","",IFERROR(INDEX(Catalogo_TIMSS!$C$5:$C$105,MATCH(L1157,Catalogo_TIMSS!$A$5:$A$105,0)),"?"))</f>
        <v/>
      </c>
      <c r="P1157" s="8" t="s">
        <v>4170</v>
      </c>
      <c r="Q1157" s="27" t="s">
        <v>4171</v>
      </c>
      <c r="R1157" s="27" t="s">
        <v>5125</v>
      </c>
      <c r="S1157" s="28" t="n">
        <f aca="false">IFERROR(ISNUMBER(SEARCH("Conocer",$R1157))/(ISNUMBER(SEARCH("Conocer",$R1157))+ISNUMBER(SEARCH("Aplicar",$R1157))+ISNUMBER(SEARCH("Razonar",$R1157))),0)</f>
        <v>0</v>
      </c>
      <c r="T1157" s="28" t="n">
        <f aca="false">IFERROR(ISNUMBER(SEARCH("Aplicar",$R1157))/(ISNUMBER(SEARCH("Conocer",$R1157))+ISNUMBER(SEARCH("Aplicar",$R1157))+ISNUMBER(SEARCH("Razonar",$R1157))),0)</f>
        <v>0.5</v>
      </c>
      <c r="U1157" s="28" t="n">
        <f aca="false">IFERROR(ISNUMBER(SEARCH("Razonar",$R1157))/(ISNUMBER(SEARCH("Conocer",$R1157))+ISNUMBER(SEARCH("Aplicar",$R1157))+ISNUMBER(SEARCH("Razonar",$R1157))),0)</f>
        <v>0.5</v>
      </c>
      <c r="V1157" s="8" t="s">
        <v>386</v>
      </c>
      <c r="W1157" s="8" t="s">
        <v>4934</v>
      </c>
    </row>
    <row r="1158" customFormat="false" ht="15" hidden="false" customHeight="false" outlineLevel="0" collapsed="false">
      <c r="A1158" s="8" t="s">
        <v>5126</v>
      </c>
      <c r="B1158" s="8" t="n">
        <v>10</v>
      </c>
      <c r="C1158" s="8" t="s">
        <v>89</v>
      </c>
      <c r="D1158" s="8" t="s">
        <v>4928</v>
      </c>
      <c r="E1158" s="8" t="s">
        <v>4929</v>
      </c>
      <c r="F1158" s="8" t="n">
        <v>58</v>
      </c>
      <c r="G1158" s="8" t="s">
        <v>5118</v>
      </c>
      <c r="H1158" s="8" t="s">
        <v>5123</v>
      </c>
      <c r="I1158" s="27" t="s">
        <v>5127</v>
      </c>
      <c r="J1158" s="8" t="s">
        <v>4169</v>
      </c>
      <c r="K1158" s="8" t="s">
        <v>4170</v>
      </c>
      <c r="L1158" s="8"/>
      <c r="M1158" s="8" t="str">
        <f aca="false">IF(K1158="FUERA","Fuera del marco",IF(K1158="N/A","Sin marco",IFERROR(INDEX(Catalogo_TIMSS!$C$5:$C$105,MATCH(K1158,Catalogo_TIMSS!$A$5:$A$105,0)),"Pendiente de clasificar")))</f>
        <v>Sin marco</v>
      </c>
      <c r="N1158" s="8" t="str">
        <f aca="false">IF(K1158="FUERA","Fuera del marco",IF(K1158="N/A","Sin marco",IFERROR(INDEX(Catalogo_TIMSS!$F$5:$F$105,MATCH(K1158,Catalogo_TIMSS!$A$5:$A$105,0)),"Pendiente de clasificar")))</f>
        <v>Sin marco</v>
      </c>
      <c r="O1158" s="8" t="str">
        <f aca="false">IF(L1158="","",IFERROR(INDEX(Catalogo_TIMSS!$C$5:$C$105,MATCH(L1158,Catalogo_TIMSS!$A$5:$A$105,0)),"?"))</f>
        <v/>
      </c>
      <c r="P1158" s="8" t="s">
        <v>4170</v>
      </c>
      <c r="Q1158" s="27" t="s">
        <v>4171</v>
      </c>
      <c r="R1158" s="27" t="s">
        <v>5128</v>
      </c>
      <c r="S1158" s="28" t="n">
        <f aca="false">IFERROR(ISNUMBER(SEARCH("Conocer",$R1158))/(ISNUMBER(SEARCH("Conocer",$R1158))+ISNUMBER(SEARCH("Aplicar",$R1158))+ISNUMBER(SEARCH("Razonar",$R1158))),0)</f>
        <v>0</v>
      </c>
      <c r="T1158" s="28" t="n">
        <f aca="false">IFERROR(ISNUMBER(SEARCH("Aplicar",$R1158))/(ISNUMBER(SEARCH("Conocer",$R1158))+ISNUMBER(SEARCH("Aplicar",$R1158))+ISNUMBER(SEARCH("Razonar",$R1158))),0)</f>
        <v>0.5</v>
      </c>
      <c r="U1158" s="28" t="n">
        <f aca="false">IFERROR(ISNUMBER(SEARCH("Razonar",$R1158))/(ISNUMBER(SEARCH("Conocer",$R1158))+ISNUMBER(SEARCH("Aplicar",$R1158))+ISNUMBER(SEARCH("Razonar",$R1158))),0)</f>
        <v>0.5</v>
      </c>
      <c r="V1158" s="8" t="s">
        <v>386</v>
      </c>
      <c r="W1158" s="8" t="s">
        <v>4934</v>
      </c>
    </row>
    <row r="1159" customFormat="false" ht="15" hidden="false" customHeight="false" outlineLevel="0" collapsed="false">
      <c r="A1159" s="8" t="s">
        <v>5129</v>
      </c>
      <c r="B1159" s="8" t="n">
        <v>10</v>
      </c>
      <c r="C1159" s="8" t="s">
        <v>89</v>
      </c>
      <c r="D1159" s="8" t="s">
        <v>4928</v>
      </c>
      <c r="E1159" s="8" t="s">
        <v>4929</v>
      </c>
      <c r="F1159" s="8" t="n">
        <v>59</v>
      </c>
      <c r="G1159" s="8" t="s">
        <v>5118</v>
      </c>
      <c r="H1159" s="8" t="s">
        <v>5130</v>
      </c>
      <c r="I1159" s="27" t="s">
        <v>5131</v>
      </c>
      <c r="J1159" s="8" t="s">
        <v>4169</v>
      </c>
      <c r="K1159" s="8" t="s">
        <v>4170</v>
      </c>
      <c r="L1159" s="8"/>
      <c r="M1159" s="8" t="str">
        <f aca="false">IF(K1159="FUERA","Fuera del marco",IF(K1159="N/A","Sin marco",IFERROR(INDEX(Catalogo_TIMSS!$C$5:$C$105,MATCH(K1159,Catalogo_TIMSS!$A$5:$A$105,0)),"Pendiente de clasificar")))</f>
        <v>Sin marco</v>
      </c>
      <c r="N1159" s="8" t="str">
        <f aca="false">IF(K1159="FUERA","Fuera del marco",IF(K1159="N/A","Sin marco",IFERROR(INDEX(Catalogo_TIMSS!$F$5:$F$105,MATCH(K1159,Catalogo_TIMSS!$A$5:$A$105,0)),"Pendiente de clasificar")))</f>
        <v>Sin marco</v>
      </c>
      <c r="O1159" s="8" t="str">
        <f aca="false">IF(L1159="","",IFERROR(INDEX(Catalogo_TIMSS!$C$5:$C$105,MATCH(L1159,Catalogo_TIMSS!$A$5:$A$105,0)),"?"))</f>
        <v/>
      </c>
      <c r="P1159" s="8" t="s">
        <v>4170</v>
      </c>
      <c r="Q1159" s="27" t="s">
        <v>4171</v>
      </c>
      <c r="R1159" s="27" t="s">
        <v>5132</v>
      </c>
      <c r="S1159" s="28" t="n">
        <f aca="false">IFERROR(ISNUMBER(SEARCH("Conocer",$R1159))/(ISNUMBER(SEARCH("Conocer",$R1159))+ISNUMBER(SEARCH("Aplicar",$R1159))+ISNUMBER(SEARCH("Razonar",$R1159))),0)</f>
        <v>0</v>
      </c>
      <c r="T1159" s="28" t="n">
        <f aca="false">IFERROR(ISNUMBER(SEARCH("Aplicar",$R1159))/(ISNUMBER(SEARCH("Conocer",$R1159))+ISNUMBER(SEARCH("Aplicar",$R1159))+ISNUMBER(SEARCH("Razonar",$R1159))),0)</f>
        <v>0.5</v>
      </c>
      <c r="U1159" s="28" t="n">
        <f aca="false">IFERROR(ISNUMBER(SEARCH("Razonar",$R1159))/(ISNUMBER(SEARCH("Conocer",$R1159))+ISNUMBER(SEARCH("Aplicar",$R1159))+ISNUMBER(SEARCH("Razonar",$R1159))),0)</f>
        <v>0.5</v>
      </c>
      <c r="V1159" s="8" t="s">
        <v>386</v>
      </c>
      <c r="W1159" s="8" t="s">
        <v>4934</v>
      </c>
    </row>
    <row r="1160" customFormat="false" ht="15" hidden="false" customHeight="false" outlineLevel="0" collapsed="false">
      <c r="A1160" s="8" t="s">
        <v>5133</v>
      </c>
      <c r="B1160" s="8" t="n">
        <v>10</v>
      </c>
      <c r="C1160" s="8" t="s">
        <v>89</v>
      </c>
      <c r="D1160" s="8" t="s">
        <v>4928</v>
      </c>
      <c r="E1160" s="8" t="s">
        <v>4929</v>
      </c>
      <c r="F1160" s="8" t="n">
        <v>60</v>
      </c>
      <c r="G1160" s="8" t="s">
        <v>5118</v>
      </c>
      <c r="H1160" s="8" t="s">
        <v>5134</v>
      </c>
      <c r="I1160" s="27" t="s">
        <v>5135</v>
      </c>
      <c r="J1160" s="8" t="s">
        <v>4169</v>
      </c>
      <c r="K1160" s="8" t="s">
        <v>4170</v>
      </c>
      <c r="L1160" s="8"/>
      <c r="M1160" s="8" t="str">
        <f aca="false">IF(K1160="FUERA","Fuera del marco",IF(K1160="N/A","Sin marco",IFERROR(INDEX(Catalogo_TIMSS!$C$5:$C$105,MATCH(K1160,Catalogo_TIMSS!$A$5:$A$105,0)),"Pendiente de clasificar")))</f>
        <v>Sin marco</v>
      </c>
      <c r="N1160" s="8" t="str">
        <f aca="false">IF(K1160="FUERA","Fuera del marco",IF(K1160="N/A","Sin marco",IFERROR(INDEX(Catalogo_TIMSS!$F$5:$F$105,MATCH(K1160,Catalogo_TIMSS!$A$5:$A$105,0)),"Pendiente de clasificar")))</f>
        <v>Sin marco</v>
      </c>
      <c r="O1160" s="8" t="str">
        <f aca="false">IF(L1160="","",IFERROR(INDEX(Catalogo_TIMSS!$C$5:$C$105,MATCH(L1160,Catalogo_TIMSS!$A$5:$A$105,0)),"?"))</f>
        <v/>
      </c>
      <c r="P1160" s="8" t="s">
        <v>4170</v>
      </c>
      <c r="Q1160" s="27" t="s">
        <v>4171</v>
      </c>
      <c r="R1160" s="27" t="s">
        <v>5136</v>
      </c>
      <c r="S1160" s="28" t="n">
        <f aca="false">IFERROR(ISNUMBER(SEARCH("Conocer",$R1160))/(ISNUMBER(SEARCH("Conocer",$R1160))+ISNUMBER(SEARCH("Aplicar",$R1160))+ISNUMBER(SEARCH("Razonar",$R1160))),0)</f>
        <v>0</v>
      </c>
      <c r="T1160" s="28" t="n">
        <f aca="false">IFERROR(ISNUMBER(SEARCH("Aplicar",$R1160))/(ISNUMBER(SEARCH("Conocer",$R1160))+ISNUMBER(SEARCH("Aplicar",$R1160))+ISNUMBER(SEARCH("Razonar",$R1160))),0)</f>
        <v>0.5</v>
      </c>
      <c r="U1160" s="28" t="n">
        <f aca="false">IFERROR(ISNUMBER(SEARCH("Razonar",$R1160))/(ISNUMBER(SEARCH("Conocer",$R1160))+ISNUMBER(SEARCH("Aplicar",$R1160))+ISNUMBER(SEARCH("Razonar",$R1160))),0)</f>
        <v>0.5</v>
      </c>
      <c r="V1160" s="8" t="s">
        <v>386</v>
      </c>
      <c r="W1160" s="8" t="s">
        <v>4934</v>
      </c>
    </row>
    <row r="1161" customFormat="false" ht="15" hidden="false" customHeight="false" outlineLevel="0" collapsed="false">
      <c r="A1161" s="8" t="s">
        <v>5137</v>
      </c>
      <c r="B1161" s="8" t="n">
        <v>10</v>
      </c>
      <c r="C1161" s="8" t="s">
        <v>89</v>
      </c>
      <c r="D1161" s="8" t="s">
        <v>4928</v>
      </c>
      <c r="E1161" s="8" t="s">
        <v>4929</v>
      </c>
      <c r="F1161" s="8" t="n">
        <v>61</v>
      </c>
      <c r="G1161" s="8" t="s">
        <v>5138</v>
      </c>
      <c r="H1161" s="8" t="s">
        <v>5139</v>
      </c>
      <c r="I1161" s="27" t="s">
        <v>5140</v>
      </c>
      <c r="J1161" s="8" t="s">
        <v>4169</v>
      </c>
      <c r="K1161" s="8" t="s">
        <v>4170</v>
      </c>
      <c r="L1161" s="8"/>
      <c r="M1161" s="8" t="str">
        <f aca="false">IF(K1161="FUERA","Fuera del marco",IF(K1161="N/A","Sin marco",IFERROR(INDEX(Catalogo_TIMSS!$C$5:$C$105,MATCH(K1161,Catalogo_TIMSS!$A$5:$A$105,0)),"Pendiente de clasificar")))</f>
        <v>Sin marco</v>
      </c>
      <c r="N1161" s="8" t="str">
        <f aca="false">IF(K1161="FUERA","Fuera del marco",IF(K1161="N/A","Sin marco",IFERROR(INDEX(Catalogo_TIMSS!$F$5:$F$105,MATCH(K1161,Catalogo_TIMSS!$A$5:$A$105,0)),"Pendiente de clasificar")))</f>
        <v>Sin marco</v>
      </c>
      <c r="O1161" s="8" t="str">
        <f aca="false">IF(L1161="","",IFERROR(INDEX(Catalogo_TIMSS!$C$5:$C$105,MATCH(L1161,Catalogo_TIMSS!$A$5:$A$105,0)),"?"))</f>
        <v/>
      </c>
      <c r="P1161" s="8" t="s">
        <v>4170</v>
      </c>
      <c r="Q1161" s="27" t="s">
        <v>4171</v>
      </c>
      <c r="R1161" s="27" t="s">
        <v>5141</v>
      </c>
      <c r="S1161" s="28" t="n">
        <f aca="false">IFERROR(ISNUMBER(SEARCH("Conocer",$R1161))/(ISNUMBER(SEARCH("Conocer",$R1161))+ISNUMBER(SEARCH("Aplicar",$R1161))+ISNUMBER(SEARCH("Razonar",$R1161))),0)</f>
        <v>0.333333333333333</v>
      </c>
      <c r="T1161" s="28" t="n">
        <f aca="false">IFERROR(ISNUMBER(SEARCH("Aplicar",$R1161))/(ISNUMBER(SEARCH("Conocer",$R1161))+ISNUMBER(SEARCH("Aplicar",$R1161))+ISNUMBER(SEARCH("Razonar",$R1161))),0)</f>
        <v>0.333333333333333</v>
      </c>
      <c r="U1161" s="28" t="n">
        <f aca="false">IFERROR(ISNUMBER(SEARCH("Razonar",$R1161))/(ISNUMBER(SEARCH("Conocer",$R1161))+ISNUMBER(SEARCH("Aplicar",$R1161))+ISNUMBER(SEARCH("Razonar",$R1161))),0)</f>
        <v>0.333333333333333</v>
      </c>
      <c r="V1161" s="8" t="s">
        <v>386</v>
      </c>
      <c r="W1161" s="8" t="s">
        <v>4934</v>
      </c>
    </row>
    <row r="1162" customFormat="false" ht="15" hidden="false" customHeight="false" outlineLevel="0" collapsed="false">
      <c r="A1162" s="8" t="s">
        <v>5142</v>
      </c>
      <c r="B1162" s="8" t="n">
        <v>10</v>
      </c>
      <c r="C1162" s="8" t="s">
        <v>89</v>
      </c>
      <c r="D1162" s="8" t="s">
        <v>4928</v>
      </c>
      <c r="E1162" s="8" t="s">
        <v>4929</v>
      </c>
      <c r="F1162" s="8" t="n">
        <v>62</v>
      </c>
      <c r="G1162" s="8" t="s">
        <v>5138</v>
      </c>
      <c r="H1162" s="8" t="s">
        <v>5139</v>
      </c>
      <c r="I1162" s="27" t="s">
        <v>5143</v>
      </c>
      <c r="J1162" s="8" t="s">
        <v>4169</v>
      </c>
      <c r="K1162" s="8" t="s">
        <v>4170</v>
      </c>
      <c r="L1162" s="8"/>
      <c r="M1162" s="8" t="str">
        <f aca="false">IF(K1162="FUERA","Fuera del marco",IF(K1162="N/A","Sin marco",IFERROR(INDEX(Catalogo_TIMSS!$C$5:$C$105,MATCH(K1162,Catalogo_TIMSS!$A$5:$A$105,0)),"Pendiente de clasificar")))</f>
        <v>Sin marco</v>
      </c>
      <c r="N1162" s="8" t="str">
        <f aca="false">IF(K1162="FUERA","Fuera del marco",IF(K1162="N/A","Sin marco",IFERROR(INDEX(Catalogo_TIMSS!$F$5:$F$105,MATCH(K1162,Catalogo_TIMSS!$A$5:$A$105,0)),"Pendiente de clasificar")))</f>
        <v>Sin marco</v>
      </c>
      <c r="O1162" s="8" t="str">
        <f aca="false">IF(L1162="","",IFERROR(INDEX(Catalogo_TIMSS!$C$5:$C$105,MATCH(L1162,Catalogo_TIMSS!$A$5:$A$105,0)),"?"))</f>
        <v/>
      </c>
      <c r="P1162" s="8" t="s">
        <v>4170</v>
      </c>
      <c r="Q1162" s="27" t="s">
        <v>4171</v>
      </c>
      <c r="R1162" s="27" t="s">
        <v>5144</v>
      </c>
      <c r="S1162" s="28" t="n">
        <f aca="false">IFERROR(ISNUMBER(SEARCH("Conocer",$R1162))/(ISNUMBER(SEARCH("Conocer",$R1162))+ISNUMBER(SEARCH("Aplicar",$R1162))+ISNUMBER(SEARCH("Razonar",$R1162))),0)</f>
        <v>0</v>
      </c>
      <c r="T1162" s="28" t="n">
        <f aca="false">IFERROR(ISNUMBER(SEARCH("Aplicar",$R1162))/(ISNUMBER(SEARCH("Conocer",$R1162))+ISNUMBER(SEARCH("Aplicar",$R1162))+ISNUMBER(SEARCH("Razonar",$R1162))),0)</f>
        <v>0.5</v>
      </c>
      <c r="U1162" s="28" t="n">
        <f aca="false">IFERROR(ISNUMBER(SEARCH("Razonar",$R1162))/(ISNUMBER(SEARCH("Conocer",$R1162))+ISNUMBER(SEARCH("Aplicar",$R1162))+ISNUMBER(SEARCH("Razonar",$R1162))),0)</f>
        <v>0.5</v>
      </c>
      <c r="V1162" s="8" t="s">
        <v>386</v>
      </c>
      <c r="W1162" s="8" t="s">
        <v>4934</v>
      </c>
    </row>
    <row r="1163" customFormat="false" ht="15" hidden="false" customHeight="false" outlineLevel="0" collapsed="false">
      <c r="A1163" s="8" t="s">
        <v>5145</v>
      </c>
      <c r="B1163" s="8" t="n">
        <v>10</v>
      </c>
      <c r="C1163" s="8" t="s">
        <v>89</v>
      </c>
      <c r="D1163" s="8" t="s">
        <v>4928</v>
      </c>
      <c r="E1163" s="8" t="s">
        <v>4929</v>
      </c>
      <c r="F1163" s="8" t="n">
        <v>63</v>
      </c>
      <c r="G1163" s="8" t="s">
        <v>5138</v>
      </c>
      <c r="H1163" s="8" t="s">
        <v>5139</v>
      </c>
      <c r="I1163" s="27" t="s">
        <v>5146</v>
      </c>
      <c r="J1163" s="8" t="s">
        <v>4169</v>
      </c>
      <c r="K1163" s="8" t="s">
        <v>4170</v>
      </c>
      <c r="L1163" s="8"/>
      <c r="M1163" s="8" t="str">
        <f aca="false">IF(K1163="FUERA","Fuera del marco",IF(K1163="N/A","Sin marco",IFERROR(INDEX(Catalogo_TIMSS!$C$5:$C$105,MATCH(K1163,Catalogo_TIMSS!$A$5:$A$105,0)),"Pendiente de clasificar")))</f>
        <v>Sin marco</v>
      </c>
      <c r="N1163" s="8" t="str">
        <f aca="false">IF(K1163="FUERA","Fuera del marco",IF(K1163="N/A","Sin marco",IFERROR(INDEX(Catalogo_TIMSS!$F$5:$F$105,MATCH(K1163,Catalogo_TIMSS!$A$5:$A$105,0)),"Pendiente de clasificar")))</f>
        <v>Sin marco</v>
      </c>
      <c r="O1163" s="8" t="str">
        <f aca="false">IF(L1163="","",IFERROR(INDEX(Catalogo_TIMSS!$C$5:$C$105,MATCH(L1163,Catalogo_TIMSS!$A$5:$A$105,0)),"?"))</f>
        <v/>
      </c>
      <c r="P1163" s="8" t="s">
        <v>4170</v>
      </c>
      <c r="Q1163" s="27" t="s">
        <v>4171</v>
      </c>
      <c r="R1163" s="27" t="s">
        <v>5147</v>
      </c>
      <c r="S1163" s="28" t="n">
        <f aca="false">IFERROR(ISNUMBER(SEARCH("Conocer",$R1163))/(ISNUMBER(SEARCH("Conocer",$R1163))+ISNUMBER(SEARCH("Aplicar",$R1163))+ISNUMBER(SEARCH("Razonar",$R1163))),0)</f>
        <v>0</v>
      </c>
      <c r="T1163" s="28" t="n">
        <f aca="false">IFERROR(ISNUMBER(SEARCH("Aplicar",$R1163))/(ISNUMBER(SEARCH("Conocer",$R1163))+ISNUMBER(SEARCH("Aplicar",$R1163))+ISNUMBER(SEARCH("Razonar",$R1163))),0)</f>
        <v>0.5</v>
      </c>
      <c r="U1163" s="28" t="n">
        <f aca="false">IFERROR(ISNUMBER(SEARCH("Razonar",$R1163))/(ISNUMBER(SEARCH("Conocer",$R1163))+ISNUMBER(SEARCH("Aplicar",$R1163))+ISNUMBER(SEARCH("Razonar",$R1163))),0)</f>
        <v>0.5</v>
      </c>
      <c r="V1163" s="8" t="s">
        <v>386</v>
      </c>
      <c r="W1163" s="8" t="s">
        <v>4934</v>
      </c>
    </row>
    <row r="1164" customFormat="false" ht="15" hidden="false" customHeight="false" outlineLevel="0" collapsed="false">
      <c r="A1164" s="8" t="s">
        <v>5148</v>
      </c>
      <c r="B1164" s="8" t="n">
        <v>10</v>
      </c>
      <c r="C1164" s="8" t="s">
        <v>89</v>
      </c>
      <c r="D1164" s="8" t="s">
        <v>4928</v>
      </c>
      <c r="E1164" s="8" t="s">
        <v>4929</v>
      </c>
      <c r="F1164" s="8" t="n">
        <v>64</v>
      </c>
      <c r="G1164" s="8" t="s">
        <v>5138</v>
      </c>
      <c r="H1164" s="8" t="s">
        <v>5149</v>
      </c>
      <c r="I1164" s="27" t="s">
        <v>5150</v>
      </c>
      <c r="J1164" s="8" t="s">
        <v>4169</v>
      </c>
      <c r="K1164" s="8" t="s">
        <v>4170</v>
      </c>
      <c r="L1164" s="8"/>
      <c r="M1164" s="8" t="str">
        <f aca="false">IF(K1164="FUERA","Fuera del marco",IF(K1164="N/A","Sin marco",IFERROR(INDEX(Catalogo_TIMSS!$C$5:$C$105,MATCH(K1164,Catalogo_TIMSS!$A$5:$A$105,0)),"Pendiente de clasificar")))</f>
        <v>Sin marco</v>
      </c>
      <c r="N1164" s="8" t="str">
        <f aca="false">IF(K1164="FUERA","Fuera del marco",IF(K1164="N/A","Sin marco",IFERROR(INDEX(Catalogo_TIMSS!$F$5:$F$105,MATCH(K1164,Catalogo_TIMSS!$A$5:$A$105,0)),"Pendiente de clasificar")))</f>
        <v>Sin marco</v>
      </c>
      <c r="O1164" s="8" t="str">
        <f aca="false">IF(L1164="","",IFERROR(INDEX(Catalogo_TIMSS!$C$5:$C$105,MATCH(L1164,Catalogo_TIMSS!$A$5:$A$105,0)),"?"))</f>
        <v/>
      </c>
      <c r="P1164" s="8" t="s">
        <v>4170</v>
      </c>
      <c r="Q1164" s="27" t="s">
        <v>4171</v>
      </c>
      <c r="R1164" s="27" t="s">
        <v>5151</v>
      </c>
      <c r="S1164" s="28" t="n">
        <f aca="false">IFERROR(ISNUMBER(SEARCH("Conocer",$R1164))/(ISNUMBER(SEARCH("Conocer",$R1164))+ISNUMBER(SEARCH("Aplicar",$R1164))+ISNUMBER(SEARCH("Razonar",$R1164))),0)</f>
        <v>0.333333333333333</v>
      </c>
      <c r="T1164" s="28" t="n">
        <f aca="false">IFERROR(ISNUMBER(SEARCH("Aplicar",$R1164))/(ISNUMBER(SEARCH("Conocer",$R1164))+ISNUMBER(SEARCH("Aplicar",$R1164))+ISNUMBER(SEARCH("Razonar",$R1164))),0)</f>
        <v>0.333333333333333</v>
      </c>
      <c r="U1164" s="28" t="n">
        <f aca="false">IFERROR(ISNUMBER(SEARCH("Razonar",$R1164))/(ISNUMBER(SEARCH("Conocer",$R1164))+ISNUMBER(SEARCH("Aplicar",$R1164))+ISNUMBER(SEARCH("Razonar",$R1164))),0)</f>
        <v>0.333333333333333</v>
      </c>
      <c r="V1164" s="8" t="s">
        <v>386</v>
      </c>
      <c r="W1164" s="8" t="s">
        <v>4934</v>
      </c>
    </row>
    <row r="1165" customFormat="false" ht="15" hidden="false" customHeight="false" outlineLevel="0" collapsed="false">
      <c r="A1165" s="8" t="s">
        <v>5152</v>
      </c>
      <c r="B1165" s="8" t="n">
        <v>10</v>
      </c>
      <c r="C1165" s="8" t="s">
        <v>89</v>
      </c>
      <c r="D1165" s="8" t="s">
        <v>4928</v>
      </c>
      <c r="E1165" s="8" t="s">
        <v>4929</v>
      </c>
      <c r="F1165" s="8" t="n">
        <v>65</v>
      </c>
      <c r="G1165" s="8" t="s">
        <v>5138</v>
      </c>
      <c r="H1165" s="8" t="s">
        <v>5149</v>
      </c>
      <c r="I1165" s="27" t="s">
        <v>5153</v>
      </c>
      <c r="J1165" s="8" t="s">
        <v>4169</v>
      </c>
      <c r="K1165" s="8" t="s">
        <v>4170</v>
      </c>
      <c r="L1165" s="8"/>
      <c r="M1165" s="8" t="str">
        <f aca="false">IF(K1165="FUERA","Fuera del marco",IF(K1165="N/A","Sin marco",IFERROR(INDEX(Catalogo_TIMSS!$C$5:$C$105,MATCH(K1165,Catalogo_TIMSS!$A$5:$A$105,0)),"Pendiente de clasificar")))</f>
        <v>Sin marco</v>
      </c>
      <c r="N1165" s="8" t="str">
        <f aca="false">IF(K1165="FUERA","Fuera del marco",IF(K1165="N/A","Sin marco",IFERROR(INDEX(Catalogo_TIMSS!$F$5:$F$105,MATCH(K1165,Catalogo_TIMSS!$A$5:$A$105,0)),"Pendiente de clasificar")))</f>
        <v>Sin marco</v>
      </c>
      <c r="O1165" s="8" t="str">
        <f aca="false">IF(L1165="","",IFERROR(INDEX(Catalogo_TIMSS!$C$5:$C$105,MATCH(L1165,Catalogo_TIMSS!$A$5:$A$105,0)),"?"))</f>
        <v/>
      </c>
      <c r="P1165" s="8" t="s">
        <v>4170</v>
      </c>
      <c r="Q1165" s="27" t="s">
        <v>4171</v>
      </c>
      <c r="R1165" s="27" t="s">
        <v>5154</v>
      </c>
      <c r="S1165" s="28" t="n">
        <f aca="false">IFERROR(ISNUMBER(SEARCH("Conocer",$R1165))/(ISNUMBER(SEARCH("Conocer",$R1165))+ISNUMBER(SEARCH("Aplicar",$R1165))+ISNUMBER(SEARCH("Razonar",$R1165))),0)</f>
        <v>0</v>
      </c>
      <c r="T1165" s="28" t="n">
        <f aca="false">IFERROR(ISNUMBER(SEARCH("Aplicar",$R1165))/(ISNUMBER(SEARCH("Conocer",$R1165))+ISNUMBER(SEARCH("Aplicar",$R1165))+ISNUMBER(SEARCH("Razonar",$R1165))),0)</f>
        <v>0.5</v>
      </c>
      <c r="U1165" s="28" t="n">
        <f aca="false">IFERROR(ISNUMBER(SEARCH("Razonar",$R1165))/(ISNUMBER(SEARCH("Conocer",$R1165))+ISNUMBER(SEARCH("Aplicar",$R1165))+ISNUMBER(SEARCH("Razonar",$R1165))),0)</f>
        <v>0.5</v>
      </c>
      <c r="V1165" s="8" t="s">
        <v>386</v>
      </c>
      <c r="W1165" s="8" t="s">
        <v>4934</v>
      </c>
    </row>
    <row r="1166" customFormat="false" ht="15" hidden="false" customHeight="false" outlineLevel="0" collapsed="false">
      <c r="A1166" s="8" t="s">
        <v>5155</v>
      </c>
      <c r="B1166" s="8" t="n">
        <v>10</v>
      </c>
      <c r="C1166" s="8" t="s">
        <v>89</v>
      </c>
      <c r="D1166" s="8" t="s">
        <v>4928</v>
      </c>
      <c r="E1166" s="8" t="s">
        <v>4929</v>
      </c>
      <c r="F1166" s="8" t="n">
        <v>66</v>
      </c>
      <c r="G1166" s="8" t="s">
        <v>5138</v>
      </c>
      <c r="H1166" s="8" t="s">
        <v>5156</v>
      </c>
      <c r="I1166" s="27" t="s">
        <v>5157</v>
      </c>
      <c r="J1166" s="8" t="s">
        <v>4169</v>
      </c>
      <c r="K1166" s="8" t="s">
        <v>4170</v>
      </c>
      <c r="L1166" s="8"/>
      <c r="M1166" s="8" t="str">
        <f aca="false">IF(K1166="FUERA","Fuera del marco",IF(K1166="N/A","Sin marco",IFERROR(INDEX(Catalogo_TIMSS!$C$5:$C$105,MATCH(K1166,Catalogo_TIMSS!$A$5:$A$105,0)),"Pendiente de clasificar")))</f>
        <v>Sin marco</v>
      </c>
      <c r="N1166" s="8" t="str">
        <f aca="false">IF(K1166="FUERA","Fuera del marco",IF(K1166="N/A","Sin marco",IFERROR(INDEX(Catalogo_TIMSS!$F$5:$F$105,MATCH(K1166,Catalogo_TIMSS!$A$5:$A$105,0)),"Pendiente de clasificar")))</f>
        <v>Sin marco</v>
      </c>
      <c r="O1166" s="8" t="str">
        <f aca="false">IF(L1166="","",IFERROR(INDEX(Catalogo_TIMSS!$C$5:$C$105,MATCH(L1166,Catalogo_TIMSS!$A$5:$A$105,0)),"?"))</f>
        <v/>
      </c>
      <c r="P1166" s="8" t="s">
        <v>4170</v>
      </c>
      <c r="Q1166" s="27" t="s">
        <v>4171</v>
      </c>
      <c r="R1166" s="27" t="s">
        <v>5158</v>
      </c>
      <c r="S1166" s="28" t="n">
        <f aca="false">IFERROR(ISNUMBER(SEARCH("Conocer",$R1166))/(ISNUMBER(SEARCH("Conocer",$R1166))+ISNUMBER(SEARCH("Aplicar",$R1166))+ISNUMBER(SEARCH("Razonar",$R1166))),0)</f>
        <v>0.5</v>
      </c>
      <c r="T1166" s="28" t="n">
        <f aca="false">IFERROR(ISNUMBER(SEARCH("Aplicar",$R1166))/(ISNUMBER(SEARCH("Conocer",$R1166))+ISNUMBER(SEARCH("Aplicar",$R1166))+ISNUMBER(SEARCH("Razonar",$R1166))),0)</f>
        <v>0</v>
      </c>
      <c r="U1166" s="28" t="n">
        <f aca="false">IFERROR(ISNUMBER(SEARCH("Razonar",$R1166))/(ISNUMBER(SEARCH("Conocer",$R1166))+ISNUMBER(SEARCH("Aplicar",$R1166))+ISNUMBER(SEARCH("Razonar",$R1166))),0)</f>
        <v>0.5</v>
      </c>
      <c r="V1166" s="8" t="s">
        <v>386</v>
      </c>
      <c r="W1166" s="8" t="s">
        <v>4934</v>
      </c>
    </row>
    <row r="1167" customFormat="false" ht="15" hidden="false" customHeight="false" outlineLevel="0" collapsed="false">
      <c r="A1167" s="8" t="s">
        <v>5159</v>
      </c>
      <c r="B1167" s="8" t="n">
        <v>10</v>
      </c>
      <c r="C1167" s="8" t="s">
        <v>89</v>
      </c>
      <c r="D1167" s="8" t="s">
        <v>4928</v>
      </c>
      <c r="E1167" s="8" t="s">
        <v>4929</v>
      </c>
      <c r="F1167" s="8" t="n">
        <v>67</v>
      </c>
      <c r="G1167" s="8" t="s">
        <v>5160</v>
      </c>
      <c r="H1167" s="8" t="s">
        <v>5161</v>
      </c>
      <c r="I1167" s="27" t="s">
        <v>5162</v>
      </c>
      <c r="J1167" s="8" t="s">
        <v>4169</v>
      </c>
      <c r="K1167" s="8" t="s">
        <v>4170</v>
      </c>
      <c r="L1167" s="8"/>
      <c r="M1167" s="8" t="str">
        <f aca="false">IF(K1167="FUERA","Fuera del marco",IF(K1167="N/A","Sin marco",IFERROR(INDEX(Catalogo_TIMSS!$C$5:$C$105,MATCH(K1167,Catalogo_TIMSS!$A$5:$A$105,0)),"Pendiente de clasificar")))</f>
        <v>Sin marco</v>
      </c>
      <c r="N1167" s="8" t="str">
        <f aca="false">IF(K1167="FUERA","Fuera del marco",IF(K1167="N/A","Sin marco",IFERROR(INDEX(Catalogo_TIMSS!$F$5:$F$105,MATCH(K1167,Catalogo_TIMSS!$A$5:$A$105,0)),"Pendiente de clasificar")))</f>
        <v>Sin marco</v>
      </c>
      <c r="O1167" s="8" t="str">
        <f aca="false">IF(L1167="","",IFERROR(INDEX(Catalogo_TIMSS!$C$5:$C$105,MATCH(L1167,Catalogo_TIMSS!$A$5:$A$105,0)),"?"))</f>
        <v/>
      </c>
      <c r="P1167" s="8" t="s">
        <v>4170</v>
      </c>
      <c r="Q1167" s="27" t="s">
        <v>4171</v>
      </c>
      <c r="R1167" s="27" t="s">
        <v>5163</v>
      </c>
      <c r="S1167" s="28" t="n">
        <f aca="false">IFERROR(ISNUMBER(SEARCH("Conocer",$R1167))/(ISNUMBER(SEARCH("Conocer",$R1167))+ISNUMBER(SEARCH("Aplicar",$R1167))+ISNUMBER(SEARCH("Razonar",$R1167))),0)</f>
        <v>0</v>
      </c>
      <c r="T1167" s="28" t="n">
        <f aca="false">IFERROR(ISNUMBER(SEARCH("Aplicar",$R1167))/(ISNUMBER(SEARCH("Conocer",$R1167))+ISNUMBER(SEARCH("Aplicar",$R1167))+ISNUMBER(SEARCH("Razonar",$R1167))),0)</f>
        <v>0.5</v>
      </c>
      <c r="U1167" s="28" t="n">
        <f aca="false">IFERROR(ISNUMBER(SEARCH("Razonar",$R1167))/(ISNUMBER(SEARCH("Conocer",$R1167))+ISNUMBER(SEARCH("Aplicar",$R1167))+ISNUMBER(SEARCH("Razonar",$R1167))),0)</f>
        <v>0.5</v>
      </c>
      <c r="V1167" s="8" t="s">
        <v>386</v>
      </c>
      <c r="W1167" s="8" t="s">
        <v>4934</v>
      </c>
    </row>
    <row r="1168" customFormat="false" ht="15" hidden="false" customHeight="false" outlineLevel="0" collapsed="false">
      <c r="A1168" s="8" t="s">
        <v>5164</v>
      </c>
      <c r="B1168" s="8" t="n">
        <v>10</v>
      </c>
      <c r="C1168" s="8" t="s">
        <v>89</v>
      </c>
      <c r="D1168" s="8" t="s">
        <v>4928</v>
      </c>
      <c r="E1168" s="8" t="s">
        <v>4929</v>
      </c>
      <c r="F1168" s="8" t="n">
        <v>68</v>
      </c>
      <c r="G1168" s="8" t="s">
        <v>5160</v>
      </c>
      <c r="H1168" s="8" t="s">
        <v>5165</v>
      </c>
      <c r="I1168" s="27" t="s">
        <v>5166</v>
      </c>
      <c r="J1168" s="8" t="s">
        <v>4169</v>
      </c>
      <c r="K1168" s="8" t="s">
        <v>4170</v>
      </c>
      <c r="L1168" s="8"/>
      <c r="M1168" s="8" t="str">
        <f aca="false">IF(K1168="FUERA","Fuera del marco",IF(K1168="N/A","Sin marco",IFERROR(INDEX(Catalogo_TIMSS!$C$5:$C$105,MATCH(K1168,Catalogo_TIMSS!$A$5:$A$105,0)),"Pendiente de clasificar")))</f>
        <v>Sin marco</v>
      </c>
      <c r="N1168" s="8" t="str">
        <f aca="false">IF(K1168="FUERA","Fuera del marco",IF(K1168="N/A","Sin marco",IFERROR(INDEX(Catalogo_TIMSS!$F$5:$F$105,MATCH(K1168,Catalogo_TIMSS!$A$5:$A$105,0)),"Pendiente de clasificar")))</f>
        <v>Sin marco</v>
      </c>
      <c r="O1168" s="8" t="str">
        <f aca="false">IF(L1168="","",IFERROR(INDEX(Catalogo_TIMSS!$C$5:$C$105,MATCH(L1168,Catalogo_TIMSS!$A$5:$A$105,0)),"?"))</f>
        <v/>
      </c>
      <c r="P1168" s="8" t="s">
        <v>4170</v>
      </c>
      <c r="Q1168" s="27" t="s">
        <v>4171</v>
      </c>
      <c r="R1168" s="27" t="s">
        <v>5167</v>
      </c>
      <c r="S1168" s="28" t="n">
        <f aca="false">IFERROR(ISNUMBER(SEARCH("Conocer",$R1168))/(ISNUMBER(SEARCH("Conocer",$R1168))+ISNUMBER(SEARCH("Aplicar",$R1168))+ISNUMBER(SEARCH("Razonar",$R1168))),0)</f>
        <v>0</v>
      </c>
      <c r="T1168" s="28" t="n">
        <f aca="false">IFERROR(ISNUMBER(SEARCH("Aplicar",$R1168))/(ISNUMBER(SEARCH("Conocer",$R1168))+ISNUMBER(SEARCH("Aplicar",$R1168))+ISNUMBER(SEARCH("Razonar",$R1168))),0)</f>
        <v>0.5</v>
      </c>
      <c r="U1168" s="28" t="n">
        <f aca="false">IFERROR(ISNUMBER(SEARCH("Razonar",$R1168))/(ISNUMBER(SEARCH("Conocer",$R1168))+ISNUMBER(SEARCH("Aplicar",$R1168))+ISNUMBER(SEARCH("Razonar",$R1168))),0)</f>
        <v>0.5</v>
      </c>
      <c r="V1168" s="8" t="s">
        <v>386</v>
      </c>
      <c r="W1168" s="8" t="s">
        <v>4934</v>
      </c>
    </row>
    <row r="1169" customFormat="false" ht="15" hidden="false" customHeight="false" outlineLevel="0" collapsed="false">
      <c r="A1169" s="8" t="s">
        <v>5168</v>
      </c>
      <c r="B1169" s="8" t="n">
        <v>10</v>
      </c>
      <c r="C1169" s="8" t="s">
        <v>89</v>
      </c>
      <c r="D1169" s="8" t="s">
        <v>4928</v>
      </c>
      <c r="E1169" s="8" t="s">
        <v>4929</v>
      </c>
      <c r="F1169" s="8" t="n">
        <v>69</v>
      </c>
      <c r="G1169" s="8" t="s">
        <v>5160</v>
      </c>
      <c r="H1169" s="8" t="s">
        <v>5169</v>
      </c>
      <c r="I1169" s="27" t="s">
        <v>5170</v>
      </c>
      <c r="J1169" s="8" t="s">
        <v>4169</v>
      </c>
      <c r="K1169" s="8" t="s">
        <v>4170</v>
      </c>
      <c r="L1169" s="8"/>
      <c r="M1169" s="8" t="str">
        <f aca="false">IF(K1169="FUERA","Fuera del marco",IF(K1169="N/A","Sin marco",IFERROR(INDEX(Catalogo_TIMSS!$C$5:$C$105,MATCH(K1169,Catalogo_TIMSS!$A$5:$A$105,0)),"Pendiente de clasificar")))</f>
        <v>Sin marco</v>
      </c>
      <c r="N1169" s="8" t="str">
        <f aca="false">IF(K1169="FUERA","Fuera del marco",IF(K1169="N/A","Sin marco",IFERROR(INDEX(Catalogo_TIMSS!$F$5:$F$105,MATCH(K1169,Catalogo_TIMSS!$A$5:$A$105,0)),"Pendiente de clasificar")))</f>
        <v>Sin marco</v>
      </c>
      <c r="O1169" s="8" t="str">
        <f aca="false">IF(L1169="","",IFERROR(INDEX(Catalogo_TIMSS!$C$5:$C$105,MATCH(L1169,Catalogo_TIMSS!$A$5:$A$105,0)),"?"))</f>
        <v/>
      </c>
      <c r="P1169" s="8" t="s">
        <v>4170</v>
      </c>
      <c r="Q1169" s="27" t="s">
        <v>4171</v>
      </c>
      <c r="R1169" s="27" t="s">
        <v>5171</v>
      </c>
      <c r="S1169" s="28" t="n">
        <f aca="false">IFERROR(ISNUMBER(SEARCH("Conocer",$R1169))/(ISNUMBER(SEARCH("Conocer",$R1169))+ISNUMBER(SEARCH("Aplicar",$R1169))+ISNUMBER(SEARCH("Razonar",$R1169))),0)</f>
        <v>0</v>
      </c>
      <c r="T1169" s="28" t="n">
        <f aca="false">IFERROR(ISNUMBER(SEARCH("Aplicar",$R1169))/(ISNUMBER(SEARCH("Conocer",$R1169))+ISNUMBER(SEARCH("Aplicar",$R1169))+ISNUMBER(SEARCH("Razonar",$R1169))),0)</f>
        <v>0.5</v>
      </c>
      <c r="U1169" s="28" t="n">
        <f aca="false">IFERROR(ISNUMBER(SEARCH("Razonar",$R1169))/(ISNUMBER(SEARCH("Conocer",$R1169))+ISNUMBER(SEARCH("Aplicar",$R1169))+ISNUMBER(SEARCH("Razonar",$R1169))),0)</f>
        <v>0.5</v>
      </c>
      <c r="V1169" s="8" t="s">
        <v>386</v>
      </c>
      <c r="W1169" s="8" t="s">
        <v>4934</v>
      </c>
    </row>
    <row r="1170" customFormat="false" ht="15" hidden="false" customHeight="false" outlineLevel="0" collapsed="false">
      <c r="A1170" s="8" t="s">
        <v>5172</v>
      </c>
      <c r="B1170" s="8" t="n">
        <v>10</v>
      </c>
      <c r="C1170" s="8" t="s">
        <v>89</v>
      </c>
      <c r="D1170" s="8" t="s">
        <v>4928</v>
      </c>
      <c r="E1170" s="8" t="s">
        <v>4929</v>
      </c>
      <c r="F1170" s="8" t="n">
        <v>70</v>
      </c>
      <c r="G1170" s="8" t="s">
        <v>5160</v>
      </c>
      <c r="H1170" s="8" t="s">
        <v>5173</v>
      </c>
      <c r="I1170" s="27" t="s">
        <v>5174</v>
      </c>
      <c r="J1170" s="8" t="s">
        <v>4169</v>
      </c>
      <c r="K1170" s="8" t="s">
        <v>4170</v>
      </c>
      <c r="L1170" s="8"/>
      <c r="M1170" s="8" t="str">
        <f aca="false">IF(K1170="FUERA","Fuera del marco",IF(K1170="N/A","Sin marco",IFERROR(INDEX(Catalogo_TIMSS!$C$5:$C$105,MATCH(K1170,Catalogo_TIMSS!$A$5:$A$105,0)),"Pendiente de clasificar")))</f>
        <v>Sin marco</v>
      </c>
      <c r="N1170" s="8" t="str">
        <f aca="false">IF(K1170="FUERA","Fuera del marco",IF(K1170="N/A","Sin marco",IFERROR(INDEX(Catalogo_TIMSS!$F$5:$F$105,MATCH(K1170,Catalogo_TIMSS!$A$5:$A$105,0)),"Pendiente de clasificar")))</f>
        <v>Sin marco</v>
      </c>
      <c r="O1170" s="8" t="str">
        <f aca="false">IF(L1170="","",IFERROR(INDEX(Catalogo_TIMSS!$C$5:$C$105,MATCH(L1170,Catalogo_TIMSS!$A$5:$A$105,0)),"?"))</f>
        <v/>
      </c>
      <c r="P1170" s="8" t="s">
        <v>4170</v>
      </c>
      <c r="Q1170" s="27" t="s">
        <v>4171</v>
      </c>
      <c r="R1170" s="27" t="s">
        <v>5175</v>
      </c>
      <c r="S1170" s="28" t="n">
        <f aca="false">IFERROR(ISNUMBER(SEARCH("Conocer",$R1170))/(ISNUMBER(SEARCH("Conocer",$R1170))+ISNUMBER(SEARCH("Aplicar",$R1170))+ISNUMBER(SEARCH("Razonar",$R1170))),0)</f>
        <v>0.333333333333333</v>
      </c>
      <c r="T1170" s="28" t="n">
        <f aca="false">IFERROR(ISNUMBER(SEARCH("Aplicar",$R1170))/(ISNUMBER(SEARCH("Conocer",$R1170))+ISNUMBER(SEARCH("Aplicar",$R1170))+ISNUMBER(SEARCH("Razonar",$R1170))),0)</f>
        <v>0.333333333333333</v>
      </c>
      <c r="U1170" s="28" t="n">
        <f aca="false">IFERROR(ISNUMBER(SEARCH("Razonar",$R1170))/(ISNUMBER(SEARCH("Conocer",$R1170))+ISNUMBER(SEARCH("Aplicar",$R1170))+ISNUMBER(SEARCH("Razonar",$R1170))),0)</f>
        <v>0.333333333333333</v>
      </c>
      <c r="V1170" s="8" t="s">
        <v>386</v>
      </c>
      <c r="W1170" s="8" t="s">
        <v>4934</v>
      </c>
    </row>
    <row r="1171" customFormat="false" ht="15" hidden="false" customHeight="false" outlineLevel="0" collapsed="false">
      <c r="A1171" s="8" t="s">
        <v>5176</v>
      </c>
      <c r="B1171" s="8" t="n">
        <v>10</v>
      </c>
      <c r="C1171" s="8" t="s">
        <v>89</v>
      </c>
      <c r="D1171" s="8" t="s">
        <v>4928</v>
      </c>
      <c r="E1171" s="8" t="s">
        <v>4929</v>
      </c>
      <c r="F1171" s="8" t="n">
        <v>71</v>
      </c>
      <c r="G1171" s="8" t="s">
        <v>5160</v>
      </c>
      <c r="H1171" s="8" t="s">
        <v>5177</v>
      </c>
      <c r="I1171" s="27" t="s">
        <v>5178</v>
      </c>
      <c r="J1171" s="8" t="s">
        <v>4169</v>
      </c>
      <c r="K1171" s="8" t="s">
        <v>4170</v>
      </c>
      <c r="L1171" s="8"/>
      <c r="M1171" s="8" t="str">
        <f aca="false">IF(K1171="FUERA","Fuera del marco",IF(K1171="N/A","Sin marco",IFERROR(INDEX(Catalogo_TIMSS!$C$5:$C$105,MATCH(K1171,Catalogo_TIMSS!$A$5:$A$105,0)),"Pendiente de clasificar")))</f>
        <v>Sin marco</v>
      </c>
      <c r="N1171" s="8" t="str">
        <f aca="false">IF(K1171="FUERA","Fuera del marco",IF(K1171="N/A","Sin marco",IFERROR(INDEX(Catalogo_TIMSS!$F$5:$F$105,MATCH(K1171,Catalogo_TIMSS!$A$5:$A$105,0)),"Pendiente de clasificar")))</f>
        <v>Sin marco</v>
      </c>
      <c r="O1171" s="8" t="str">
        <f aca="false">IF(L1171="","",IFERROR(INDEX(Catalogo_TIMSS!$C$5:$C$105,MATCH(L1171,Catalogo_TIMSS!$A$5:$A$105,0)),"?"))</f>
        <v/>
      </c>
      <c r="P1171" s="8" t="s">
        <v>4170</v>
      </c>
      <c r="Q1171" s="27" t="s">
        <v>4171</v>
      </c>
      <c r="R1171" s="27" t="s">
        <v>5179</v>
      </c>
      <c r="S1171" s="28" t="n">
        <f aca="false">IFERROR(ISNUMBER(SEARCH("Conocer",$R1171))/(ISNUMBER(SEARCH("Conocer",$R1171))+ISNUMBER(SEARCH("Aplicar",$R1171))+ISNUMBER(SEARCH("Razonar",$R1171))),0)</f>
        <v>0.333333333333333</v>
      </c>
      <c r="T1171" s="28" t="n">
        <f aca="false">IFERROR(ISNUMBER(SEARCH("Aplicar",$R1171))/(ISNUMBER(SEARCH("Conocer",$R1171))+ISNUMBER(SEARCH("Aplicar",$R1171))+ISNUMBER(SEARCH("Razonar",$R1171))),0)</f>
        <v>0.333333333333333</v>
      </c>
      <c r="U1171" s="28" t="n">
        <f aca="false">IFERROR(ISNUMBER(SEARCH("Razonar",$R1171))/(ISNUMBER(SEARCH("Conocer",$R1171))+ISNUMBER(SEARCH("Aplicar",$R1171))+ISNUMBER(SEARCH("Razonar",$R1171))),0)</f>
        <v>0.333333333333333</v>
      </c>
      <c r="V1171" s="8" t="s">
        <v>386</v>
      </c>
      <c r="W1171" s="8" t="s">
        <v>4934</v>
      </c>
    </row>
    <row r="1172" customFormat="false" ht="15" hidden="false" customHeight="false" outlineLevel="0" collapsed="false">
      <c r="A1172" s="8" t="s">
        <v>5180</v>
      </c>
      <c r="B1172" s="8" t="n">
        <v>10</v>
      </c>
      <c r="C1172" s="8" t="s">
        <v>89</v>
      </c>
      <c r="D1172" s="8" t="s">
        <v>4928</v>
      </c>
      <c r="E1172" s="8" t="s">
        <v>4929</v>
      </c>
      <c r="F1172" s="8" t="n">
        <v>72</v>
      </c>
      <c r="G1172" s="8" t="s">
        <v>5160</v>
      </c>
      <c r="H1172" s="8" t="s">
        <v>5181</v>
      </c>
      <c r="I1172" s="27" t="s">
        <v>5182</v>
      </c>
      <c r="J1172" s="8" t="s">
        <v>4169</v>
      </c>
      <c r="K1172" s="8" t="s">
        <v>4170</v>
      </c>
      <c r="L1172" s="8"/>
      <c r="M1172" s="8" t="str">
        <f aca="false">IF(K1172="FUERA","Fuera del marco",IF(K1172="N/A","Sin marco",IFERROR(INDEX(Catalogo_TIMSS!$C$5:$C$105,MATCH(K1172,Catalogo_TIMSS!$A$5:$A$105,0)),"Pendiente de clasificar")))</f>
        <v>Sin marco</v>
      </c>
      <c r="N1172" s="8" t="str">
        <f aca="false">IF(K1172="FUERA","Fuera del marco",IF(K1172="N/A","Sin marco",IFERROR(INDEX(Catalogo_TIMSS!$F$5:$F$105,MATCH(K1172,Catalogo_TIMSS!$A$5:$A$105,0)),"Pendiente de clasificar")))</f>
        <v>Sin marco</v>
      </c>
      <c r="O1172" s="8" t="str">
        <f aca="false">IF(L1172="","",IFERROR(INDEX(Catalogo_TIMSS!$C$5:$C$105,MATCH(L1172,Catalogo_TIMSS!$A$5:$A$105,0)),"?"))</f>
        <v/>
      </c>
      <c r="P1172" s="8" t="s">
        <v>4170</v>
      </c>
      <c r="Q1172" s="27" t="s">
        <v>4171</v>
      </c>
      <c r="R1172" s="27" t="s">
        <v>5183</v>
      </c>
      <c r="S1172" s="28" t="n">
        <f aca="false">IFERROR(ISNUMBER(SEARCH("Conocer",$R1172))/(ISNUMBER(SEARCH("Conocer",$R1172))+ISNUMBER(SEARCH("Aplicar",$R1172))+ISNUMBER(SEARCH("Razonar",$R1172))),0)</f>
        <v>0</v>
      </c>
      <c r="T1172" s="28" t="n">
        <f aca="false">IFERROR(ISNUMBER(SEARCH("Aplicar",$R1172))/(ISNUMBER(SEARCH("Conocer",$R1172))+ISNUMBER(SEARCH("Aplicar",$R1172))+ISNUMBER(SEARCH("Razonar",$R1172))),0)</f>
        <v>0.5</v>
      </c>
      <c r="U1172" s="28" t="n">
        <f aca="false">IFERROR(ISNUMBER(SEARCH("Razonar",$R1172))/(ISNUMBER(SEARCH("Conocer",$R1172))+ISNUMBER(SEARCH("Aplicar",$R1172))+ISNUMBER(SEARCH("Razonar",$R1172))),0)</f>
        <v>0.5</v>
      </c>
      <c r="V1172" s="8" t="s">
        <v>386</v>
      </c>
      <c r="W1172" s="8" t="s">
        <v>4934</v>
      </c>
    </row>
    <row r="1173" customFormat="false" ht="15" hidden="false" customHeight="false" outlineLevel="0" collapsed="false">
      <c r="A1173" s="8" t="s">
        <v>5184</v>
      </c>
      <c r="B1173" s="8" t="n">
        <v>11</v>
      </c>
      <c r="C1173" s="8" t="s">
        <v>89</v>
      </c>
      <c r="D1173" s="8" t="s">
        <v>4928</v>
      </c>
      <c r="E1173" s="8" t="s">
        <v>5185</v>
      </c>
      <c r="F1173" s="8" t="n">
        <v>3</v>
      </c>
      <c r="G1173" s="8" t="s">
        <v>5186</v>
      </c>
      <c r="H1173" s="8" t="s">
        <v>5187</v>
      </c>
      <c r="I1173" s="27" t="s">
        <v>5188</v>
      </c>
      <c r="J1173" s="8" t="s">
        <v>4169</v>
      </c>
      <c r="K1173" s="8" t="s">
        <v>4170</v>
      </c>
      <c r="L1173" s="8"/>
      <c r="M1173" s="8" t="str">
        <f aca="false">IF(K1173="FUERA","Fuera del marco",IF(K1173="N/A","Sin marco",IFERROR(INDEX(Catalogo_TIMSS!$C$5:$C$105,MATCH(K1173,Catalogo_TIMSS!$A$5:$A$105,0)),"Pendiente de clasificar")))</f>
        <v>Sin marco</v>
      </c>
      <c r="N1173" s="8" t="str">
        <f aca="false">IF(K1173="FUERA","Fuera del marco",IF(K1173="N/A","Sin marco",IFERROR(INDEX(Catalogo_TIMSS!$F$5:$F$105,MATCH(K1173,Catalogo_TIMSS!$A$5:$A$105,0)),"Pendiente de clasificar")))</f>
        <v>Sin marco</v>
      </c>
      <c r="O1173" s="8" t="str">
        <f aca="false">IF(L1173="","",IFERROR(INDEX(Catalogo_TIMSS!$C$5:$C$105,MATCH(L1173,Catalogo_TIMSS!$A$5:$A$105,0)),"?"))</f>
        <v/>
      </c>
      <c r="P1173" s="8" t="s">
        <v>4170</v>
      </c>
      <c r="Q1173" s="27" t="s">
        <v>4171</v>
      </c>
      <c r="R1173" s="27" t="s">
        <v>5189</v>
      </c>
      <c r="S1173" s="28" t="n">
        <f aca="false">IFERROR(ISNUMBER(SEARCH("Conocer",$R1173))/(ISNUMBER(SEARCH("Conocer",$R1173))+ISNUMBER(SEARCH("Aplicar",$R1173))+ISNUMBER(SEARCH("Razonar",$R1173))),0)</f>
        <v>0.333333333333333</v>
      </c>
      <c r="T1173" s="28" t="n">
        <f aca="false">IFERROR(ISNUMBER(SEARCH("Aplicar",$R1173))/(ISNUMBER(SEARCH("Conocer",$R1173))+ISNUMBER(SEARCH("Aplicar",$R1173))+ISNUMBER(SEARCH("Razonar",$R1173))),0)</f>
        <v>0.333333333333333</v>
      </c>
      <c r="U1173" s="28" t="n">
        <f aca="false">IFERROR(ISNUMBER(SEARCH("Razonar",$R1173))/(ISNUMBER(SEARCH("Conocer",$R1173))+ISNUMBER(SEARCH("Aplicar",$R1173))+ISNUMBER(SEARCH("Razonar",$R1173))),0)</f>
        <v>0.333333333333333</v>
      </c>
      <c r="V1173" s="8" t="s">
        <v>387</v>
      </c>
      <c r="W1173" s="8" t="s">
        <v>4934</v>
      </c>
    </row>
    <row r="1174" customFormat="false" ht="15" hidden="false" customHeight="false" outlineLevel="0" collapsed="false">
      <c r="A1174" s="8" t="s">
        <v>5190</v>
      </c>
      <c r="B1174" s="8" t="n">
        <v>11</v>
      </c>
      <c r="C1174" s="8" t="s">
        <v>89</v>
      </c>
      <c r="D1174" s="8" t="s">
        <v>4928</v>
      </c>
      <c r="E1174" s="8" t="s">
        <v>5185</v>
      </c>
      <c r="F1174" s="8" t="n">
        <v>4</v>
      </c>
      <c r="G1174" s="8" t="s">
        <v>5186</v>
      </c>
      <c r="H1174" s="8" t="s">
        <v>5187</v>
      </c>
      <c r="I1174" s="27" t="s">
        <v>5191</v>
      </c>
      <c r="J1174" s="8" t="s">
        <v>4169</v>
      </c>
      <c r="K1174" s="8" t="s">
        <v>4170</v>
      </c>
      <c r="L1174" s="8"/>
      <c r="M1174" s="8" t="str">
        <f aca="false">IF(K1174="FUERA","Fuera del marco",IF(K1174="N/A","Sin marco",IFERROR(INDEX(Catalogo_TIMSS!$C$5:$C$105,MATCH(K1174,Catalogo_TIMSS!$A$5:$A$105,0)),"Pendiente de clasificar")))</f>
        <v>Sin marco</v>
      </c>
      <c r="N1174" s="8" t="str">
        <f aca="false">IF(K1174="FUERA","Fuera del marco",IF(K1174="N/A","Sin marco",IFERROR(INDEX(Catalogo_TIMSS!$F$5:$F$105,MATCH(K1174,Catalogo_TIMSS!$A$5:$A$105,0)),"Pendiente de clasificar")))</f>
        <v>Sin marco</v>
      </c>
      <c r="O1174" s="8" t="str">
        <f aca="false">IF(L1174="","",IFERROR(INDEX(Catalogo_TIMSS!$C$5:$C$105,MATCH(L1174,Catalogo_TIMSS!$A$5:$A$105,0)),"?"))</f>
        <v/>
      </c>
      <c r="P1174" s="8" t="s">
        <v>4170</v>
      </c>
      <c r="Q1174" s="27" t="s">
        <v>4171</v>
      </c>
      <c r="R1174" s="27" t="s">
        <v>5192</v>
      </c>
      <c r="S1174" s="28" t="n">
        <f aca="false">IFERROR(ISNUMBER(SEARCH("Conocer",$R1174))/(ISNUMBER(SEARCH("Conocer",$R1174))+ISNUMBER(SEARCH("Aplicar",$R1174))+ISNUMBER(SEARCH("Razonar",$R1174))),0)</f>
        <v>0.333333333333333</v>
      </c>
      <c r="T1174" s="28" t="n">
        <f aca="false">IFERROR(ISNUMBER(SEARCH("Aplicar",$R1174))/(ISNUMBER(SEARCH("Conocer",$R1174))+ISNUMBER(SEARCH("Aplicar",$R1174))+ISNUMBER(SEARCH("Razonar",$R1174))),0)</f>
        <v>0.333333333333333</v>
      </c>
      <c r="U1174" s="28" t="n">
        <f aca="false">IFERROR(ISNUMBER(SEARCH("Razonar",$R1174))/(ISNUMBER(SEARCH("Conocer",$R1174))+ISNUMBER(SEARCH("Aplicar",$R1174))+ISNUMBER(SEARCH("Razonar",$R1174))),0)</f>
        <v>0.333333333333333</v>
      </c>
      <c r="V1174" s="8" t="s">
        <v>387</v>
      </c>
      <c r="W1174" s="8" t="s">
        <v>4934</v>
      </c>
    </row>
    <row r="1175" customFormat="false" ht="15" hidden="false" customHeight="false" outlineLevel="0" collapsed="false">
      <c r="A1175" s="8" t="s">
        <v>5193</v>
      </c>
      <c r="B1175" s="8" t="n">
        <v>11</v>
      </c>
      <c r="C1175" s="8" t="s">
        <v>89</v>
      </c>
      <c r="D1175" s="8" t="s">
        <v>4928</v>
      </c>
      <c r="E1175" s="8" t="s">
        <v>5185</v>
      </c>
      <c r="F1175" s="8" t="n">
        <v>5</v>
      </c>
      <c r="G1175" s="8" t="s">
        <v>5186</v>
      </c>
      <c r="H1175" s="8" t="s">
        <v>5187</v>
      </c>
      <c r="I1175" s="27" t="s">
        <v>5194</v>
      </c>
      <c r="J1175" s="8" t="s">
        <v>4169</v>
      </c>
      <c r="K1175" s="8" t="s">
        <v>4170</v>
      </c>
      <c r="L1175" s="8"/>
      <c r="M1175" s="8" t="str">
        <f aca="false">IF(K1175="FUERA","Fuera del marco",IF(K1175="N/A","Sin marco",IFERROR(INDEX(Catalogo_TIMSS!$C$5:$C$105,MATCH(K1175,Catalogo_TIMSS!$A$5:$A$105,0)),"Pendiente de clasificar")))</f>
        <v>Sin marco</v>
      </c>
      <c r="N1175" s="8" t="str">
        <f aca="false">IF(K1175="FUERA","Fuera del marco",IF(K1175="N/A","Sin marco",IFERROR(INDEX(Catalogo_TIMSS!$F$5:$F$105,MATCH(K1175,Catalogo_TIMSS!$A$5:$A$105,0)),"Pendiente de clasificar")))</f>
        <v>Sin marco</v>
      </c>
      <c r="O1175" s="8" t="str">
        <f aca="false">IF(L1175="","",IFERROR(INDEX(Catalogo_TIMSS!$C$5:$C$105,MATCH(L1175,Catalogo_TIMSS!$A$5:$A$105,0)),"?"))</f>
        <v/>
      </c>
      <c r="P1175" s="8" t="s">
        <v>4170</v>
      </c>
      <c r="Q1175" s="27" t="s">
        <v>4171</v>
      </c>
      <c r="R1175" s="27" t="s">
        <v>5195</v>
      </c>
      <c r="S1175" s="28" t="n">
        <f aca="false">IFERROR(ISNUMBER(SEARCH("Conocer",$R1175))/(ISNUMBER(SEARCH("Conocer",$R1175))+ISNUMBER(SEARCH("Aplicar",$R1175))+ISNUMBER(SEARCH("Razonar",$R1175))),0)</f>
        <v>0</v>
      </c>
      <c r="T1175" s="28" t="n">
        <f aca="false">IFERROR(ISNUMBER(SEARCH("Aplicar",$R1175))/(ISNUMBER(SEARCH("Conocer",$R1175))+ISNUMBER(SEARCH("Aplicar",$R1175))+ISNUMBER(SEARCH("Razonar",$R1175))),0)</f>
        <v>0.5</v>
      </c>
      <c r="U1175" s="28" t="n">
        <f aca="false">IFERROR(ISNUMBER(SEARCH("Razonar",$R1175))/(ISNUMBER(SEARCH("Conocer",$R1175))+ISNUMBER(SEARCH("Aplicar",$R1175))+ISNUMBER(SEARCH("Razonar",$R1175))),0)</f>
        <v>0.5</v>
      </c>
      <c r="V1175" s="8" t="s">
        <v>387</v>
      </c>
      <c r="W1175" s="8" t="s">
        <v>4934</v>
      </c>
    </row>
    <row r="1176" customFormat="false" ht="15" hidden="false" customHeight="false" outlineLevel="0" collapsed="false">
      <c r="A1176" s="8" t="s">
        <v>5196</v>
      </c>
      <c r="B1176" s="8" t="n">
        <v>11</v>
      </c>
      <c r="C1176" s="8" t="s">
        <v>89</v>
      </c>
      <c r="D1176" s="8" t="s">
        <v>4928</v>
      </c>
      <c r="E1176" s="8" t="s">
        <v>5185</v>
      </c>
      <c r="F1176" s="8" t="n">
        <v>6</v>
      </c>
      <c r="G1176" s="8" t="s">
        <v>5186</v>
      </c>
      <c r="H1176" s="8" t="s">
        <v>5197</v>
      </c>
      <c r="I1176" s="27" t="s">
        <v>5198</v>
      </c>
      <c r="J1176" s="8" t="s">
        <v>4169</v>
      </c>
      <c r="K1176" s="8" t="s">
        <v>4170</v>
      </c>
      <c r="L1176" s="8"/>
      <c r="M1176" s="8" t="str">
        <f aca="false">IF(K1176="FUERA","Fuera del marco",IF(K1176="N/A","Sin marco",IFERROR(INDEX(Catalogo_TIMSS!$C$5:$C$105,MATCH(K1176,Catalogo_TIMSS!$A$5:$A$105,0)),"Pendiente de clasificar")))</f>
        <v>Sin marco</v>
      </c>
      <c r="N1176" s="8" t="str">
        <f aca="false">IF(K1176="FUERA","Fuera del marco",IF(K1176="N/A","Sin marco",IFERROR(INDEX(Catalogo_TIMSS!$F$5:$F$105,MATCH(K1176,Catalogo_TIMSS!$A$5:$A$105,0)),"Pendiente de clasificar")))</f>
        <v>Sin marco</v>
      </c>
      <c r="O1176" s="8" t="str">
        <f aca="false">IF(L1176="","",IFERROR(INDEX(Catalogo_TIMSS!$C$5:$C$105,MATCH(L1176,Catalogo_TIMSS!$A$5:$A$105,0)),"?"))</f>
        <v/>
      </c>
      <c r="P1176" s="8" t="s">
        <v>4170</v>
      </c>
      <c r="Q1176" s="27" t="s">
        <v>4171</v>
      </c>
      <c r="R1176" s="27" t="s">
        <v>5199</v>
      </c>
      <c r="S1176" s="28" t="n">
        <f aca="false">IFERROR(ISNUMBER(SEARCH("Conocer",$R1176))/(ISNUMBER(SEARCH("Conocer",$R1176))+ISNUMBER(SEARCH("Aplicar",$R1176))+ISNUMBER(SEARCH("Razonar",$R1176))),0)</f>
        <v>0.5</v>
      </c>
      <c r="T1176" s="28" t="n">
        <f aca="false">IFERROR(ISNUMBER(SEARCH("Aplicar",$R1176))/(ISNUMBER(SEARCH("Conocer",$R1176))+ISNUMBER(SEARCH("Aplicar",$R1176))+ISNUMBER(SEARCH("Razonar",$R1176))),0)</f>
        <v>0</v>
      </c>
      <c r="U1176" s="28" t="n">
        <f aca="false">IFERROR(ISNUMBER(SEARCH("Razonar",$R1176))/(ISNUMBER(SEARCH("Conocer",$R1176))+ISNUMBER(SEARCH("Aplicar",$R1176))+ISNUMBER(SEARCH("Razonar",$R1176))),0)</f>
        <v>0.5</v>
      </c>
      <c r="V1176" s="8" t="s">
        <v>387</v>
      </c>
      <c r="W1176" s="8" t="s">
        <v>4934</v>
      </c>
    </row>
    <row r="1177" customFormat="false" ht="15" hidden="false" customHeight="false" outlineLevel="0" collapsed="false">
      <c r="A1177" s="8" t="s">
        <v>5200</v>
      </c>
      <c r="B1177" s="8" t="n">
        <v>11</v>
      </c>
      <c r="C1177" s="8" t="s">
        <v>89</v>
      </c>
      <c r="D1177" s="8" t="s">
        <v>4928</v>
      </c>
      <c r="E1177" s="8" t="s">
        <v>5185</v>
      </c>
      <c r="F1177" s="8" t="n">
        <v>7</v>
      </c>
      <c r="G1177" s="8" t="s">
        <v>5186</v>
      </c>
      <c r="H1177" s="8" t="s">
        <v>5197</v>
      </c>
      <c r="I1177" s="27" t="s">
        <v>5201</v>
      </c>
      <c r="J1177" s="8" t="s">
        <v>4169</v>
      </c>
      <c r="K1177" s="8" t="s">
        <v>4170</v>
      </c>
      <c r="L1177" s="8"/>
      <c r="M1177" s="8" t="str">
        <f aca="false">IF(K1177="FUERA","Fuera del marco",IF(K1177="N/A","Sin marco",IFERROR(INDEX(Catalogo_TIMSS!$C$5:$C$105,MATCH(K1177,Catalogo_TIMSS!$A$5:$A$105,0)),"Pendiente de clasificar")))</f>
        <v>Sin marco</v>
      </c>
      <c r="N1177" s="8" t="str">
        <f aca="false">IF(K1177="FUERA","Fuera del marco",IF(K1177="N/A","Sin marco",IFERROR(INDEX(Catalogo_TIMSS!$F$5:$F$105,MATCH(K1177,Catalogo_TIMSS!$A$5:$A$105,0)),"Pendiente de clasificar")))</f>
        <v>Sin marco</v>
      </c>
      <c r="O1177" s="8" t="str">
        <f aca="false">IF(L1177="","",IFERROR(INDEX(Catalogo_TIMSS!$C$5:$C$105,MATCH(L1177,Catalogo_TIMSS!$A$5:$A$105,0)),"?"))</f>
        <v/>
      </c>
      <c r="P1177" s="8" t="s">
        <v>4170</v>
      </c>
      <c r="Q1177" s="27" t="s">
        <v>4171</v>
      </c>
      <c r="R1177" s="27" t="s">
        <v>5202</v>
      </c>
      <c r="S1177" s="28" t="n">
        <f aca="false">IFERROR(ISNUMBER(SEARCH("Conocer",$R1177))/(ISNUMBER(SEARCH("Conocer",$R1177))+ISNUMBER(SEARCH("Aplicar",$R1177))+ISNUMBER(SEARCH("Razonar",$R1177))),0)</f>
        <v>0</v>
      </c>
      <c r="T1177" s="28" t="n">
        <f aca="false">IFERROR(ISNUMBER(SEARCH("Aplicar",$R1177))/(ISNUMBER(SEARCH("Conocer",$R1177))+ISNUMBER(SEARCH("Aplicar",$R1177))+ISNUMBER(SEARCH("Razonar",$R1177))),0)</f>
        <v>0.5</v>
      </c>
      <c r="U1177" s="28" t="n">
        <f aca="false">IFERROR(ISNUMBER(SEARCH("Razonar",$R1177))/(ISNUMBER(SEARCH("Conocer",$R1177))+ISNUMBER(SEARCH("Aplicar",$R1177))+ISNUMBER(SEARCH("Razonar",$R1177))),0)</f>
        <v>0.5</v>
      </c>
      <c r="V1177" s="8" t="s">
        <v>387</v>
      </c>
      <c r="W1177" s="8" t="s">
        <v>4934</v>
      </c>
    </row>
    <row r="1178" customFormat="false" ht="15" hidden="false" customHeight="false" outlineLevel="0" collapsed="false">
      <c r="A1178" s="8" t="s">
        <v>5203</v>
      </c>
      <c r="B1178" s="8" t="n">
        <v>11</v>
      </c>
      <c r="C1178" s="8" t="s">
        <v>89</v>
      </c>
      <c r="D1178" s="8" t="s">
        <v>4928</v>
      </c>
      <c r="E1178" s="8" t="s">
        <v>5185</v>
      </c>
      <c r="F1178" s="8" t="n">
        <v>8</v>
      </c>
      <c r="G1178" s="8" t="s">
        <v>5186</v>
      </c>
      <c r="H1178" s="8" t="s">
        <v>5197</v>
      </c>
      <c r="I1178" s="27" t="s">
        <v>5204</v>
      </c>
      <c r="J1178" s="8" t="s">
        <v>4169</v>
      </c>
      <c r="K1178" s="8" t="s">
        <v>4170</v>
      </c>
      <c r="L1178" s="8"/>
      <c r="M1178" s="8" t="str">
        <f aca="false">IF(K1178="FUERA","Fuera del marco",IF(K1178="N/A","Sin marco",IFERROR(INDEX(Catalogo_TIMSS!$C$5:$C$105,MATCH(K1178,Catalogo_TIMSS!$A$5:$A$105,0)),"Pendiente de clasificar")))</f>
        <v>Sin marco</v>
      </c>
      <c r="N1178" s="8" t="str">
        <f aca="false">IF(K1178="FUERA","Fuera del marco",IF(K1178="N/A","Sin marco",IFERROR(INDEX(Catalogo_TIMSS!$F$5:$F$105,MATCH(K1178,Catalogo_TIMSS!$A$5:$A$105,0)),"Pendiente de clasificar")))</f>
        <v>Sin marco</v>
      </c>
      <c r="O1178" s="8" t="str">
        <f aca="false">IF(L1178="","",IFERROR(INDEX(Catalogo_TIMSS!$C$5:$C$105,MATCH(L1178,Catalogo_TIMSS!$A$5:$A$105,0)),"?"))</f>
        <v/>
      </c>
      <c r="P1178" s="8" t="s">
        <v>4170</v>
      </c>
      <c r="Q1178" s="27" t="s">
        <v>4171</v>
      </c>
      <c r="R1178" s="27" t="s">
        <v>5205</v>
      </c>
      <c r="S1178" s="28" t="n">
        <f aca="false">IFERROR(ISNUMBER(SEARCH("Conocer",$R1178))/(ISNUMBER(SEARCH("Conocer",$R1178))+ISNUMBER(SEARCH("Aplicar",$R1178))+ISNUMBER(SEARCH("Razonar",$R1178))),0)</f>
        <v>0.5</v>
      </c>
      <c r="T1178" s="28" t="n">
        <f aca="false">IFERROR(ISNUMBER(SEARCH("Aplicar",$R1178))/(ISNUMBER(SEARCH("Conocer",$R1178))+ISNUMBER(SEARCH("Aplicar",$R1178))+ISNUMBER(SEARCH("Razonar",$R1178))),0)</f>
        <v>0</v>
      </c>
      <c r="U1178" s="28" t="n">
        <f aca="false">IFERROR(ISNUMBER(SEARCH("Razonar",$R1178))/(ISNUMBER(SEARCH("Conocer",$R1178))+ISNUMBER(SEARCH("Aplicar",$R1178))+ISNUMBER(SEARCH("Razonar",$R1178))),0)</f>
        <v>0.5</v>
      </c>
      <c r="V1178" s="8" t="s">
        <v>387</v>
      </c>
      <c r="W1178" s="8" t="s">
        <v>4934</v>
      </c>
    </row>
    <row r="1179" customFormat="false" ht="15" hidden="false" customHeight="false" outlineLevel="0" collapsed="false">
      <c r="A1179" s="8" t="s">
        <v>5206</v>
      </c>
      <c r="B1179" s="8" t="n">
        <v>11</v>
      </c>
      <c r="C1179" s="8" t="s">
        <v>89</v>
      </c>
      <c r="D1179" s="8" t="s">
        <v>4928</v>
      </c>
      <c r="E1179" s="8" t="s">
        <v>5185</v>
      </c>
      <c r="F1179" s="8" t="n">
        <v>9</v>
      </c>
      <c r="G1179" s="8" t="s">
        <v>5186</v>
      </c>
      <c r="H1179" s="8" t="s">
        <v>5207</v>
      </c>
      <c r="I1179" s="27" t="s">
        <v>5208</v>
      </c>
      <c r="J1179" s="8" t="s">
        <v>4169</v>
      </c>
      <c r="K1179" s="8" t="s">
        <v>4170</v>
      </c>
      <c r="L1179" s="8"/>
      <c r="M1179" s="8" t="str">
        <f aca="false">IF(K1179="FUERA","Fuera del marco",IF(K1179="N/A","Sin marco",IFERROR(INDEX(Catalogo_TIMSS!$C$5:$C$105,MATCH(K1179,Catalogo_TIMSS!$A$5:$A$105,0)),"Pendiente de clasificar")))</f>
        <v>Sin marco</v>
      </c>
      <c r="N1179" s="8" t="str">
        <f aca="false">IF(K1179="FUERA","Fuera del marco",IF(K1179="N/A","Sin marco",IFERROR(INDEX(Catalogo_TIMSS!$F$5:$F$105,MATCH(K1179,Catalogo_TIMSS!$A$5:$A$105,0)),"Pendiente de clasificar")))</f>
        <v>Sin marco</v>
      </c>
      <c r="O1179" s="8" t="str">
        <f aca="false">IF(L1179="","",IFERROR(INDEX(Catalogo_TIMSS!$C$5:$C$105,MATCH(L1179,Catalogo_TIMSS!$A$5:$A$105,0)),"?"))</f>
        <v/>
      </c>
      <c r="P1179" s="8" t="s">
        <v>4170</v>
      </c>
      <c r="Q1179" s="27" t="s">
        <v>4171</v>
      </c>
      <c r="R1179" s="27" t="s">
        <v>5209</v>
      </c>
      <c r="S1179" s="28" t="n">
        <f aca="false">IFERROR(ISNUMBER(SEARCH("Conocer",$R1179))/(ISNUMBER(SEARCH("Conocer",$R1179))+ISNUMBER(SEARCH("Aplicar",$R1179))+ISNUMBER(SEARCH("Razonar",$R1179))),0)</f>
        <v>0.5</v>
      </c>
      <c r="T1179" s="28" t="n">
        <f aca="false">IFERROR(ISNUMBER(SEARCH("Aplicar",$R1179))/(ISNUMBER(SEARCH("Conocer",$R1179))+ISNUMBER(SEARCH("Aplicar",$R1179))+ISNUMBER(SEARCH("Razonar",$R1179))),0)</f>
        <v>0.5</v>
      </c>
      <c r="U1179" s="28" t="n">
        <f aca="false">IFERROR(ISNUMBER(SEARCH("Razonar",$R1179))/(ISNUMBER(SEARCH("Conocer",$R1179))+ISNUMBER(SEARCH("Aplicar",$R1179))+ISNUMBER(SEARCH("Razonar",$R1179))),0)</f>
        <v>0</v>
      </c>
      <c r="V1179" s="8" t="s">
        <v>387</v>
      </c>
      <c r="W1179" s="8" t="s">
        <v>4934</v>
      </c>
    </row>
    <row r="1180" customFormat="false" ht="15" hidden="false" customHeight="false" outlineLevel="0" collapsed="false">
      <c r="A1180" s="8" t="s">
        <v>5210</v>
      </c>
      <c r="B1180" s="8" t="n">
        <v>11</v>
      </c>
      <c r="C1180" s="8" t="s">
        <v>89</v>
      </c>
      <c r="D1180" s="8" t="s">
        <v>4928</v>
      </c>
      <c r="E1180" s="8" t="s">
        <v>5185</v>
      </c>
      <c r="F1180" s="8" t="n">
        <v>10</v>
      </c>
      <c r="G1180" s="8" t="s">
        <v>5186</v>
      </c>
      <c r="H1180" s="8" t="s">
        <v>5207</v>
      </c>
      <c r="I1180" s="27" t="s">
        <v>5211</v>
      </c>
      <c r="J1180" s="8" t="s">
        <v>4169</v>
      </c>
      <c r="K1180" s="8" t="s">
        <v>4170</v>
      </c>
      <c r="L1180" s="8"/>
      <c r="M1180" s="8" t="str">
        <f aca="false">IF(K1180="FUERA","Fuera del marco",IF(K1180="N/A","Sin marco",IFERROR(INDEX(Catalogo_TIMSS!$C$5:$C$105,MATCH(K1180,Catalogo_TIMSS!$A$5:$A$105,0)),"Pendiente de clasificar")))</f>
        <v>Sin marco</v>
      </c>
      <c r="N1180" s="8" t="str">
        <f aca="false">IF(K1180="FUERA","Fuera del marco",IF(K1180="N/A","Sin marco",IFERROR(INDEX(Catalogo_TIMSS!$F$5:$F$105,MATCH(K1180,Catalogo_TIMSS!$A$5:$A$105,0)),"Pendiente de clasificar")))</f>
        <v>Sin marco</v>
      </c>
      <c r="O1180" s="8" t="str">
        <f aca="false">IF(L1180="","",IFERROR(INDEX(Catalogo_TIMSS!$C$5:$C$105,MATCH(L1180,Catalogo_TIMSS!$A$5:$A$105,0)),"?"))</f>
        <v/>
      </c>
      <c r="P1180" s="8" t="s">
        <v>4170</v>
      </c>
      <c r="Q1180" s="27" t="s">
        <v>4171</v>
      </c>
      <c r="R1180" s="27" t="s">
        <v>5212</v>
      </c>
      <c r="S1180" s="28" t="n">
        <f aca="false">IFERROR(ISNUMBER(SEARCH("Conocer",$R1180))/(ISNUMBER(SEARCH("Conocer",$R1180))+ISNUMBER(SEARCH("Aplicar",$R1180))+ISNUMBER(SEARCH("Razonar",$R1180))),0)</f>
        <v>0</v>
      </c>
      <c r="T1180" s="28" t="n">
        <f aca="false">IFERROR(ISNUMBER(SEARCH("Aplicar",$R1180))/(ISNUMBER(SEARCH("Conocer",$R1180))+ISNUMBER(SEARCH("Aplicar",$R1180))+ISNUMBER(SEARCH("Razonar",$R1180))),0)</f>
        <v>0.5</v>
      </c>
      <c r="U1180" s="28" t="n">
        <f aca="false">IFERROR(ISNUMBER(SEARCH("Razonar",$R1180))/(ISNUMBER(SEARCH("Conocer",$R1180))+ISNUMBER(SEARCH("Aplicar",$R1180))+ISNUMBER(SEARCH("Razonar",$R1180))),0)</f>
        <v>0.5</v>
      </c>
      <c r="V1180" s="8" t="s">
        <v>387</v>
      </c>
      <c r="W1180" s="8" t="s">
        <v>4934</v>
      </c>
    </row>
    <row r="1181" customFormat="false" ht="15" hidden="false" customHeight="false" outlineLevel="0" collapsed="false">
      <c r="A1181" s="8" t="s">
        <v>5213</v>
      </c>
      <c r="B1181" s="8" t="n">
        <v>11</v>
      </c>
      <c r="C1181" s="8" t="s">
        <v>89</v>
      </c>
      <c r="D1181" s="8" t="s">
        <v>4928</v>
      </c>
      <c r="E1181" s="8" t="s">
        <v>5185</v>
      </c>
      <c r="F1181" s="8" t="n">
        <v>11</v>
      </c>
      <c r="G1181" s="8" t="s">
        <v>5186</v>
      </c>
      <c r="H1181" s="8" t="s">
        <v>5207</v>
      </c>
      <c r="I1181" s="27" t="s">
        <v>5214</v>
      </c>
      <c r="J1181" s="8" t="s">
        <v>4169</v>
      </c>
      <c r="K1181" s="8" t="s">
        <v>4170</v>
      </c>
      <c r="L1181" s="8"/>
      <c r="M1181" s="8" t="str">
        <f aca="false">IF(K1181="FUERA","Fuera del marco",IF(K1181="N/A","Sin marco",IFERROR(INDEX(Catalogo_TIMSS!$C$5:$C$105,MATCH(K1181,Catalogo_TIMSS!$A$5:$A$105,0)),"Pendiente de clasificar")))</f>
        <v>Sin marco</v>
      </c>
      <c r="N1181" s="8" t="str">
        <f aca="false">IF(K1181="FUERA","Fuera del marco",IF(K1181="N/A","Sin marco",IFERROR(INDEX(Catalogo_TIMSS!$F$5:$F$105,MATCH(K1181,Catalogo_TIMSS!$A$5:$A$105,0)),"Pendiente de clasificar")))</f>
        <v>Sin marco</v>
      </c>
      <c r="O1181" s="8" t="str">
        <f aca="false">IF(L1181="","",IFERROR(INDEX(Catalogo_TIMSS!$C$5:$C$105,MATCH(L1181,Catalogo_TIMSS!$A$5:$A$105,0)),"?"))</f>
        <v/>
      </c>
      <c r="P1181" s="8" t="s">
        <v>4170</v>
      </c>
      <c r="Q1181" s="27" t="s">
        <v>4171</v>
      </c>
      <c r="R1181" s="27" t="s">
        <v>5215</v>
      </c>
      <c r="S1181" s="28" t="n">
        <f aca="false">IFERROR(ISNUMBER(SEARCH("Conocer",$R1181))/(ISNUMBER(SEARCH("Conocer",$R1181))+ISNUMBER(SEARCH("Aplicar",$R1181))+ISNUMBER(SEARCH("Razonar",$R1181))),0)</f>
        <v>0.5</v>
      </c>
      <c r="T1181" s="28" t="n">
        <f aca="false">IFERROR(ISNUMBER(SEARCH("Aplicar",$R1181))/(ISNUMBER(SEARCH("Conocer",$R1181))+ISNUMBER(SEARCH("Aplicar",$R1181))+ISNUMBER(SEARCH("Razonar",$R1181))),0)</f>
        <v>0</v>
      </c>
      <c r="U1181" s="28" t="n">
        <f aca="false">IFERROR(ISNUMBER(SEARCH("Razonar",$R1181))/(ISNUMBER(SEARCH("Conocer",$R1181))+ISNUMBER(SEARCH("Aplicar",$R1181))+ISNUMBER(SEARCH("Razonar",$R1181))),0)</f>
        <v>0.5</v>
      </c>
      <c r="V1181" s="8" t="s">
        <v>387</v>
      </c>
      <c r="W1181" s="8" t="s">
        <v>4934</v>
      </c>
    </row>
    <row r="1182" customFormat="false" ht="15" hidden="false" customHeight="false" outlineLevel="0" collapsed="false">
      <c r="A1182" s="8" t="s">
        <v>5216</v>
      </c>
      <c r="B1182" s="8" t="n">
        <v>11</v>
      </c>
      <c r="C1182" s="8" t="s">
        <v>89</v>
      </c>
      <c r="D1182" s="8" t="s">
        <v>4928</v>
      </c>
      <c r="E1182" s="8" t="s">
        <v>5185</v>
      </c>
      <c r="F1182" s="8" t="n">
        <v>12</v>
      </c>
      <c r="G1182" s="8" t="s">
        <v>5186</v>
      </c>
      <c r="H1182" s="8" t="s">
        <v>5217</v>
      </c>
      <c r="I1182" s="27" t="s">
        <v>5218</v>
      </c>
      <c r="J1182" s="8" t="s">
        <v>4169</v>
      </c>
      <c r="K1182" s="8" t="s">
        <v>4170</v>
      </c>
      <c r="L1182" s="8"/>
      <c r="M1182" s="8" t="str">
        <f aca="false">IF(K1182="FUERA","Fuera del marco",IF(K1182="N/A","Sin marco",IFERROR(INDEX(Catalogo_TIMSS!$C$5:$C$105,MATCH(K1182,Catalogo_TIMSS!$A$5:$A$105,0)),"Pendiente de clasificar")))</f>
        <v>Sin marco</v>
      </c>
      <c r="N1182" s="8" t="str">
        <f aca="false">IF(K1182="FUERA","Fuera del marco",IF(K1182="N/A","Sin marco",IFERROR(INDEX(Catalogo_TIMSS!$F$5:$F$105,MATCH(K1182,Catalogo_TIMSS!$A$5:$A$105,0)),"Pendiente de clasificar")))</f>
        <v>Sin marco</v>
      </c>
      <c r="O1182" s="8" t="str">
        <f aca="false">IF(L1182="","",IFERROR(INDEX(Catalogo_TIMSS!$C$5:$C$105,MATCH(L1182,Catalogo_TIMSS!$A$5:$A$105,0)),"?"))</f>
        <v/>
      </c>
      <c r="P1182" s="8" t="s">
        <v>4170</v>
      </c>
      <c r="Q1182" s="27" t="s">
        <v>4171</v>
      </c>
      <c r="R1182" s="27" t="s">
        <v>5219</v>
      </c>
      <c r="S1182" s="28" t="n">
        <f aca="false">IFERROR(ISNUMBER(SEARCH("Conocer",$R1182))/(ISNUMBER(SEARCH("Conocer",$R1182))+ISNUMBER(SEARCH("Aplicar",$R1182))+ISNUMBER(SEARCH("Razonar",$R1182))),0)</f>
        <v>0.5</v>
      </c>
      <c r="T1182" s="28" t="n">
        <f aca="false">IFERROR(ISNUMBER(SEARCH("Aplicar",$R1182))/(ISNUMBER(SEARCH("Conocer",$R1182))+ISNUMBER(SEARCH("Aplicar",$R1182))+ISNUMBER(SEARCH("Razonar",$R1182))),0)</f>
        <v>0</v>
      </c>
      <c r="U1182" s="28" t="n">
        <f aca="false">IFERROR(ISNUMBER(SEARCH("Razonar",$R1182))/(ISNUMBER(SEARCH("Conocer",$R1182))+ISNUMBER(SEARCH("Aplicar",$R1182))+ISNUMBER(SEARCH("Razonar",$R1182))),0)</f>
        <v>0.5</v>
      </c>
      <c r="V1182" s="8" t="s">
        <v>387</v>
      </c>
      <c r="W1182" s="8" t="s">
        <v>4934</v>
      </c>
    </row>
    <row r="1183" customFormat="false" ht="15" hidden="false" customHeight="false" outlineLevel="0" collapsed="false">
      <c r="A1183" s="8" t="s">
        <v>5220</v>
      </c>
      <c r="B1183" s="8" t="n">
        <v>11</v>
      </c>
      <c r="C1183" s="8" t="s">
        <v>89</v>
      </c>
      <c r="D1183" s="8" t="s">
        <v>4928</v>
      </c>
      <c r="E1183" s="8" t="s">
        <v>5185</v>
      </c>
      <c r="F1183" s="8" t="n">
        <v>13</v>
      </c>
      <c r="G1183" s="8" t="s">
        <v>5186</v>
      </c>
      <c r="H1183" s="8" t="s">
        <v>5217</v>
      </c>
      <c r="I1183" s="27" t="s">
        <v>5221</v>
      </c>
      <c r="J1183" s="8" t="s">
        <v>4169</v>
      </c>
      <c r="K1183" s="8" t="s">
        <v>4170</v>
      </c>
      <c r="L1183" s="8"/>
      <c r="M1183" s="8" t="str">
        <f aca="false">IF(K1183="FUERA","Fuera del marco",IF(K1183="N/A","Sin marco",IFERROR(INDEX(Catalogo_TIMSS!$C$5:$C$105,MATCH(K1183,Catalogo_TIMSS!$A$5:$A$105,0)),"Pendiente de clasificar")))</f>
        <v>Sin marco</v>
      </c>
      <c r="N1183" s="8" t="str">
        <f aca="false">IF(K1183="FUERA","Fuera del marco",IF(K1183="N/A","Sin marco",IFERROR(INDEX(Catalogo_TIMSS!$F$5:$F$105,MATCH(K1183,Catalogo_TIMSS!$A$5:$A$105,0)),"Pendiente de clasificar")))</f>
        <v>Sin marco</v>
      </c>
      <c r="O1183" s="8" t="str">
        <f aca="false">IF(L1183="","",IFERROR(INDEX(Catalogo_TIMSS!$C$5:$C$105,MATCH(L1183,Catalogo_TIMSS!$A$5:$A$105,0)),"?"))</f>
        <v/>
      </c>
      <c r="P1183" s="8" t="s">
        <v>4170</v>
      </c>
      <c r="Q1183" s="27" t="s">
        <v>4171</v>
      </c>
      <c r="R1183" s="27" t="s">
        <v>5222</v>
      </c>
      <c r="S1183" s="28" t="n">
        <f aca="false">IFERROR(ISNUMBER(SEARCH("Conocer",$R1183))/(ISNUMBER(SEARCH("Conocer",$R1183))+ISNUMBER(SEARCH("Aplicar",$R1183))+ISNUMBER(SEARCH("Razonar",$R1183))),0)</f>
        <v>0</v>
      </c>
      <c r="T1183" s="28" t="n">
        <f aca="false">IFERROR(ISNUMBER(SEARCH("Aplicar",$R1183))/(ISNUMBER(SEARCH("Conocer",$R1183))+ISNUMBER(SEARCH("Aplicar",$R1183))+ISNUMBER(SEARCH("Razonar",$R1183))),0)</f>
        <v>0.5</v>
      </c>
      <c r="U1183" s="28" t="n">
        <f aca="false">IFERROR(ISNUMBER(SEARCH("Razonar",$R1183))/(ISNUMBER(SEARCH("Conocer",$R1183))+ISNUMBER(SEARCH("Aplicar",$R1183))+ISNUMBER(SEARCH("Razonar",$R1183))),0)</f>
        <v>0.5</v>
      </c>
      <c r="V1183" s="8" t="s">
        <v>387</v>
      </c>
      <c r="W1183" s="8" t="s">
        <v>4934</v>
      </c>
    </row>
    <row r="1184" customFormat="false" ht="15" hidden="false" customHeight="false" outlineLevel="0" collapsed="false">
      <c r="A1184" s="8" t="s">
        <v>5223</v>
      </c>
      <c r="B1184" s="8" t="n">
        <v>11</v>
      </c>
      <c r="C1184" s="8" t="s">
        <v>89</v>
      </c>
      <c r="D1184" s="8" t="s">
        <v>4928</v>
      </c>
      <c r="E1184" s="8" t="s">
        <v>5185</v>
      </c>
      <c r="F1184" s="8" t="n">
        <v>14</v>
      </c>
      <c r="G1184" s="8" t="s">
        <v>5186</v>
      </c>
      <c r="H1184" s="8" t="s">
        <v>5217</v>
      </c>
      <c r="I1184" s="27" t="s">
        <v>5224</v>
      </c>
      <c r="J1184" s="8" t="s">
        <v>4169</v>
      </c>
      <c r="K1184" s="8" t="s">
        <v>4170</v>
      </c>
      <c r="L1184" s="8"/>
      <c r="M1184" s="8" t="str">
        <f aca="false">IF(K1184="FUERA","Fuera del marco",IF(K1184="N/A","Sin marco",IFERROR(INDEX(Catalogo_TIMSS!$C$5:$C$105,MATCH(K1184,Catalogo_TIMSS!$A$5:$A$105,0)),"Pendiente de clasificar")))</f>
        <v>Sin marco</v>
      </c>
      <c r="N1184" s="8" t="str">
        <f aca="false">IF(K1184="FUERA","Fuera del marco",IF(K1184="N/A","Sin marco",IFERROR(INDEX(Catalogo_TIMSS!$F$5:$F$105,MATCH(K1184,Catalogo_TIMSS!$A$5:$A$105,0)),"Pendiente de clasificar")))</f>
        <v>Sin marco</v>
      </c>
      <c r="O1184" s="8" t="str">
        <f aca="false">IF(L1184="","",IFERROR(INDEX(Catalogo_TIMSS!$C$5:$C$105,MATCH(L1184,Catalogo_TIMSS!$A$5:$A$105,0)),"?"))</f>
        <v/>
      </c>
      <c r="P1184" s="8" t="s">
        <v>4170</v>
      </c>
      <c r="Q1184" s="27" t="s">
        <v>4171</v>
      </c>
      <c r="R1184" s="27" t="s">
        <v>5225</v>
      </c>
      <c r="S1184" s="28" t="n">
        <f aca="false">IFERROR(ISNUMBER(SEARCH("Conocer",$R1184))/(ISNUMBER(SEARCH("Conocer",$R1184))+ISNUMBER(SEARCH("Aplicar",$R1184))+ISNUMBER(SEARCH("Razonar",$R1184))),0)</f>
        <v>0.5</v>
      </c>
      <c r="T1184" s="28" t="n">
        <f aca="false">IFERROR(ISNUMBER(SEARCH("Aplicar",$R1184))/(ISNUMBER(SEARCH("Conocer",$R1184))+ISNUMBER(SEARCH("Aplicar",$R1184))+ISNUMBER(SEARCH("Razonar",$R1184))),0)</f>
        <v>0</v>
      </c>
      <c r="U1184" s="28" t="n">
        <f aca="false">IFERROR(ISNUMBER(SEARCH("Razonar",$R1184))/(ISNUMBER(SEARCH("Conocer",$R1184))+ISNUMBER(SEARCH("Aplicar",$R1184))+ISNUMBER(SEARCH("Razonar",$R1184))),0)</f>
        <v>0.5</v>
      </c>
      <c r="V1184" s="8" t="s">
        <v>387</v>
      </c>
      <c r="W1184" s="8" t="s">
        <v>4934</v>
      </c>
    </row>
    <row r="1185" customFormat="false" ht="15" hidden="false" customHeight="false" outlineLevel="0" collapsed="false">
      <c r="A1185" s="8" t="s">
        <v>5226</v>
      </c>
      <c r="B1185" s="8" t="n">
        <v>11</v>
      </c>
      <c r="C1185" s="8" t="s">
        <v>89</v>
      </c>
      <c r="D1185" s="8" t="s">
        <v>4928</v>
      </c>
      <c r="E1185" s="8" t="s">
        <v>5185</v>
      </c>
      <c r="F1185" s="8" t="n">
        <v>15</v>
      </c>
      <c r="G1185" s="8" t="s">
        <v>5227</v>
      </c>
      <c r="H1185" s="8" t="s">
        <v>5228</v>
      </c>
      <c r="I1185" s="27" t="s">
        <v>5229</v>
      </c>
      <c r="J1185" s="8" t="s">
        <v>4169</v>
      </c>
      <c r="K1185" s="8" t="s">
        <v>4170</v>
      </c>
      <c r="L1185" s="8"/>
      <c r="M1185" s="8" t="str">
        <f aca="false">IF(K1185="FUERA","Fuera del marco",IF(K1185="N/A","Sin marco",IFERROR(INDEX(Catalogo_TIMSS!$C$5:$C$105,MATCH(K1185,Catalogo_TIMSS!$A$5:$A$105,0)),"Pendiente de clasificar")))</f>
        <v>Sin marco</v>
      </c>
      <c r="N1185" s="8" t="str">
        <f aca="false">IF(K1185="FUERA","Fuera del marco",IF(K1185="N/A","Sin marco",IFERROR(INDEX(Catalogo_TIMSS!$F$5:$F$105,MATCH(K1185,Catalogo_TIMSS!$A$5:$A$105,0)),"Pendiente de clasificar")))</f>
        <v>Sin marco</v>
      </c>
      <c r="O1185" s="8" t="str">
        <f aca="false">IF(L1185="","",IFERROR(INDEX(Catalogo_TIMSS!$C$5:$C$105,MATCH(L1185,Catalogo_TIMSS!$A$5:$A$105,0)),"?"))</f>
        <v/>
      </c>
      <c r="P1185" s="8" t="s">
        <v>4170</v>
      </c>
      <c r="Q1185" s="27" t="s">
        <v>4171</v>
      </c>
      <c r="R1185" s="27" t="s">
        <v>5230</v>
      </c>
      <c r="S1185" s="28" t="n">
        <f aca="false">IFERROR(ISNUMBER(SEARCH("Conocer",$R1185))/(ISNUMBER(SEARCH("Conocer",$R1185))+ISNUMBER(SEARCH("Aplicar",$R1185))+ISNUMBER(SEARCH("Razonar",$R1185))),0)</f>
        <v>0.5</v>
      </c>
      <c r="T1185" s="28" t="n">
        <f aca="false">IFERROR(ISNUMBER(SEARCH("Aplicar",$R1185))/(ISNUMBER(SEARCH("Conocer",$R1185))+ISNUMBER(SEARCH("Aplicar",$R1185))+ISNUMBER(SEARCH("Razonar",$R1185))),0)</f>
        <v>0.5</v>
      </c>
      <c r="U1185" s="28" t="n">
        <f aca="false">IFERROR(ISNUMBER(SEARCH("Razonar",$R1185))/(ISNUMBER(SEARCH("Conocer",$R1185))+ISNUMBER(SEARCH("Aplicar",$R1185))+ISNUMBER(SEARCH("Razonar",$R1185))),0)</f>
        <v>0</v>
      </c>
      <c r="V1185" s="8" t="s">
        <v>387</v>
      </c>
      <c r="W1185" s="8" t="s">
        <v>4934</v>
      </c>
    </row>
    <row r="1186" customFormat="false" ht="15" hidden="false" customHeight="false" outlineLevel="0" collapsed="false">
      <c r="A1186" s="8" t="s">
        <v>5231</v>
      </c>
      <c r="B1186" s="8" t="n">
        <v>11</v>
      </c>
      <c r="C1186" s="8" t="s">
        <v>89</v>
      </c>
      <c r="D1186" s="8" t="s">
        <v>4928</v>
      </c>
      <c r="E1186" s="8" t="s">
        <v>5185</v>
      </c>
      <c r="F1186" s="8" t="n">
        <v>16</v>
      </c>
      <c r="G1186" s="8" t="s">
        <v>5227</v>
      </c>
      <c r="H1186" s="8" t="s">
        <v>5228</v>
      </c>
      <c r="I1186" s="27" t="s">
        <v>5232</v>
      </c>
      <c r="J1186" s="8" t="s">
        <v>4169</v>
      </c>
      <c r="K1186" s="8" t="s">
        <v>4170</v>
      </c>
      <c r="L1186" s="8"/>
      <c r="M1186" s="8" t="str">
        <f aca="false">IF(K1186="FUERA","Fuera del marco",IF(K1186="N/A","Sin marco",IFERROR(INDEX(Catalogo_TIMSS!$C$5:$C$105,MATCH(K1186,Catalogo_TIMSS!$A$5:$A$105,0)),"Pendiente de clasificar")))</f>
        <v>Sin marco</v>
      </c>
      <c r="N1186" s="8" t="str">
        <f aca="false">IF(K1186="FUERA","Fuera del marco",IF(K1186="N/A","Sin marco",IFERROR(INDEX(Catalogo_TIMSS!$F$5:$F$105,MATCH(K1186,Catalogo_TIMSS!$A$5:$A$105,0)),"Pendiente de clasificar")))</f>
        <v>Sin marco</v>
      </c>
      <c r="O1186" s="8" t="str">
        <f aca="false">IF(L1186="","",IFERROR(INDEX(Catalogo_TIMSS!$C$5:$C$105,MATCH(L1186,Catalogo_TIMSS!$A$5:$A$105,0)),"?"))</f>
        <v/>
      </c>
      <c r="P1186" s="8" t="s">
        <v>4170</v>
      </c>
      <c r="Q1186" s="27" t="s">
        <v>4171</v>
      </c>
      <c r="R1186" s="27" t="s">
        <v>5233</v>
      </c>
      <c r="S1186" s="28" t="n">
        <f aca="false">IFERROR(ISNUMBER(SEARCH("Conocer",$R1186))/(ISNUMBER(SEARCH("Conocer",$R1186))+ISNUMBER(SEARCH("Aplicar",$R1186))+ISNUMBER(SEARCH("Razonar",$R1186))),0)</f>
        <v>0.333333333333333</v>
      </c>
      <c r="T1186" s="28" t="n">
        <f aca="false">IFERROR(ISNUMBER(SEARCH("Aplicar",$R1186))/(ISNUMBER(SEARCH("Conocer",$R1186))+ISNUMBER(SEARCH("Aplicar",$R1186))+ISNUMBER(SEARCH("Razonar",$R1186))),0)</f>
        <v>0.333333333333333</v>
      </c>
      <c r="U1186" s="28" t="n">
        <f aca="false">IFERROR(ISNUMBER(SEARCH("Razonar",$R1186))/(ISNUMBER(SEARCH("Conocer",$R1186))+ISNUMBER(SEARCH("Aplicar",$R1186))+ISNUMBER(SEARCH("Razonar",$R1186))),0)</f>
        <v>0.333333333333333</v>
      </c>
      <c r="V1186" s="8" t="s">
        <v>387</v>
      </c>
      <c r="W1186" s="8" t="s">
        <v>4934</v>
      </c>
    </row>
    <row r="1187" customFormat="false" ht="15" hidden="false" customHeight="false" outlineLevel="0" collapsed="false">
      <c r="A1187" s="8" t="s">
        <v>5234</v>
      </c>
      <c r="B1187" s="8" t="n">
        <v>11</v>
      </c>
      <c r="C1187" s="8" t="s">
        <v>89</v>
      </c>
      <c r="D1187" s="8" t="s">
        <v>4928</v>
      </c>
      <c r="E1187" s="8" t="s">
        <v>5185</v>
      </c>
      <c r="F1187" s="8" t="n">
        <v>17</v>
      </c>
      <c r="G1187" s="8" t="s">
        <v>5227</v>
      </c>
      <c r="H1187" s="8" t="s">
        <v>5228</v>
      </c>
      <c r="I1187" s="27" t="s">
        <v>5235</v>
      </c>
      <c r="J1187" s="8" t="s">
        <v>4169</v>
      </c>
      <c r="K1187" s="8" t="s">
        <v>4170</v>
      </c>
      <c r="L1187" s="8"/>
      <c r="M1187" s="8" t="str">
        <f aca="false">IF(K1187="FUERA","Fuera del marco",IF(K1187="N/A","Sin marco",IFERROR(INDEX(Catalogo_TIMSS!$C$5:$C$105,MATCH(K1187,Catalogo_TIMSS!$A$5:$A$105,0)),"Pendiente de clasificar")))</f>
        <v>Sin marco</v>
      </c>
      <c r="N1187" s="8" t="str">
        <f aca="false">IF(K1187="FUERA","Fuera del marco",IF(K1187="N/A","Sin marco",IFERROR(INDEX(Catalogo_TIMSS!$F$5:$F$105,MATCH(K1187,Catalogo_TIMSS!$A$5:$A$105,0)),"Pendiente de clasificar")))</f>
        <v>Sin marco</v>
      </c>
      <c r="O1187" s="8" t="str">
        <f aca="false">IF(L1187="","",IFERROR(INDEX(Catalogo_TIMSS!$C$5:$C$105,MATCH(L1187,Catalogo_TIMSS!$A$5:$A$105,0)),"?"))</f>
        <v/>
      </c>
      <c r="P1187" s="8" t="s">
        <v>4170</v>
      </c>
      <c r="Q1187" s="27" t="s">
        <v>4171</v>
      </c>
      <c r="R1187" s="27" t="s">
        <v>5236</v>
      </c>
      <c r="S1187" s="28" t="n">
        <f aca="false">IFERROR(ISNUMBER(SEARCH("Conocer",$R1187))/(ISNUMBER(SEARCH("Conocer",$R1187))+ISNUMBER(SEARCH("Aplicar",$R1187))+ISNUMBER(SEARCH("Razonar",$R1187))),0)</f>
        <v>0.5</v>
      </c>
      <c r="T1187" s="28" t="n">
        <f aca="false">IFERROR(ISNUMBER(SEARCH("Aplicar",$R1187))/(ISNUMBER(SEARCH("Conocer",$R1187))+ISNUMBER(SEARCH("Aplicar",$R1187))+ISNUMBER(SEARCH("Razonar",$R1187))),0)</f>
        <v>0</v>
      </c>
      <c r="U1187" s="28" t="n">
        <f aca="false">IFERROR(ISNUMBER(SEARCH("Razonar",$R1187))/(ISNUMBER(SEARCH("Conocer",$R1187))+ISNUMBER(SEARCH("Aplicar",$R1187))+ISNUMBER(SEARCH("Razonar",$R1187))),0)</f>
        <v>0.5</v>
      </c>
      <c r="V1187" s="8" t="s">
        <v>387</v>
      </c>
      <c r="W1187" s="8" t="s">
        <v>4934</v>
      </c>
    </row>
    <row r="1188" customFormat="false" ht="15" hidden="false" customHeight="false" outlineLevel="0" collapsed="false">
      <c r="A1188" s="8" t="s">
        <v>5237</v>
      </c>
      <c r="B1188" s="8" t="n">
        <v>11</v>
      </c>
      <c r="C1188" s="8" t="s">
        <v>89</v>
      </c>
      <c r="D1188" s="8" t="s">
        <v>4928</v>
      </c>
      <c r="E1188" s="8" t="s">
        <v>5185</v>
      </c>
      <c r="F1188" s="8" t="n">
        <v>18</v>
      </c>
      <c r="G1188" s="8" t="s">
        <v>5227</v>
      </c>
      <c r="H1188" s="8" t="s">
        <v>5238</v>
      </c>
      <c r="I1188" s="27" t="s">
        <v>5239</v>
      </c>
      <c r="J1188" s="8" t="s">
        <v>4169</v>
      </c>
      <c r="K1188" s="8" t="s">
        <v>4170</v>
      </c>
      <c r="L1188" s="8"/>
      <c r="M1188" s="8" t="str">
        <f aca="false">IF(K1188="FUERA","Fuera del marco",IF(K1188="N/A","Sin marco",IFERROR(INDEX(Catalogo_TIMSS!$C$5:$C$105,MATCH(K1188,Catalogo_TIMSS!$A$5:$A$105,0)),"Pendiente de clasificar")))</f>
        <v>Sin marco</v>
      </c>
      <c r="N1188" s="8" t="str">
        <f aca="false">IF(K1188="FUERA","Fuera del marco",IF(K1188="N/A","Sin marco",IFERROR(INDEX(Catalogo_TIMSS!$F$5:$F$105,MATCH(K1188,Catalogo_TIMSS!$A$5:$A$105,0)),"Pendiente de clasificar")))</f>
        <v>Sin marco</v>
      </c>
      <c r="O1188" s="8" t="str">
        <f aca="false">IF(L1188="","",IFERROR(INDEX(Catalogo_TIMSS!$C$5:$C$105,MATCH(L1188,Catalogo_TIMSS!$A$5:$A$105,0)),"?"))</f>
        <v/>
      </c>
      <c r="P1188" s="8" t="s">
        <v>4170</v>
      </c>
      <c r="Q1188" s="27" t="s">
        <v>4171</v>
      </c>
      <c r="R1188" s="27" t="s">
        <v>5240</v>
      </c>
      <c r="S1188" s="28" t="n">
        <f aca="false">IFERROR(ISNUMBER(SEARCH("Conocer",$R1188))/(ISNUMBER(SEARCH("Conocer",$R1188))+ISNUMBER(SEARCH("Aplicar",$R1188))+ISNUMBER(SEARCH("Razonar",$R1188))),0)</f>
        <v>0</v>
      </c>
      <c r="T1188" s="28" t="n">
        <f aca="false">IFERROR(ISNUMBER(SEARCH("Aplicar",$R1188))/(ISNUMBER(SEARCH("Conocer",$R1188))+ISNUMBER(SEARCH("Aplicar",$R1188))+ISNUMBER(SEARCH("Razonar",$R1188))),0)</f>
        <v>0.5</v>
      </c>
      <c r="U1188" s="28" t="n">
        <f aca="false">IFERROR(ISNUMBER(SEARCH("Razonar",$R1188))/(ISNUMBER(SEARCH("Conocer",$R1188))+ISNUMBER(SEARCH("Aplicar",$R1188))+ISNUMBER(SEARCH("Razonar",$R1188))),0)</f>
        <v>0.5</v>
      </c>
      <c r="V1188" s="8" t="s">
        <v>387</v>
      </c>
      <c r="W1188" s="8" t="s">
        <v>4934</v>
      </c>
    </row>
    <row r="1189" customFormat="false" ht="15" hidden="false" customHeight="false" outlineLevel="0" collapsed="false">
      <c r="A1189" s="8" t="s">
        <v>5241</v>
      </c>
      <c r="B1189" s="8" t="n">
        <v>11</v>
      </c>
      <c r="C1189" s="8" t="s">
        <v>89</v>
      </c>
      <c r="D1189" s="8" t="s">
        <v>4928</v>
      </c>
      <c r="E1189" s="8" t="s">
        <v>5185</v>
      </c>
      <c r="F1189" s="8" t="n">
        <v>19</v>
      </c>
      <c r="G1189" s="8" t="s">
        <v>5227</v>
      </c>
      <c r="H1189" s="8" t="s">
        <v>5238</v>
      </c>
      <c r="I1189" s="27" t="s">
        <v>5242</v>
      </c>
      <c r="J1189" s="8" t="s">
        <v>4169</v>
      </c>
      <c r="K1189" s="8" t="s">
        <v>4170</v>
      </c>
      <c r="L1189" s="8"/>
      <c r="M1189" s="8" t="str">
        <f aca="false">IF(K1189="FUERA","Fuera del marco",IF(K1189="N/A","Sin marco",IFERROR(INDEX(Catalogo_TIMSS!$C$5:$C$105,MATCH(K1189,Catalogo_TIMSS!$A$5:$A$105,0)),"Pendiente de clasificar")))</f>
        <v>Sin marco</v>
      </c>
      <c r="N1189" s="8" t="str">
        <f aca="false">IF(K1189="FUERA","Fuera del marco",IF(K1189="N/A","Sin marco",IFERROR(INDEX(Catalogo_TIMSS!$F$5:$F$105,MATCH(K1189,Catalogo_TIMSS!$A$5:$A$105,0)),"Pendiente de clasificar")))</f>
        <v>Sin marco</v>
      </c>
      <c r="O1189" s="8" t="str">
        <f aca="false">IF(L1189="","",IFERROR(INDEX(Catalogo_TIMSS!$C$5:$C$105,MATCH(L1189,Catalogo_TIMSS!$A$5:$A$105,0)),"?"))</f>
        <v/>
      </c>
      <c r="P1189" s="8" t="s">
        <v>4170</v>
      </c>
      <c r="Q1189" s="27" t="s">
        <v>4171</v>
      </c>
      <c r="R1189" s="27" t="s">
        <v>5243</v>
      </c>
      <c r="S1189" s="28" t="n">
        <f aca="false">IFERROR(ISNUMBER(SEARCH("Conocer",$R1189))/(ISNUMBER(SEARCH("Conocer",$R1189))+ISNUMBER(SEARCH("Aplicar",$R1189))+ISNUMBER(SEARCH("Razonar",$R1189))),0)</f>
        <v>0</v>
      </c>
      <c r="T1189" s="28" t="n">
        <f aca="false">IFERROR(ISNUMBER(SEARCH("Aplicar",$R1189))/(ISNUMBER(SEARCH("Conocer",$R1189))+ISNUMBER(SEARCH("Aplicar",$R1189))+ISNUMBER(SEARCH("Razonar",$R1189))),0)</f>
        <v>0.5</v>
      </c>
      <c r="U1189" s="28" t="n">
        <f aca="false">IFERROR(ISNUMBER(SEARCH("Razonar",$R1189))/(ISNUMBER(SEARCH("Conocer",$R1189))+ISNUMBER(SEARCH("Aplicar",$R1189))+ISNUMBER(SEARCH("Razonar",$R1189))),0)</f>
        <v>0.5</v>
      </c>
      <c r="V1189" s="8" t="s">
        <v>387</v>
      </c>
      <c r="W1189" s="8" t="s">
        <v>4934</v>
      </c>
    </row>
    <row r="1190" customFormat="false" ht="15" hidden="false" customHeight="false" outlineLevel="0" collapsed="false">
      <c r="A1190" s="8" t="s">
        <v>5244</v>
      </c>
      <c r="B1190" s="8" t="n">
        <v>11</v>
      </c>
      <c r="C1190" s="8" t="s">
        <v>89</v>
      </c>
      <c r="D1190" s="8" t="s">
        <v>4928</v>
      </c>
      <c r="E1190" s="8" t="s">
        <v>5185</v>
      </c>
      <c r="F1190" s="8" t="n">
        <v>20</v>
      </c>
      <c r="G1190" s="8" t="s">
        <v>5227</v>
      </c>
      <c r="H1190" s="8" t="s">
        <v>5238</v>
      </c>
      <c r="I1190" s="27" t="s">
        <v>5245</v>
      </c>
      <c r="J1190" s="8" t="s">
        <v>4169</v>
      </c>
      <c r="K1190" s="8" t="s">
        <v>4170</v>
      </c>
      <c r="L1190" s="8"/>
      <c r="M1190" s="8" t="str">
        <f aca="false">IF(K1190="FUERA","Fuera del marco",IF(K1190="N/A","Sin marco",IFERROR(INDEX(Catalogo_TIMSS!$C$5:$C$105,MATCH(K1190,Catalogo_TIMSS!$A$5:$A$105,0)),"Pendiente de clasificar")))</f>
        <v>Sin marco</v>
      </c>
      <c r="N1190" s="8" t="str">
        <f aca="false">IF(K1190="FUERA","Fuera del marco",IF(K1190="N/A","Sin marco",IFERROR(INDEX(Catalogo_TIMSS!$F$5:$F$105,MATCH(K1190,Catalogo_TIMSS!$A$5:$A$105,0)),"Pendiente de clasificar")))</f>
        <v>Sin marco</v>
      </c>
      <c r="O1190" s="8" t="str">
        <f aca="false">IF(L1190="","",IFERROR(INDEX(Catalogo_TIMSS!$C$5:$C$105,MATCH(L1190,Catalogo_TIMSS!$A$5:$A$105,0)),"?"))</f>
        <v/>
      </c>
      <c r="P1190" s="8" t="s">
        <v>4170</v>
      </c>
      <c r="Q1190" s="27" t="s">
        <v>4171</v>
      </c>
      <c r="R1190" s="27" t="s">
        <v>5246</v>
      </c>
      <c r="S1190" s="28" t="n">
        <f aca="false">IFERROR(ISNUMBER(SEARCH("Conocer",$R1190))/(ISNUMBER(SEARCH("Conocer",$R1190))+ISNUMBER(SEARCH("Aplicar",$R1190))+ISNUMBER(SEARCH("Razonar",$R1190))),0)</f>
        <v>0</v>
      </c>
      <c r="T1190" s="28" t="n">
        <f aca="false">IFERROR(ISNUMBER(SEARCH("Aplicar",$R1190))/(ISNUMBER(SEARCH("Conocer",$R1190))+ISNUMBER(SEARCH("Aplicar",$R1190))+ISNUMBER(SEARCH("Razonar",$R1190))),0)</f>
        <v>0.5</v>
      </c>
      <c r="U1190" s="28" t="n">
        <f aca="false">IFERROR(ISNUMBER(SEARCH("Razonar",$R1190))/(ISNUMBER(SEARCH("Conocer",$R1190))+ISNUMBER(SEARCH("Aplicar",$R1190))+ISNUMBER(SEARCH("Razonar",$R1190))),0)</f>
        <v>0.5</v>
      </c>
      <c r="V1190" s="8" t="s">
        <v>387</v>
      </c>
      <c r="W1190" s="8" t="s">
        <v>4934</v>
      </c>
    </row>
    <row r="1191" customFormat="false" ht="15" hidden="false" customHeight="false" outlineLevel="0" collapsed="false">
      <c r="A1191" s="8" t="s">
        <v>5247</v>
      </c>
      <c r="B1191" s="8" t="n">
        <v>11</v>
      </c>
      <c r="C1191" s="8" t="s">
        <v>89</v>
      </c>
      <c r="D1191" s="8" t="s">
        <v>4928</v>
      </c>
      <c r="E1191" s="8" t="s">
        <v>5185</v>
      </c>
      <c r="F1191" s="8" t="n">
        <v>21</v>
      </c>
      <c r="G1191" s="8" t="s">
        <v>5227</v>
      </c>
      <c r="H1191" s="8" t="s">
        <v>5248</v>
      </c>
      <c r="I1191" s="27" t="s">
        <v>5249</v>
      </c>
      <c r="J1191" s="8" t="s">
        <v>4169</v>
      </c>
      <c r="K1191" s="8" t="s">
        <v>4170</v>
      </c>
      <c r="L1191" s="8"/>
      <c r="M1191" s="8" t="str">
        <f aca="false">IF(K1191="FUERA","Fuera del marco",IF(K1191="N/A","Sin marco",IFERROR(INDEX(Catalogo_TIMSS!$C$5:$C$105,MATCH(K1191,Catalogo_TIMSS!$A$5:$A$105,0)),"Pendiente de clasificar")))</f>
        <v>Sin marco</v>
      </c>
      <c r="N1191" s="8" t="str">
        <f aca="false">IF(K1191="FUERA","Fuera del marco",IF(K1191="N/A","Sin marco",IFERROR(INDEX(Catalogo_TIMSS!$F$5:$F$105,MATCH(K1191,Catalogo_TIMSS!$A$5:$A$105,0)),"Pendiente de clasificar")))</f>
        <v>Sin marco</v>
      </c>
      <c r="O1191" s="8" t="str">
        <f aca="false">IF(L1191="","",IFERROR(INDEX(Catalogo_TIMSS!$C$5:$C$105,MATCH(L1191,Catalogo_TIMSS!$A$5:$A$105,0)),"?"))</f>
        <v/>
      </c>
      <c r="P1191" s="8" t="s">
        <v>4170</v>
      </c>
      <c r="Q1191" s="27" t="s">
        <v>4171</v>
      </c>
      <c r="R1191" s="27" t="s">
        <v>5250</v>
      </c>
      <c r="S1191" s="28" t="n">
        <f aca="false">IFERROR(ISNUMBER(SEARCH("Conocer",$R1191))/(ISNUMBER(SEARCH("Conocer",$R1191))+ISNUMBER(SEARCH("Aplicar",$R1191))+ISNUMBER(SEARCH("Razonar",$R1191))),0)</f>
        <v>0.5</v>
      </c>
      <c r="T1191" s="28" t="n">
        <f aca="false">IFERROR(ISNUMBER(SEARCH("Aplicar",$R1191))/(ISNUMBER(SEARCH("Conocer",$R1191))+ISNUMBER(SEARCH("Aplicar",$R1191))+ISNUMBER(SEARCH("Razonar",$R1191))),0)</f>
        <v>0</v>
      </c>
      <c r="U1191" s="28" t="n">
        <f aca="false">IFERROR(ISNUMBER(SEARCH("Razonar",$R1191))/(ISNUMBER(SEARCH("Conocer",$R1191))+ISNUMBER(SEARCH("Aplicar",$R1191))+ISNUMBER(SEARCH("Razonar",$R1191))),0)</f>
        <v>0.5</v>
      </c>
      <c r="V1191" s="8" t="s">
        <v>387</v>
      </c>
      <c r="W1191" s="8" t="s">
        <v>4934</v>
      </c>
    </row>
    <row r="1192" customFormat="false" ht="15" hidden="false" customHeight="false" outlineLevel="0" collapsed="false">
      <c r="A1192" s="8" t="s">
        <v>5251</v>
      </c>
      <c r="B1192" s="8" t="n">
        <v>11</v>
      </c>
      <c r="C1192" s="8" t="s">
        <v>89</v>
      </c>
      <c r="D1192" s="8" t="s">
        <v>4928</v>
      </c>
      <c r="E1192" s="8" t="s">
        <v>5185</v>
      </c>
      <c r="F1192" s="8" t="n">
        <v>22</v>
      </c>
      <c r="G1192" s="8" t="s">
        <v>5227</v>
      </c>
      <c r="H1192" s="8" t="s">
        <v>5248</v>
      </c>
      <c r="I1192" s="27" t="s">
        <v>5252</v>
      </c>
      <c r="J1192" s="8" t="s">
        <v>4169</v>
      </c>
      <c r="K1192" s="8" t="s">
        <v>4170</v>
      </c>
      <c r="L1192" s="8"/>
      <c r="M1192" s="8" t="str">
        <f aca="false">IF(K1192="FUERA","Fuera del marco",IF(K1192="N/A","Sin marco",IFERROR(INDEX(Catalogo_TIMSS!$C$5:$C$105,MATCH(K1192,Catalogo_TIMSS!$A$5:$A$105,0)),"Pendiente de clasificar")))</f>
        <v>Sin marco</v>
      </c>
      <c r="N1192" s="8" t="str">
        <f aca="false">IF(K1192="FUERA","Fuera del marco",IF(K1192="N/A","Sin marco",IFERROR(INDEX(Catalogo_TIMSS!$F$5:$F$105,MATCH(K1192,Catalogo_TIMSS!$A$5:$A$105,0)),"Pendiente de clasificar")))</f>
        <v>Sin marco</v>
      </c>
      <c r="O1192" s="8" t="str">
        <f aca="false">IF(L1192="","",IFERROR(INDEX(Catalogo_TIMSS!$C$5:$C$105,MATCH(L1192,Catalogo_TIMSS!$A$5:$A$105,0)),"?"))</f>
        <v/>
      </c>
      <c r="P1192" s="8" t="s">
        <v>4170</v>
      </c>
      <c r="Q1192" s="27" t="s">
        <v>4171</v>
      </c>
      <c r="R1192" s="27" t="s">
        <v>5253</v>
      </c>
      <c r="S1192" s="28" t="n">
        <f aca="false">IFERROR(ISNUMBER(SEARCH("Conocer",$R1192))/(ISNUMBER(SEARCH("Conocer",$R1192))+ISNUMBER(SEARCH("Aplicar",$R1192))+ISNUMBER(SEARCH("Razonar",$R1192))),0)</f>
        <v>0</v>
      </c>
      <c r="T1192" s="28" t="n">
        <f aca="false">IFERROR(ISNUMBER(SEARCH("Aplicar",$R1192))/(ISNUMBER(SEARCH("Conocer",$R1192))+ISNUMBER(SEARCH("Aplicar",$R1192))+ISNUMBER(SEARCH("Razonar",$R1192))),0)</f>
        <v>0.5</v>
      </c>
      <c r="U1192" s="28" t="n">
        <f aca="false">IFERROR(ISNUMBER(SEARCH("Razonar",$R1192))/(ISNUMBER(SEARCH("Conocer",$R1192))+ISNUMBER(SEARCH("Aplicar",$R1192))+ISNUMBER(SEARCH("Razonar",$R1192))),0)</f>
        <v>0.5</v>
      </c>
      <c r="V1192" s="8" t="s">
        <v>387</v>
      </c>
      <c r="W1192" s="8" t="s">
        <v>4934</v>
      </c>
    </row>
    <row r="1193" customFormat="false" ht="15" hidden="false" customHeight="false" outlineLevel="0" collapsed="false">
      <c r="A1193" s="8" t="s">
        <v>5254</v>
      </c>
      <c r="B1193" s="8" t="n">
        <v>11</v>
      </c>
      <c r="C1193" s="8" t="s">
        <v>89</v>
      </c>
      <c r="D1193" s="8" t="s">
        <v>4928</v>
      </c>
      <c r="E1193" s="8" t="s">
        <v>5185</v>
      </c>
      <c r="F1193" s="8" t="n">
        <v>23</v>
      </c>
      <c r="G1193" s="8" t="s">
        <v>5227</v>
      </c>
      <c r="H1193" s="8" t="s">
        <v>5248</v>
      </c>
      <c r="I1193" s="27" t="s">
        <v>5255</v>
      </c>
      <c r="J1193" s="8" t="s">
        <v>4169</v>
      </c>
      <c r="K1193" s="8" t="s">
        <v>4170</v>
      </c>
      <c r="L1193" s="8"/>
      <c r="M1193" s="8" t="str">
        <f aca="false">IF(K1193="FUERA","Fuera del marco",IF(K1193="N/A","Sin marco",IFERROR(INDEX(Catalogo_TIMSS!$C$5:$C$105,MATCH(K1193,Catalogo_TIMSS!$A$5:$A$105,0)),"Pendiente de clasificar")))</f>
        <v>Sin marco</v>
      </c>
      <c r="N1193" s="8" t="str">
        <f aca="false">IF(K1193="FUERA","Fuera del marco",IF(K1193="N/A","Sin marco",IFERROR(INDEX(Catalogo_TIMSS!$F$5:$F$105,MATCH(K1193,Catalogo_TIMSS!$A$5:$A$105,0)),"Pendiente de clasificar")))</f>
        <v>Sin marco</v>
      </c>
      <c r="O1193" s="8" t="str">
        <f aca="false">IF(L1193="","",IFERROR(INDEX(Catalogo_TIMSS!$C$5:$C$105,MATCH(L1193,Catalogo_TIMSS!$A$5:$A$105,0)),"?"))</f>
        <v/>
      </c>
      <c r="P1193" s="8" t="s">
        <v>4170</v>
      </c>
      <c r="Q1193" s="27" t="s">
        <v>4171</v>
      </c>
      <c r="R1193" s="27" t="s">
        <v>5256</v>
      </c>
      <c r="S1193" s="28" t="n">
        <f aca="false">IFERROR(ISNUMBER(SEARCH("Conocer",$R1193))/(ISNUMBER(SEARCH("Conocer",$R1193))+ISNUMBER(SEARCH("Aplicar",$R1193))+ISNUMBER(SEARCH("Razonar",$R1193))),0)</f>
        <v>0.333333333333333</v>
      </c>
      <c r="T1193" s="28" t="n">
        <f aca="false">IFERROR(ISNUMBER(SEARCH("Aplicar",$R1193))/(ISNUMBER(SEARCH("Conocer",$R1193))+ISNUMBER(SEARCH("Aplicar",$R1193))+ISNUMBER(SEARCH("Razonar",$R1193))),0)</f>
        <v>0.333333333333333</v>
      </c>
      <c r="U1193" s="28" t="n">
        <f aca="false">IFERROR(ISNUMBER(SEARCH("Razonar",$R1193))/(ISNUMBER(SEARCH("Conocer",$R1193))+ISNUMBER(SEARCH("Aplicar",$R1193))+ISNUMBER(SEARCH("Razonar",$R1193))),0)</f>
        <v>0.333333333333333</v>
      </c>
      <c r="V1193" s="8" t="s">
        <v>387</v>
      </c>
      <c r="W1193" s="8" t="s">
        <v>4934</v>
      </c>
    </row>
    <row r="1194" customFormat="false" ht="15" hidden="false" customHeight="false" outlineLevel="0" collapsed="false">
      <c r="A1194" s="8" t="s">
        <v>5257</v>
      </c>
      <c r="B1194" s="8" t="n">
        <v>11</v>
      </c>
      <c r="C1194" s="8" t="s">
        <v>89</v>
      </c>
      <c r="D1194" s="8" t="s">
        <v>4928</v>
      </c>
      <c r="E1194" s="8" t="s">
        <v>5185</v>
      </c>
      <c r="F1194" s="8" t="n">
        <v>24</v>
      </c>
      <c r="G1194" s="8" t="s">
        <v>5227</v>
      </c>
      <c r="H1194" s="8" t="s">
        <v>5258</v>
      </c>
      <c r="I1194" s="27" t="s">
        <v>5259</v>
      </c>
      <c r="J1194" s="8" t="s">
        <v>4169</v>
      </c>
      <c r="K1194" s="8" t="s">
        <v>4170</v>
      </c>
      <c r="L1194" s="8"/>
      <c r="M1194" s="8" t="str">
        <f aca="false">IF(K1194="FUERA","Fuera del marco",IF(K1194="N/A","Sin marco",IFERROR(INDEX(Catalogo_TIMSS!$C$5:$C$105,MATCH(K1194,Catalogo_TIMSS!$A$5:$A$105,0)),"Pendiente de clasificar")))</f>
        <v>Sin marco</v>
      </c>
      <c r="N1194" s="8" t="str">
        <f aca="false">IF(K1194="FUERA","Fuera del marco",IF(K1194="N/A","Sin marco",IFERROR(INDEX(Catalogo_TIMSS!$F$5:$F$105,MATCH(K1194,Catalogo_TIMSS!$A$5:$A$105,0)),"Pendiente de clasificar")))</f>
        <v>Sin marco</v>
      </c>
      <c r="O1194" s="8" t="str">
        <f aca="false">IF(L1194="","",IFERROR(INDEX(Catalogo_TIMSS!$C$5:$C$105,MATCH(L1194,Catalogo_TIMSS!$A$5:$A$105,0)),"?"))</f>
        <v/>
      </c>
      <c r="P1194" s="8" t="s">
        <v>4170</v>
      </c>
      <c r="Q1194" s="27" t="s">
        <v>4171</v>
      </c>
      <c r="R1194" s="27" t="s">
        <v>5260</v>
      </c>
      <c r="S1194" s="28" t="n">
        <f aca="false">IFERROR(ISNUMBER(SEARCH("Conocer",$R1194))/(ISNUMBER(SEARCH("Conocer",$R1194))+ISNUMBER(SEARCH("Aplicar",$R1194))+ISNUMBER(SEARCH("Razonar",$R1194))),0)</f>
        <v>0.5</v>
      </c>
      <c r="T1194" s="28" t="n">
        <f aca="false">IFERROR(ISNUMBER(SEARCH("Aplicar",$R1194))/(ISNUMBER(SEARCH("Conocer",$R1194))+ISNUMBER(SEARCH("Aplicar",$R1194))+ISNUMBER(SEARCH("Razonar",$R1194))),0)</f>
        <v>0</v>
      </c>
      <c r="U1194" s="28" t="n">
        <f aca="false">IFERROR(ISNUMBER(SEARCH("Razonar",$R1194))/(ISNUMBER(SEARCH("Conocer",$R1194))+ISNUMBER(SEARCH("Aplicar",$R1194))+ISNUMBER(SEARCH("Razonar",$R1194))),0)</f>
        <v>0.5</v>
      </c>
      <c r="V1194" s="8" t="s">
        <v>387</v>
      </c>
      <c r="W1194" s="8" t="s">
        <v>4934</v>
      </c>
    </row>
    <row r="1195" customFormat="false" ht="15" hidden="false" customHeight="false" outlineLevel="0" collapsed="false">
      <c r="A1195" s="8" t="s">
        <v>5261</v>
      </c>
      <c r="B1195" s="8" t="n">
        <v>11</v>
      </c>
      <c r="C1195" s="8" t="s">
        <v>89</v>
      </c>
      <c r="D1195" s="8" t="s">
        <v>4928</v>
      </c>
      <c r="E1195" s="8" t="s">
        <v>5185</v>
      </c>
      <c r="F1195" s="8" t="n">
        <v>25</v>
      </c>
      <c r="G1195" s="8" t="s">
        <v>5227</v>
      </c>
      <c r="H1195" s="8" t="s">
        <v>5258</v>
      </c>
      <c r="I1195" s="27" t="s">
        <v>5262</v>
      </c>
      <c r="J1195" s="8" t="s">
        <v>4169</v>
      </c>
      <c r="K1195" s="8" t="s">
        <v>4170</v>
      </c>
      <c r="L1195" s="8"/>
      <c r="M1195" s="8" t="str">
        <f aca="false">IF(K1195="FUERA","Fuera del marco",IF(K1195="N/A","Sin marco",IFERROR(INDEX(Catalogo_TIMSS!$C$5:$C$105,MATCH(K1195,Catalogo_TIMSS!$A$5:$A$105,0)),"Pendiente de clasificar")))</f>
        <v>Sin marco</v>
      </c>
      <c r="N1195" s="8" t="str">
        <f aca="false">IF(K1195="FUERA","Fuera del marco",IF(K1195="N/A","Sin marco",IFERROR(INDEX(Catalogo_TIMSS!$F$5:$F$105,MATCH(K1195,Catalogo_TIMSS!$A$5:$A$105,0)),"Pendiente de clasificar")))</f>
        <v>Sin marco</v>
      </c>
      <c r="O1195" s="8" t="str">
        <f aca="false">IF(L1195="","",IFERROR(INDEX(Catalogo_TIMSS!$C$5:$C$105,MATCH(L1195,Catalogo_TIMSS!$A$5:$A$105,0)),"?"))</f>
        <v/>
      </c>
      <c r="P1195" s="8" t="s">
        <v>4170</v>
      </c>
      <c r="Q1195" s="27" t="s">
        <v>4171</v>
      </c>
      <c r="R1195" s="27" t="s">
        <v>5263</v>
      </c>
      <c r="S1195" s="28" t="n">
        <f aca="false">IFERROR(ISNUMBER(SEARCH("Conocer",$R1195))/(ISNUMBER(SEARCH("Conocer",$R1195))+ISNUMBER(SEARCH("Aplicar",$R1195))+ISNUMBER(SEARCH("Razonar",$R1195))),0)</f>
        <v>0</v>
      </c>
      <c r="T1195" s="28" t="n">
        <f aca="false">IFERROR(ISNUMBER(SEARCH("Aplicar",$R1195))/(ISNUMBER(SEARCH("Conocer",$R1195))+ISNUMBER(SEARCH("Aplicar",$R1195))+ISNUMBER(SEARCH("Razonar",$R1195))),0)</f>
        <v>0.5</v>
      </c>
      <c r="U1195" s="28" t="n">
        <f aca="false">IFERROR(ISNUMBER(SEARCH("Razonar",$R1195))/(ISNUMBER(SEARCH("Conocer",$R1195))+ISNUMBER(SEARCH("Aplicar",$R1195))+ISNUMBER(SEARCH("Razonar",$R1195))),0)</f>
        <v>0.5</v>
      </c>
      <c r="V1195" s="8" t="s">
        <v>387</v>
      </c>
      <c r="W1195" s="8" t="s">
        <v>4934</v>
      </c>
    </row>
    <row r="1196" customFormat="false" ht="15" hidden="false" customHeight="false" outlineLevel="0" collapsed="false">
      <c r="A1196" s="8" t="s">
        <v>5264</v>
      </c>
      <c r="B1196" s="8" t="n">
        <v>11</v>
      </c>
      <c r="C1196" s="8" t="s">
        <v>89</v>
      </c>
      <c r="D1196" s="8" t="s">
        <v>4928</v>
      </c>
      <c r="E1196" s="8" t="s">
        <v>5185</v>
      </c>
      <c r="F1196" s="8" t="n">
        <v>26</v>
      </c>
      <c r="G1196" s="8" t="s">
        <v>5227</v>
      </c>
      <c r="H1196" s="8" t="s">
        <v>5258</v>
      </c>
      <c r="I1196" s="27" t="s">
        <v>5265</v>
      </c>
      <c r="J1196" s="8" t="s">
        <v>4169</v>
      </c>
      <c r="K1196" s="8" t="s">
        <v>4170</v>
      </c>
      <c r="L1196" s="8"/>
      <c r="M1196" s="8" t="str">
        <f aca="false">IF(K1196="FUERA","Fuera del marco",IF(K1196="N/A","Sin marco",IFERROR(INDEX(Catalogo_TIMSS!$C$5:$C$105,MATCH(K1196,Catalogo_TIMSS!$A$5:$A$105,0)),"Pendiente de clasificar")))</f>
        <v>Sin marco</v>
      </c>
      <c r="N1196" s="8" t="str">
        <f aca="false">IF(K1196="FUERA","Fuera del marco",IF(K1196="N/A","Sin marco",IFERROR(INDEX(Catalogo_TIMSS!$F$5:$F$105,MATCH(K1196,Catalogo_TIMSS!$A$5:$A$105,0)),"Pendiente de clasificar")))</f>
        <v>Sin marco</v>
      </c>
      <c r="O1196" s="8" t="str">
        <f aca="false">IF(L1196="","",IFERROR(INDEX(Catalogo_TIMSS!$C$5:$C$105,MATCH(L1196,Catalogo_TIMSS!$A$5:$A$105,0)),"?"))</f>
        <v/>
      </c>
      <c r="P1196" s="8" t="s">
        <v>4170</v>
      </c>
      <c r="Q1196" s="27" t="s">
        <v>4171</v>
      </c>
      <c r="R1196" s="27" t="s">
        <v>5266</v>
      </c>
      <c r="S1196" s="28" t="n">
        <f aca="false">IFERROR(ISNUMBER(SEARCH("Conocer",$R1196))/(ISNUMBER(SEARCH("Conocer",$R1196))+ISNUMBER(SEARCH("Aplicar",$R1196))+ISNUMBER(SEARCH("Razonar",$R1196))),0)</f>
        <v>0.5</v>
      </c>
      <c r="T1196" s="28" t="n">
        <f aca="false">IFERROR(ISNUMBER(SEARCH("Aplicar",$R1196))/(ISNUMBER(SEARCH("Conocer",$R1196))+ISNUMBER(SEARCH("Aplicar",$R1196))+ISNUMBER(SEARCH("Razonar",$R1196))),0)</f>
        <v>0.5</v>
      </c>
      <c r="U1196" s="28" t="n">
        <f aca="false">IFERROR(ISNUMBER(SEARCH("Razonar",$R1196))/(ISNUMBER(SEARCH("Conocer",$R1196))+ISNUMBER(SEARCH("Aplicar",$R1196))+ISNUMBER(SEARCH("Razonar",$R1196))),0)</f>
        <v>0</v>
      </c>
      <c r="V1196" s="8" t="s">
        <v>387</v>
      </c>
      <c r="W1196" s="8" t="s">
        <v>4934</v>
      </c>
    </row>
    <row r="1197" customFormat="false" ht="15" hidden="false" customHeight="false" outlineLevel="0" collapsed="false">
      <c r="A1197" s="8" t="s">
        <v>5267</v>
      </c>
      <c r="B1197" s="8" t="n">
        <v>11</v>
      </c>
      <c r="C1197" s="8" t="s">
        <v>89</v>
      </c>
      <c r="D1197" s="8" t="s">
        <v>4928</v>
      </c>
      <c r="E1197" s="8" t="s">
        <v>5185</v>
      </c>
      <c r="F1197" s="8" t="n">
        <v>27</v>
      </c>
      <c r="G1197" s="8" t="s">
        <v>5227</v>
      </c>
      <c r="H1197" s="8" t="s">
        <v>5268</v>
      </c>
      <c r="I1197" s="27" t="s">
        <v>5269</v>
      </c>
      <c r="J1197" s="8" t="s">
        <v>4169</v>
      </c>
      <c r="K1197" s="8" t="s">
        <v>4170</v>
      </c>
      <c r="L1197" s="8"/>
      <c r="M1197" s="8" t="str">
        <f aca="false">IF(K1197="FUERA","Fuera del marco",IF(K1197="N/A","Sin marco",IFERROR(INDEX(Catalogo_TIMSS!$C$5:$C$105,MATCH(K1197,Catalogo_TIMSS!$A$5:$A$105,0)),"Pendiente de clasificar")))</f>
        <v>Sin marco</v>
      </c>
      <c r="N1197" s="8" t="str">
        <f aca="false">IF(K1197="FUERA","Fuera del marco",IF(K1197="N/A","Sin marco",IFERROR(INDEX(Catalogo_TIMSS!$F$5:$F$105,MATCH(K1197,Catalogo_TIMSS!$A$5:$A$105,0)),"Pendiente de clasificar")))</f>
        <v>Sin marco</v>
      </c>
      <c r="O1197" s="8" t="str">
        <f aca="false">IF(L1197="","",IFERROR(INDEX(Catalogo_TIMSS!$C$5:$C$105,MATCH(L1197,Catalogo_TIMSS!$A$5:$A$105,0)),"?"))</f>
        <v/>
      </c>
      <c r="P1197" s="8" t="s">
        <v>4170</v>
      </c>
      <c r="Q1197" s="27" t="s">
        <v>4171</v>
      </c>
      <c r="R1197" s="27" t="s">
        <v>5270</v>
      </c>
      <c r="S1197" s="28" t="n">
        <f aca="false">IFERROR(ISNUMBER(SEARCH("Conocer",$R1197))/(ISNUMBER(SEARCH("Conocer",$R1197))+ISNUMBER(SEARCH("Aplicar",$R1197))+ISNUMBER(SEARCH("Razonar",$R1197))),0)</f>
        <v>0.5</v>
      </c>
      <c r="T1197" s="28" t="n">
        <f aca="false">IFERROR(ISNUMBER(SEARCH("Aplicar",$R1197))/(ISNUMBER(SEARCH("Conocer",$R1197))+ISNUMBER(SEARCH("Aplicar",$R1197))+ISNUMBER(SEARCH("Razonar",$R1197))),0)</f>
        <v>0.5</v>
      </c>
      <c r="U1197" s="28" t="n">
        <f aca="false">IFERROR(ISNUMBER(SEARCH("Razonar",$R1197))/(ISNUMBER(SEARCH("Conocer",$R1197))+ISNUMBER(SEARCH("Aplicar",$R1197))+ISNUMBER(SEARCH("Razonar",$R1197))),0)</f>
        <v>0</v>
      </c>
      <c r="V1197" s="8" t="s">
        <v>387</v>
      </c>
      <c r="W1197" s="8" t="s">
        <v>4934</v>
      </c>
    </row>
    <row r="1198" customFormat="false" ht="15" hidden="false" customHeight="false" outlineLevel="0" collapsed="false">
      <c r="A1198" s="8" t="s">
        <v>5271</v>
      </c>
      <c r="B1198" s="8" t="n">
        <v>11</v>
      </c>
      <c r="C1198" s="8" t="s">
        <v>89</v>
      </c>
      <c r="D1198" s="8" t="s">
        <v>4928</v>
      </c>
      <c r="E1198" s="8" t="s">
        <v>5185</v>
      </c>
      <c r="F1198" s="8" t="n">
        <v>28</v>
      </c>
      <c r="G1198" s="8" t="s">
        <v>5227</v>
      </c>
      <c r="H1198" s="8" t="s">
        <v>5268</v>
      </c>
      <c r="I1198" s="27" t="s">
        <v>5272</v>
      </c>
      <c r="J1198" s="8" t="s">
        <v>4169</v>
      </c>
      <c r="K1198" s="8" t="s">
        <v>4170</v>
      </c>
      <c r="L1198" s="8"/>
      <c r="M1198" s="8" t="str">
        <f aca="false">IF(K1198="FUERA","Fuera del marco",IF(K1198="N/A","Sin marco",IFERROR(INDEX(Catalogo_TIMSS!$C$5:$C$105,MATCH(K1198,Catalogo_TIMSS!$A$5:$A$105,0)),"Pendiente de clasificar")))</f>
        <v>Sin marco</v>
      </c>
      <c r="N1198" s="8" t="str">
        <f aca="false">IF(K1198="FUERA","Fuera del marco",IF(K1198="N/A","Sin marco",IFERROR(INDEX(Catalogo_TIMSS!$F$5:$F$105,MATCH(K1198,Catalogo_TIMSS!$A$5:$A$105,0)),"Pendiente de clasificar")))</f>
        <v>Sin marco</v>
      </c>
      <c r="O1198" s="8" t="str">
        <f aca="false">IF(L1198="","",IFERROR(INDEX(Catalogo_TIMSS!$C$5:$C$105,MATCH(L1198,Catalogo_TIMSS!$A$5:$A$105,0)),"?"))</f>
        <v/>
      </c>
      <c r="P1198" s="8" t="s">
        <v>4170</v>
      </c>
      <c r="Q1198" s="27" t="s">
        <v>4171</v>
      </c>
      <c r="R1198" s="27" t="s">
        <v>5273</v>
      </c>
      <c r="S1198" s="28" t="n">
        <f aca="false">IFERROR(ISNUMBER(SEARCH("Conocer",$R1198))/(ISNUMBER(SEARCH("Conocer",$R1198))+ISNUMBER(SEARCH("Aplicar",$R1198))+ISNUMBER(SEARCH("Razonar",$R1198))),0)</f>
        <v>0.5</v>
      </c>
      <c r="T1198" s="28" t="n">
        <f aca="false">IFERROR(ISNUMBER(SEARCH("Aplicar",$R1198))/(ISNUMBER(SEARCH("Conocer",$R1198))+ISNUMBER(SEARCH("Aplicar",$R1198))+ISNUMBER(SEARCH("Razonar",$R1198))),0)</f>
        <v>0</v>
      </c>
      <c r="U1198" s="28" t="n">
        <f aca="false">IFERROR(ISNUMBER(SEARCH("Razonar",$R1198))/(ISNUMBER(SEARCH("Conocer",$R1198))+ISNUMBER(SEARCH("Aplicar",$R1198))+ISNUMBER(SEARCH("Razonar",$R1198))),0)</f>
        <v>0.5</v>
      </c>
      <c r="V1198" s="8" t="s">
        <v>387</v>
      </c>
      <c r="W1198" s="8" t="s">
        <v>4934</v>
      </c>
    </row>
    <row r="1199" customFormat="false" ht="15" hidden="false" customHeight="false" outlineLevel="0" collapsed="false">
      <c r="A1199" s="8" t="s">
        <v>5274</v>
      </c>
      <c r="B1199" s="8" t="n">
        <v>11</v>
      </c>
      <c r="C1199" s="8" t="s">
        <v>89</v>
      </c>
      <c r="D1199" s="8" t="s">
        <v>4928</v>
      </c>
      <c r="E1199" s="8" t="s">
        <v>5185</v>
      </c>
      <c r="F1199" s="8" t="n">
        <v>29</v>
      </c>
      <c r="G1199" s="8" t="s">
        <v>5227</v>
      </c>
      <c r="H1199" s="8" t="s">
        <v>5268</v>
      </c>
      <c r="I1199" s="27" t="s">
        <v>5275</v>
      </c>
      <c r="J1199" s="8" t="s">
        <v>4169</v>
      </c>
      <c r="K1199" s="8" t="s">
        <v>4170</v>
      </c>
      <c r="L1199" s="8"/>
      <c r="M1199" s="8" t="str">
        <f aca="false">IF(K1199="FUERA","Fuera del marco",IF(K1199="N/A","Sin marco",IFERROR(INDEX(Catalogo_TIMSS!$C$5:$C$105,MATCH(K1199,Catalogo_TIMSS!$A$5:$A$105,0)),"Pendiente de clasificar")))</f>
        <v>Sin marco</v>
      </c>
      <c r="N1199" s="8" t="str">
        <f aca="false">IF(K1199="FUERA","Fuera del marco",IF(K1199="N/A","Sin marco",IFERROR(INDEX(Catalogo_TIMSS!$F$5:$F$105,MATCH(K1199,Catalogo_TIMSS!$A$5:$A$105,0)),"Pendiente de clasificar")))</f>
        <v>Sin marco</v>
      </c>
      <c r="O1199" s="8" t="str">
        <f aca="false">IF(L1199="","",IFERROR(INDEX(Catalogo_TIMSS!$C$5:$C$105,MATCH(L1199,Catalogo_TIMSS!$A$5:$A$105,0)),"?"))</f>
        <v/>
      </c>
      <c r="P1199" s="8" t="s">
        <v>4170</v>
      </c>
      <c r="Q1199" s="27" t="s">
        <v>4171</v>
      </c>
      <c r="R1199" s="27" t="s">
        <v>5276</v>
      </c>
      <c r="S1199" s="28" t="n">
        <f aca="false">IFERROR(ISNUMBER(SEARCH("Conocer",$R1199))/(ISNUMBER(SEARCH("Conocer",$R1199))+ISNUMBER(SEARCH("Aplicar",$R1199))+ISNUMBER(SEARCH("Razonar",$R1199))),0)</f>
        <v>0.5</v>
      </c>
      <c r="T1199" s="28" t="n">
        <f aca="false">IFERROR(ISNUMBER(SEARCH("Aplicar",$R1199))/(ISNUMBER(SEARCH("Conocer",$R1199))+ISNUMBER(SEARCH("Aplicar",$R1199))+ISNUMBER(SEARCH("Razonar",$R1199))),0)</f>
        <v>0</v>
      </c>
      <c r="U1199" s="28" t="n">
        <f aca="false">IFERROR(ISNUMBER(SEARCH("Razonar",$R1199))/(ISNUMBER(SEARCH("Conocer",$R1199))+ISNUMBER(SEARCH("Aplicar",$R1199))+ISNUMBER(SEARCH("Razonar",$R1199))),0)</f>
        <v>0.5</v>
      </c>
      <c r="V1199" s="8" t="s">
        <v>387</v>
      </c>
      <c r="W1199" s="8" t="s">
        <v>4934</v>
      </c>
    </row>
    <row r="1200" customFormat="false" ht="15" hidden="false" customHeight="false" outlineLevel="0" collapsed="false">
      <c r="A1200" s="8" t="s">
        <v>5277</v>
      </c>
      <c r="B1200" s="8" t="n">
        <v>11</v>
      </c>
      <c r="C1200" s="8" t="s">
        <v>89</v>
      </c>
      <c r="D1200" s="8" t="s">
        <v>4928</v>
      </c>
      <c r="E1200" s="8" t="s">
        <v>5185</v>
      </c>
      <c r="F1200" s="8" t="n">
        <v>30</v>
      </c>
      <c r="G1200" s="8" t="s">
        <v>5278</v>
      </c>
      <c r="H1200" s="8" t="s">
        <v>5279</v>
      </c>
      <c r="I1200" s="27" t="s">
        <v>5280</v>
      </c>
      <c r="J1200" s="8" t="s">
        <v>4169</v>
      </c>
      <c r="K1200" s="8" t="s">
        <v>4170</v>
      </c>
      <c r="L1200" s="8"/>
      <c r="M1200" s="8" t="str">
        <f aca="false">IF(K1200="FUERA","Fuera del marco",IF(K1200="N/A","Sin marco",IFERROR(INDEX(Catalogo_TIMSS!$C$5:$C$105,MATCH(K1200,Catalogo_TIMSS!$A$5:$A$105,0)),"Pendiente de clasificar")))</f>
        <v>Sin marco</v>
      </c>
      <c r="N1200" s="8" t="str">
        <f aca="false">IF(K1200="FUERA","Fuera del marco",IF(K1200="N/A","Sin marco",IFERROR(INDEX(Catalogo_TIMSS!$F$5:$F$105,MATCH(K1200,Catalogo_TIMSS!$A$5:$A$105,0)),"Pendiente de clasificar")))</f>
        <v>Sin marco</v>
      </c>
      <c r="O1200" s="8" t="str">
        <f aca="false">IF(L1200="","",IFERROR(INDEX(Catalogo_TIMSS!$C$5:$C$105,MATCH(L1200,Catalogo_TIMSS!$A$5:$A$105,0)),"?"))</f>
        <v/>
      </c>
      <c r="P1200" s="8" t="s">
        <v>4170</v>
      </c>
      <c r="Q1200" s="27" t="s">
        <v>4171</v>
      </c>
      <c r="R1200" s="27" t="s">
        <v>5281</v>
      </c>
      <c r="S1200" s="28" t="n">
        <f aca="false">IFERROR(ISNUMBER(SEARCH("Conocer",$R1200))/(ISNUMBER(SEARCH("Conocer",$R1200))+ISNUMBER(SEARCH("Aplicar",$R1200))+ISNUMBER(SEARCH("Razonar",$R1200))),0)</f>
        <v>0.5</v>
      </c>
      <c r="T1200" s="28" t="n">
        <f aca="false">IFERROR(ISNUMBER(SEARCH("Aplicar",$R1200))/(ISNUMBER(SEARCH("Conocer",$R1200))+ISNUMBER(SEARCH("Aplicar",$R1200))+ISNUMBER(SEARCH("Razonar",$R1200))),0)</f>
        <v>0.5</v>
      </c>
      <c r="U1200" s="28" t="n">
        <f aca="false">IFERROR(ISNUMBER(SEARCH("Razonar",$R1200))/(ISNUMBER(SEARCH("Conocer",$R1200))+ISNUMBER(SEARCH("Aplicar",$R1200))+ISNUMBER(SEARCH("Razonar",$R1200))),0)</f>
        <v>0</v>
      </c>
      <c r="V1200" s="8" t="s">
        <v>387</v>
      </c>
      <c r="W1200" s="8" t="s">
        <v>4934</v>
      </c>
    </row>
    <row r="1201" customFormat="false" ht="15" hidden="false" customHeight="false" outlineLevel="0" collapsed="false">
      <c r="A1201" s="8" t="s">
        <v>5282</v>
      </c>
      <c r="B1201" s="8" t="n">
        <v>11</v>
      </c>
      <c r="C1201" s="8" t="s">
        <v>89</v>
      </c>
      <c r="D1201" s="8" t="s">
        <v>4928</v>
      </c>
      <c r="E1201" s="8" t="s">
        <v>5185</v>
      </c>
      <c r="F1201" s="8" t="n">
        <v>31</v>
      </c>
      <c r="G1201" s="8" t="s">
        <v>5278</v>
      </c>
      <c r="H1201" s="8" t="s">
        <v>5279</v>
      </c>
      <c r="I1201" s="27" t="s">
        <v>5283</v>
      </c>
      <c r="J1201" s="8" t="s">
        <v>4169</v>
      </c>
      <c r="K1201" s="8" t="s">
        <v>4170</v>
      </c>
      <c r="L1201" s="8"/>
      <c r="M1201" s="8" t="str">
        <f aca="false">IF(K1201="FUERA","Fuera del marco",IF(K1201="N/A","Sin marco",IFERROR(INDEX(Catalogo_TIMSS!$C$5:$C$105,MATCH(K1201,Catalogo_TIMSS!$A$5:$A$105,0)),"Pendiente de clasificar")))</f>
        <v>Sin marco</v>
      </c>
      <c r="N1201" s="8" t="str">
        <f aca="false">IF(K1201="FUERA","Fuera del marco",IF(K1201="N/A","Sin marco",IFERROR(INDEX(Catalogo_TIMSS!$F$5:$F$105,MATCH(K1201,Catalogo_TIMSS!$A$5:$A$105,0)),"Pendiente de clasificar")))</f>
        <v>Sin marco</v>
      </c>
      <c r="O1201" s="8" t="str">
        <f aca="false">IF(L1201="","",IFERROR(INDEX(Catalogo_TIMSS!$C$5:$C$105,MATCH(L1201,Catalogo_TIMSS!$A$5:$A$105,0)),"?"))</f>
        <v/>
      </c>
      <c r="P1201" s="8" t="s">
        <v>4170</v>
      </c>
      <c r="Q1201" s="27" t="s">
        <v>4171</v>
      </c>
      <c r="R1201" s="27" t="s">
        <v>5284</v>
      </c>
      <c r="S1201" s="28" t="n">
        <f aca="false">IFERROR(ISNUMBER(SEARCH("Conocer",$R1201))/(ISNUMBER(SEARCH("Conocer",$R1201))+ISNUMBER(SEARCH("Aplicar",$R1201))+ISNUMBER(SEARCH("Razonar",$R1201))),0)</f>
        <v>0</v>
      </c>
      <c r="T1201" s="28" t="n">
        <f aca="false">IFERROR(ISNUMBER(SEARCH("Aplicar",$R1201))/(ISNUMBER(SEARCH("Conocer",$R1201))+ISNUMBER(SEARCH("Aplicar",$R1201))+ISNUMBER(SEARCH("Razonar",$R1201))),0)</f>
        <v>0.5</v>
      </c>
      <c r="U1201" s="28" t="n">
        <f aca="false">IFERROR(ISNUMBER(SEARCH("Razonar",$R1201))/(ISNUMBER(SEARCH("Conocer",$R1201))+ISNUMBER(SEARCH("Aplicar",$R1201))+ISNUMBER(SEARCH("Razonar",$R1201))),0)</f>
        <v>0.5</v>
      </c>
      <c r="V1201" s="8" t="s">
        <v>387</v>
      </c>
      <c r="W1201" s="8" t="s">
        <v>4934</v>
      </c>
    </row>
    <row r="1202" customFormat="false" ht="15" hidden="false" customHeight="false" outlineLevel="0" collapsed="false">
      <c r="A1202" s="8" t="s">
        <v>5285</v>
      </c>
      <c r="B1202" s="8" t="n">
        <v>11</v>
      </c>
      <c r="C1202" s="8" t="s">
        <v>89</v>
      </c>
      <c r="D1202" s="8" t="s">
        <v>4928</v>
      </c>
      <c r="E1202" s="8" t="s">
        <v>5185</v>
      </c>
      <c r="F1202" s="8" t="n">
        <v>32</v>
      </c>
      <c r="G1202" s="8" t="s">
        <v>5278</v>
      </c>
      <c r="H1202" s="8" t="s">
        <v>5279</v>
      </c>
      <c r="I1202" s="27" t="s">
        <v>5286</v>
      </c>
      <c r="J1202" s="8" t="s">
        <v>4169</v>
      </c>
      <c r="K1202" s="8" t="s">
        <v>4170</v>
      </c>
      <c r="L1202" s="8"/>
      <c r="M1202" s="8" t="str">
        <f aca="false">IF(K1202="FUERA","Fuera del marco",IF(K1202="N/A","Sin marco",IFERROR(INDEX(Catalogo_TIMSS!$C$5:$C$105,MATCH(K1202,Catalogo_TIMSS!$A$5:$A$105,0)),"Pendiente de clasificar")))</f>
        <v>Sin marco</v>
      </c>
      <c r="N1202" s="8" t="str">
        <f aca="false">IF(K1202="FUERA","Fuera del marco",IF(K1202="N/A","Sin marco",IFERROR(INDEX(Catalogo_TIMSS!$F$5:$F$105,MATCH(K1202,Catalogo_TIMSS!$A$5:$A$105,0)),"Pendiente de clasificar")))</f>
        <v>Sin marco</v>
      </c>
      <c r="O1202" s="8" t="str">
        <f aca="false">IF(L1202="","",IFERROR(INDEX(Catalogo_TIMSS!$C$5:$C$105,MATCH(L1202,Catalogo_TIMSS!$A$5:$A$105,0)),"?"))</f>
        <v/>
      </c>
      <c r="P1202" s="8" t="s">
        <v>4170</v>
      </c>
      <c r="Q1202" s="27" t="s">
        <v>4171</v>
      </c>
      <c r="R1202" s="27" t="s">
        <v>5287</v>
      </c>
      <c r="S1202" s="28" t="n">
        <f aca="false">IFERROR(ISNUMBER(SEARCH("Conocer",$R1202))/(ISNUMBER(SEARCH("Conocer",$R1202))+ISNUMBER(SEARCH("Aplicar",$R1202))+ISNUMBER(SEARCH("Razonar",$R1202))),0)</f>
        <v>0.5</v>
      </c>
      <c r="T1202" s="28" t="n">
        <f aca="false">IFERROR(ISNUMBER(SEARCH("Aplicar",$R1202))/(ISNUMBER(SEARCH("Conocer",$R1202))+ISNUMBER(SEARCH("Aplicar",$R1202))+ISNUMBER(SEARCH("Razonar",$R1202))),0)</f>
        <v>0.5</v>
      </c>
      <c r="U1202" s="28" t="n">
        <f aca="false">IFERROR(ISNUMBER(SEARCH("Razonar",$R1202))/(ISNUMBER(SEARCH("Conocer",$R1202))+ISNUMBER(SEARCH("Aplicar",$R1202))+ISNUMBER(SEARCH("Razonar",$R1202))),0)</f>
        <v>0</v>
      </c>
      <c r="V1202" s="8" t="s">
        <v>387</v>
      </c>
      <c r="W1202" s="8" t="s">
        <v>4934</v>
      </c>
    </row>
    <row r="1203" customFormat="false" ht="15" hidden="false" customHeight="false" outlineLevel="0" collapsed="false">
      <c r="A1203" s="8" t="s">
        <v>5288</v>
      </c>
      <c r="B1203" s="8" t="n">
        <v>11</v>
      </c>
      <c r="C1203" s="8" t="s">
        <v>89</v>
      </c>
      <c r="D1203" s="8" t="s">
        <v>4928</v>
      </c>
      <c r="E1203" s="8" t="s">
        <v>5185</v>
      </c>
      <c r="F1203" s="8" t="n">
        <v>33</v>
      </c>
      <c r="G1203" s="8" t="s">
        <v>5278</v>
      </c>
      <c r="H1203" s="8" t="s">
        <v>5289</v>
      </c>
      <c r="I1203" s="27" t="s">
        <v>5290</v>
      </c>
      <c r="J1203" s="8" t="s">
        <v>4169</v>
      </c>
      <c r="K1203" s="8" t="s">
        <v>4170</v>
      </c>
      <c r="L1203" s="8"/>
      <c r="M1203" s="8" t="str">
        <f aca="false">IF(K1203="FUERA","Fuera del marco",IF(K1203="N/A","Sin marco",IFERROR(INDEX(Catalogo_TIMSS!$C$5:$C$105,MATCH(K1203,Catalogo_TIMSS!$A$5:$A$105,0)),"Pendiente de clasificar")))</f>
        <v>Sin marco</v>
      </c>
      <c r="N1203" s="8" t="str">
        <f aca="false">IF(K1203="FUERA","Fuera del marco",IF(K1203="N/A","Sin marco",IFERROR(INDEX(Catalogo_TIMSS!$F$5:$F$105,MATCH(K1203,Catalogo_TIMSS!$A$5:$A$105,0)),"Pendiente de clasificar")))</f>
        <v>Sin marco</v>
      </c>
      <c r="O1203" s="8" t="str">
        <f aca="false">IF(L1203="","",IFERROR(INDEX(Catalogo_TIMSS!$C$5:$C$105,MATCH(L1203,Catalogo_TIMSS!$A$5:$A$105,0)),"?"))</f>
        <v/>
      </c>
      <c r="P1203" s="8" t="s">
        <v>4170</v>
      </c>
      <c r="Q1203" s="27" t="s">
        <v>4171</v>
      </c>
      <c r="R1203" s="27" t="s">
        <v>5291</v>
      </c>
      <c r="S1203" s="28" t="n">
        <f aca="false">IFERROR(ISNUMBER(SEARCH("Conocer",$R1203))/(ISNUMBER(SEARCH("Conocer",$R1203))+ISNUMBER(SEARCH("Aplicar",$R1203))+ISNUMBER(SEARCH("Razonar",$R1203))),0)</f>
        <v>0.5</v>
      </c>
      <c r="T1203" s="28" t="n">
        <f aca="false">IFERROR(ISNUMBER(SEARCH("Aplicar",$R1203))/(ISNUMBER(SEARCH("Conocer",$R1203))+ISNUMBER(SEARCH("Aplicar",$R1203))+ISNUMBER(SEARCH("Razonar",$R1203))),0)</f>
        <v>0</v>
      </c>
      <c r="U1203" s="28" t="n">
        <f aca="false">IFERROR(ISNUMBER(SEARCH("Razonar",$R1203))/(ISNUMBER(SEARCH("Conocer",$R1203))+ISNUMBER(SEARCH("Aplicar",$R1203))+ISNUMBER(SEARCH("Razonar",$R1203))),0)</f>
        <v>0.5</v>
      </c>
      <c r="V1203" s="8" t="s">
        <v>387</v>
      </c>
      <c r="W1203" s="8" t="s">
        <v>4934</v>
      </c>
    </row>
    <row r="1204" customFormat="false" ht="15" hidden="false" customHeight="false" outlineLevel="0" collapsed="false">
      <c r="A1204" s="8" t="s">
        <v>5292</v>
      </c>
      <c r="B1204" s="8" t="n">
        <v>11</v>
      </c>
      <c r="C1204" s="8" t="s">
        <v>89</v>
      </c>
      <c r="D1204" s="8" t="s">
        <v>4928</v>
      </c>
      <c r="E1204" s="8" t="s">
        <v>5185</v>
      </c>
      <c r="F1204" s="8" t="n">
        <v>34</v>
      </c>
      <c r="G1204" s="8" t="s">
        <v>5278</v>
      </c>
      <c r="H1204" s="8" t="s">
        <v>5289</v>
      </c>
      <c r="I1204" s="27" t="s">
        <v>5293</v>
      </c>
      <c r="J1204" s="8" t="s">
        <v>4169</v>
      </c>
      <c r="K1204" s="8" t="s">
        <v>4170</v>
      </c>
      <c r="L1204" s="8"/>
      <c r="M1204" s="8" t="str">
        <f aca="false">IF(K1204="FUERA","Fuera del marco",IF(K1204="N/A","Sin marco",IFERROR(INDEX(Catalogo_TIMSS!$C$5:$C$105,MATCH(K1204,Catalogo_TIMSS!$A$5:$A$105,0)),"Pendiente de clasificar")))</f>
        <v>Sin marco</v>
      </c>
      <c r="N1204" s="8" t="str">
        <f aca="false">IF(K1204="FUERA","Fuera del marco",IF(K1204="N/A","Sin marco",IFERROR(INDEX(Catalogo_TIMSS!$F$5:$F$105,MATCH(K1204,Catalogo_TIMSS!$A$5:$A$105,0)),"Pendiente de clasificar")))</f>
        <v>Sin marco</v>
      </c>
      <c r="O1204" s="8" t="str">
        <f aca="false">IF(L1204="","",IFERROR(INDEX(Catalogo_TIMSS!$C$5:$C$105,MATCH(L1204,Catalogo_TIMSS!$A$5:$A$105,0)),"?"))</f>
        <v/>
      </c>
      <c r="P1204" s="8" t="s">
        <v>4170</v>
      </c>
      <c r="Q1204" s="27" t="s">
        <v>4171</v>
      </c>
      <c r="R1204" s="27" t="s">
        <v>5294</v>
      </c>
      <c r="S1204" s="28" t="n">
        <f aca="false">IFERROR(ISNUMBER(SEARCH("Conocer",$R1204))/(ISNUMBER(SEARCH("Conocer",$R1204))+ISNUMBER(SEARCH("Aplicar",$R1204))+ISNUMBER(SEARCH("Razonar",$R1204))),0)</f>
        <v>0</v>
      </c>
      <c r="T1204" s="28" t="n">
        <f aca="false">IFERROR(ISNUMBER(SEARCH("Aplicar",$R1204))/(ISNUMBER(SEARCH("Conocer",$R1204))+ISNUMBER(SEARCH("Aplicar",$R1204))+ISNUMBER(SEARCH("Razonar",$R1204))),0)</f>
        <v>0.5</v>
      </c>
      <c r="U1204" s="28" t="n">
        <f aca="false">IFERROR(ISNUMBER(SEARCH("Razonar",$R1204))/(ISNUMBER(SEARCH("Conocer",$R1204))+ISNUMBER(SEARCH("Aplicar",$R1204))+ISNUMBER(SEARCH("Razonar",$R1204))),0)</f>
        <v>0.5</v>
      </c>
      <c r="V1204" s="8" t="s">
        <v>387</v>
      </c>
      <c r="W1204" s="8" t="s">
        <v>4934</v>
      </c>
    </row>
    <row r="1205" customFormat="false" ht="15" hidden="false" customHeight="false" outlineLevel="0" collapsed="false">
      <c r="A1205" s="8" t="s">
        <v>5295</v>
      </c>
      <c r="B1205" s="8" t="n">
        <v>11</v>
      </c>
      <c r="C1205" s="8" t="s">
        <v>89</v>
      </c>
      <c r="D1205" s="8" t="s">
        <v>4928</v>
      </c>
      <c r="E1205" s="8" t="s">
        <v>5185</v>
      </c>
      <c r="F1205" s="8" t="n">
        <v>35</v>
      </c>
      <c r="G1205" s="8" t="s">
        <v>5278</v>
      </c>
      <c r="H1205" s="8" t="s">
        <v>5289</v>
      </c>
      <c r="I1205" s="27" t="s">
        <v>5296</v>
      </c>
      <c r="J1205" s="8" t="s">
        <v>4169</v>
      </c>
      <c r="K1205" s="8" t="s">
        <v>4170</v>
      </c>
      <c r="L1205" s="8"/>
      <c r="M1205" s="8" t="str">
        <f aca="false">IF(K1205="FUERA","Fuera del marco",IF(K1205="N/A","Sin marco",IFERROR(INDEX(Catalogo_TIMSS!$C$5:$C$105,MATCH(K1205,Catalogo_TIMSS!$A$5:$A$105,0)),"Pendiente de clasificar")))</f>
        <v>Sin marco</v>
      </c>
      <c r="N1205" s="8" t="str">
        <f aca="false">IF(K1205="FUERA","Fuera del marco",IF(K1205="N/A","Sin marco",IFERROR(INDEX(Catalogo_TIMSS!$F$5:$F$105,MATCH(K1205,Catalogo_TIMSS!$A$5:$A$105,0)),"Pendiente de clasificar")))</f>
        <v>Sin marco</v>
      </c>
      <c r="O1205" s="8" t="str">
        <f aca="false">IF(L1205="","",IFERROR(INDEX(Catalogo_TIMSS!$C$5:$C$105,MATCH(L1205,Catalogo_TIMSS!$A$5:$A$105,0)),"?"))</f>
        <v/>
      </c>
      <c r="P1205" s="8" t="s">
        <v>4170</v>
      </c>
      <c r="Q1205" s="27" t="s">
        <v>4171</v>
      </c>
      <c r="R1205" s="27" t="s">
        <v>5297</v>
      </c>
      <c r="S1205" s="28" t="n">
        <f aca="false">IFERROR(ISNUMBER(SEARCH("Conocer",$R1205))/(ISNUMBER(SEARCH("Conocer",$R1205))+ISNUMBER(SEARCH("Aplicar",$R1205))+ISNUMBER(SEARCH("Razonar",$R1205))),0)</f>
        <v>0.5</v>
      </c>
      <c r="T1205" s="28" t="n">
        <f aca="false">IFERROR(ISNUMBER(SEARCH("Aplicar",$R1205))/(ISNUMBER(SEARCH("Conocer",$R1205))+ISNUMBER(SEARCH("Aplicar",$R1205))+ISNUMBER(SEARCH("Razonar",$R1205))),0)</f>
        <v>0</v>
      </c>
      <c r="U1205" s="28" t="n">
        <f aca="false">IFERROR(ISNUMBER(SEARCH("Razonar",$R1205))/(ISNUMBER(SEARCH("Conocer",$R1205))+ISNUMBER(SEARCH("Aplicar",$R1205))+ISNUMBER(SEARCH("Razonar",$R1205))),0)</f>
        <v>0.5</v>
      </c>
      <c r="V1205" s="8" t="s">
        <v>387</v>
      </c>
      <c r="W1205" s="8" t="s">
        <v>4934</v>
      </c>
    </row>
    <row r="1206" customFormat="false" ht="15" hidden="false" customHeight="false" outlineLevel="0" collapsed="false">
      <c r="A1206" s="8" t="s">
        <v>5298</v>
      </c>
      <c r="B1206" s="8" t="n">
        <v>11</v>
      </c>
      <c r="C1206" s="8" t="s">
        <v>89</v>
      </c>
      <c r="D1206" s="8" t="s">
        <v>4928</v>
      </c>
      <c r="E1206" s="8" t="s">
        <v>5185</v>
      </c>
      <c r="F1206" s="8" t="n">
        <v>36</v>
      </c>
      <c r="G1206" s="8" t="s">
        <v>5278</v>
      </c>
      <c r="H1206" s="8" t="s">
        <v>5299</v>
      </c>
      <c r="I1206" s="27" t="s">
        <v>5300</v>
      </c>
      <c r="J1206" s="8" t="s">
        <v>4169</v>
      </c>
      <c r="K1206" s="8" t="s">
        <v>4170</v>
      </c>
      <c r="L1206" s="8"/>
      <c r="M1206" s="8" t="str">
        <f aca="false">IF(K1206="FUERA","Fuera del marco",IF(K1206="N/A","Sin marco",IFERROR(INDEX(Catalogo_TIMSS!$C$5:$C$105,MATCH(K1206,Catalogo_TIMSS!$A$5:$A$105,0)),"Pendiente de clasificar")))</f>
        <v>Sin marco</v>
      </c>
      <c r="N1206" s="8" t="str">
        <f aca="false">IF(K1206="FUERA","Fuera del marco",IF(K1206="N/A","Sin marco",IFERROR(INDEX(Catalogo_TIMSS!$F$5:$F$105,MATCH(K1206,Catalogo_TIMSS!$A$5:$A$105,0)),"Pendiente de clasificar")))</f>
        <v>Sin marco</v>
      </c>
      <c r="O1206" s="8" t="str">
        <f aca="false">IF(L1206="","",IFERROR(INDEX(Catalogo_TIMSS!$C$5:$C$105,MATCH(L1206,Catalogo_TIMSS!$A$5:$A$105,0)),"?"))</f>
        <v/>
      </c>
      <c r="P1206" s="8" t="s">
        <v>4170</v>
      </c>
      <c r="Q1206" s="27" t="s">
        <v>4171</v>
      </c>
      <c r="R1206" s="27" t="s">
        <v>5301</v>
      </c>
      <c r="S1206" s="28" t="n">
        <f aca="false">IFERROR(ISNUMBER(SEARCH("Conocer",$R1206))/(ISNUMBER(SEARCH("Conocer",$R1206))+ISNUMBER(SEARCH("Aplicar",$R1206))+ISNUMBER(SEARCH("Razonar",$R1206))),0)</f>
        <v>0.333333333333333</v>
      </c>
      <c r="T1206" s="28" t="n">
        <f aca="false">IFERROR(ISNUMBER(SEARCH("Aplicar",$R1206))/(ISNUMBER(SEARCH("Conocer",$R1206))+ISNUMBER(SEARCH("Aplicar",$R1206))+ISNUMBER(SEARCH("Razonar",$R1206))),0)</f>
        <v>0.333333333333333</v>
      </c>
      <c r="U1206" s="28" t="n">
        <f aca="false">IFERROR(ISNUMBER(SEARCH("Razonar",$R1206))/(ISNUMBER(SEARCH("Conocer",$R1206))+ISNUMBER(SEARCH("Aplicar",$R1206))+ISNUMBER(SEARCH("Razonar",$R1206))),0)</f>
        <v>0.333333333333333</v>
      </c>
      <c r="V1206" s="8" t="s">
        <v>387</v>
      </c>
      <c r="W1206" s="8" t="s">
        <v>4934</v>
      </c>
    </row>
    <row r="1207" customFormat="false" ht="15" hidden="false" customHeight="false" outlineLevel="0" collapsed="false">
      <c r="A1207" s="8" t="s">
        <v>5302</v>
      </c>
      <c r="B1207" s="8" t="n">
        <v>11</v>
      </c>
      <c r="C1207" s="8" t="s">
        <v>89</v>
      </c>
      <c r="D1207" s="8" t="s">
        <v>4928</v>
      </c>
      <c r="E1207" s="8" t="s">
        <v>5185</v>
      </c>
      <c r="F1207" s="8" t="n">
        <v>37</v>
      </c>
      <c r="G1207" s="8" t="s">
        <v>5278</v>
      </c>
      <c r="H1207" s="8" t="s">
        <v>5299</v>
      </c>
      <c r="I1207" s="27" t="s">
        <v>5303</v>
      </c>
      <c r="J1207" s="8" t="s">
        <v>4169</v>
      </c>
      <c r="K1207" s="8" t="s">
        <v>4170</v>
      </c>
      <c r="L1207" s="8"/>
      <c r="M1207" s="8" t="str">
        <f aca="false">IF(K1207="FUERA","Fuera del marco",IF(K1207="N/A","Sin marco",IFERROR(INDEX(Catalogo_TIMSS!$C$5:$C$105,MATCH(K1207,Catalogo_TIMSS!$A$5:$A$105,0)),"Pendiente de clasificar")))</f>
        <v>Sin marco</v>
      </c>
      <c r="N1207" s="8" t="str">
        <f aca="false">IF(K1207="FUERA","Fuera del marco",IF(K1207="N/A","Sin marco",IFERROR(INDEX(Catalogo_TIMSS!$F$5:$F$105,MATCH(K1207,Catalogo_TIMSS!$A$5:$A$105,0)),"Pendiente de clasificar")))</f>
        <v>Sin marco</v>
      </c>
      <c r="O1207" s="8" t="str">
        <f aca="false">IF(L1207="","",IFERROR(INDEX(Catalogo_TIMSS!$C$5:$C$105,MATCH(L1207,Catalogo_TIMSS!$A$5:$A$105,0)),"?"))</f>
        <v/>
      </c>
      <c r="P1207" s="8" t="s">
        <v>4170</v>
      </c>
      <c r="Q1207" s="27" t="s">
        <v>4171</v>
      </c>
      <c r="R1207" s="27" t="s">
        <v>5304</v>
      </c>
      <c r="S1207" s="28" t="n">
        <f aca="false">IFERROR(ISNUMBER(SEARCH("Conocer",$R1207))/(ISNUMBER(SEARCH("Conocer",$R1207))+ISNUMBER(SEARCH("Aplicar",$R1207))+ISNUMBER(SEARCH("Razonar",$R1207))),0)</f>
        <v>0</v>
      </c>
      <c r="T1207" s="28" t="n">
        <f aca="false">IFERROR(ISNUMBER(SEARCH("Aplicar",$R1207))/(ISNUMBER(SEARCH("Conocer",$R1207))+ISNUMBER(SEARCH("Aplicar",$R1207))+ISNUMBER(SEARCH("Razonar",$R1207))),0)</f>
        <v>0.5</v>
      </c>
      <c r="U1207" s="28" t="n">
        <f aca="false">IFERROR(ISNUMBER(SEARCH("Razonar",$R1207))/(ISNUMBER(SEARCH("Conocer",$R1207))+ISNUMBER(SEARCH("Aplicar",$R1207))+ISNUMBER(SEARCH("Razonar",$R1207))),0)</f>
        <v>0.5</v>
      </c>
      <c r="V1207" s="8" t="s">
        <v>387</v>
      </c>
      <c r="W1207" s="8" t="s">
        <v>4934</v>
      </c>
    </row>
    <row r="1208" customFormat="false" ht="15" hidden="false" customHeight="false" outlineLevel="0" collapsed="false">
      <c r="A1208" s="8" t="s">
        <v>5305</v>
      </c>
      <c r="B1208" s="8" t="n">
        <v>11</v>
      </c>
      <c r="C1208" s="8" t="s">
        <v>89</v>
      </c>
      <c r="D1208" s="8" t="s">
        <v>4928</v>
      </c>
      <c r="E1208" s="8" t="s">
        <v>5185</v>
      </c>
      <c r="F1208" s="8" t="n">
        <v>38</v>
      </c>
      <c r="G1208" s="8" t="s">
        <v>5278</v>
      </c>
      <c r="H1208" s="8" t="s">
        <v>5299</v>
      </c>
      <c r="I1208" s="27" t="s">
        <v>5306</v>
      </c>
      <c r="J1208" s="8" t="s">
        <v>4169</v>
      </c>
      <c r="K1208" s="8" t="s">
        <v>4170</v>
      </c>
      <c r="L1208" s="8"/>
      <c r="M1208" s="8" t="str">
        <f aca="false">IF(K1208="FUERA","Fuera del marco",IF(K1208="N/A","Sin marco",IFERROR(INDEX(Catalogo_TIMSS!$C$5:$C$105,MATCH(K1208,Catalogo_TIMSS!$A$5:$A$105,0)),"Pendiente de clasificar")))</f>
        <v>Sin marco</v>
      </c>
      <c r="N1208" s="8" t="str">
        <f aca="false">IF(K1208="FUERA","Fuera del marco",IF(K1208="N/A","Sin marco",IFERROR(INDEX(Catalogo_TIMSS!$F$5:$F$105,MATCH(K1208,Catalogo_TIMSS!$A$5:$A$105,0)),"Pendiente de clasificar")))</f>
        <v>Sin marco</v>
      </c>
      <c r="O1208" s="8" t="str">
        <f aca="false">IF(L1208="","",IFERROR(INDEX(Catalogo_TIMSS!$C$5:$C$105,MATCH(L1208,Catalogo_TIMSS!$A$5:$A$105,0)),"?"))</f>
        <v/>
      </c>
      <c r="P1208" s="8" t="s">
        <v>4170</v>
      </c>
      <c r="Q1208" s="27" t="s">
        <v>4171</v>
      </c>
      <c r="R1208" s="27" t="s">
        <v>5307</v>
      </c>
      <c r="S1208" s="28" t="n">
        <f aca="false">IFERROR(ISNUMBER(SEARCH("Conocer",$R1208))/(ISNUMBER(SEARCH("Conocer",$R1208))+ISNUMBER(SEARCH("Aplicar",$R1208))+ISNUMBER(SEARCH("Razonar",$R1208))),0)</f>
        <v>0</v>
      </c>
      <c r="T1208" s="28" t="n">
        <f aca="false">IFERROR(ISNUMBER(SEARCH("Aplicar",$R1208))/(ISNUMBER(SEARCH("Conocer",$R1208))+ISNUMBER(SEARCH("Aplicar",$R1208))+ISNUMBER(SEARCH("Razonar",$R1208))),0)</f>
        <v>0.5</v>
      </c>
      <c r="U1208" s="28" t="n">
        <f aca="false">IFERROR(ISNUMBER(SEARCH("Razonar",$R1208))/(ISNUMBER(SEARCH("Conocer",$R1208))+ISNUMBER(SEARCH("Aplicar",$R1208))+ISNUMBER(SEARCH("Razonar",$R1208))),0)</f>
        <v>0.5</v>
      </c>
      <c r="V1208" s="8" t="s">
        <v>387</v>
      </c>
      <c r="W1208" s="8" t="s">
        <v>4934</v>
      </c>
    </row>
    <row r="1209" customFormat="false" ht="15" hidden="false" customHeight="false" outlineLevel="0" collapsed="false">
      <c r="A1209" s="8" t="s">
        <v>5308</v>
      </c>
      <c r="B1209" s="8" t="n">
        <v>11</v>
      </c>
      <c r="C1209" s="8" t="s">
        <v>89</v>
      </c>
      <c r="D1209" s="8" t="s">
        <v>4928</v>
      </c>
      <c r="E1209" s="8" t="s">
        <v>5185</v>
      </c>
      <c r="F1209" s="8" t="n">
        <v>39</v>
      </c>
      <c r="G1209" s="8" t="s">
        <v>5278</v>
      </c>
      <c r="H1209" s="8" t="s">
        <v>5309</v>
      </c>
      <c r="I1209" s="27" t="s">
        <v>5310</v>
      </c>
      <c r="J1209" s="8" t="s">
        <v>4169</v>
      </c>
      <c r="K1209" s="8" t="s">
        <v>4170</v>
      </c>
      <c r="L1209" s="8"/>
      <c r="M1209" s="8" t="str">
        <f aca="false">IF(K1209="FUERA","Fuera del marco",IF(K1209="N/A","Sin marco",IFERROR(INDEX(Catalogo_TIMSS!$C$5:$C$105,MATCH(K1209,Catalogo_TIMSS!$A$5:$A$105,0)),"Pendiente de clasificar")))</f>
        <v>Sin marco</v>
      </c>
      <c r="N1209" s="8" t="str">
        <f aca="false">IF(K1209="FUERA","Fuera del marco",IF(K1209="N/A","Sin marco",IFERROR(INDEX(Catalogo_TIMSS!$F$5:$F$105,MATCH(K1209,Catalogo_TIMSS!$A$5:$A$105,0)),"Pendiente de clasificar")))</f>
        <v>Sin marco</v>
      </c>
      <c r="O1209" s="8" t="str">
        <f aca="false">IF(L1209="","",IFERROR(INDEX(Catalogo_TIMSS!$C$5:$C$105,MATCH(L1209,Catalogo_TIMSS!$A$5:$A$105,0)),"?"))</f>
        <v/>
      </c>
      <c r="P1209" s="8" t="s">
        <v>4170</v>
      </c>
      <c r="Q1209" s="27" t="s">
        <v>4171</v>
      </c>
      <c r="R1209" s="27" t="s">
        <v>5311</v>
      </c>
      <c r="S1209" s="28" t="n">
        <f aca="false">IFERROR(ISNUMBER(SEARCH("Conocer",$R1209))/(ISNUMBER(SEARCH("Conocer",$R1209))+ISNUMBER(SEARCH("Aplicar",$R1209))+ISNUMBER(SEARCH("Razonar",$R1209))),0)</f>
        <v>0.5</v>
      </c>
      <c r="T1209" s="28" t="n">
        <f aca="false">IFERROR(ISNUMBER(SEARCH("Aplicar",$R1209))/(ISNUMBER(SEARCH("Conocer",$R1209))+ISNUMBER(SEARCH("Aplicar",$R1209))+ISNUMBER(SEARCH("Razonar",$R1209))),0)</f>
        <v>0</v>
      </c>
      <c r="U1209" s="28" t="n">
        <f aca="false">IFERROR(ISNUMBER(SEARCH("Razonar",$R1209))/(ISNUMBER(SEARCH("Conocer",$R1209))+ISNUMBER(SEARCH("Aplicar",$R1209))+ISNUMBER(SEARCH("Razonar",$R1209))),0)</f>
        <v>0.5</v>
      </c>
      <c r="V1209" s="8" t="s">
        <v>387</v>
      </c>
      <c r="W1209" s="8" t="s">
        <v>4934</v>
      </c>
    </row>
    <row r="1210" customFormat="false" ht="15" hidden="false" customHeight="false" outlineLevel="0" collapsed="false">
      <c r="A1210" s="8" t="s">
        <v>5312</v>
      </c>
      <c r="B1210" s="8" t="n">
        <v>11</v>
      </c>
      <c r="C1210" s="8" t="s">
        <v>89</v>
      </c>
      <c r="D1210" s="8" t="s">
        <v>4928</v>
      </c>
      <c r="E1210" s="8" t="s">
        <v>5185</v>
      </c>
      <c r="F1210" s="8" t="n">
        <v>40</v>
      </c>
      <c r="G1210" s="8" t="s">
        <v>5278</v>
      </c>
      <c r="H1210" s="8" t="s">
        <v>5309</v>
      </c>
      <c r="I1210" s="27" t="s">
        <v>5313</v>
      </c>
      <c r="J1210" s="8" t="s">
        <v>4169</v>
      </c>
      <c r="K1210" s="8" t="s">
        <v>4170</v>
      </c>
      <c r="L1210" s="8"/>
      <c r="M1210" s="8" t="str">
        <f aca="false">IF(K1210="FUERA","Fuera del marco",IF(K1210="N/A","Sin marco",IFERROR(INDEX(Catalogo_TIMSS!$C$5:$C$105,MATCH(K1210,Catalogo_TIMSS!$A$5:$A$105,0)),"Pendiente de clasificar")))</f>
        <v>Sin marco</v>
      </c>
      <c r="N1210" s="8" t="str">
        <f aca="false">IF(K1210="FUERA","Fuera del marco",IF(K1210="N/A","Sin marco",IFERROR(INDEX(Catalogo_TIMSS!$F$5:$F$105,MATCH(K1210,Catalogo_TIMSS!$A$5:$A$105,0)),"Pendiente de clasificar")))</f>
        <v>Sin marco</v>
      </c>
      <c r="O1210" s="8" t="str">
        <f aca="false">IF(L1210="","",IFERROR(INDEX(Catalogo_TIMSS!$C$5:$C$105,MATCH(L1210,Catalogo_TIMSS!$A$5:$A$105,0)),"?"))</f>
        <v/>
      </c>
      <c r="P1210" s="8" t="s">
        <v>4170</v>
      </c>
      <c r="Q1210" s="27" t="s">
        <v>4171</v>
      </c>
      <c r="R1210" s="27" t="s">
        <v>5314</v>
      </c>
      <c r="S1210" s="28" t="n">
        <f aca="false">IFERROR(ISNUMBER(SEARCH("Conocer",$R1210))/(ISNUMBER(SEARCH("Conocer",$R1210))+ISNUMBER(SEARCH("Aplicar",$R1210))+ISNUMBER(SEARCH("Razonar",$R1210))),0)</f>
        <v>0</v>
      </c>
      <c r="T1210" s="28" t="n">
        <f aca="false">IFERROR(ISNUMBER(SEARCH("Aplicar",$R1210))/(ISNUMBER(SEARCH("Conocer",$R1210))+ISNUMBER(SEARCH("Aplicar",$R1210))+ISNUMBER(SEARCH("Razonar",$R1210))),0)</f>
        <v>0.5</v>
      </c>
      <c r="U1210" s="28" t="n">
        <f aca="false">IFERROR(ISNUMBER(SEARCH("Razonar",$R1210))/(ISNUMBER(SEARCH("Conocer",$R1210))+ISNUMBER(SEARCH("Aplicar",$R1210))+ISNUMBER(SEARCH("Razonar",$R1210))),0)</f>
        <v>0.5</v>
      </c>
      <c r="V1210" s="8" t="s">
        <v>387</v>
      </c>
      <c r="W1210" s="8" t="s">
        <v>4934</v>
      </c>
    </row>
    <row r="1211" customFormat="false" ht="15" hidden="false" customHeight="false" outlineLevel="0" collapsed="false">
      <c r="A1211" s="8" t="s">
        <v>5315</v>
      </c>
      <c r="B1211" s="8" t="n">
        <v>11</v>
      </c>
      <c r="C1211" s="8" t="s">
        <v>89</v>
      </c>
      <c r="D1211" s="8" t="s">
        <v>4928</v>
      </c>
      <c r="E1211" s="8" t="s">
        <v>5185</v>
      </c>
      <c r="F1211" s="8" t="n">
        <v>41</v>
      </c>
      <c r="G1211" s="8" t="s">
        <v>5278</v>
      </c>
      <c r="H1211" s="8" t="s">
        <v>5309</v>
      </c>
      <c r="I1211" s="27" t="s">
        <v>5316</v>
      </c>
      <c r="J1211" s="8" t="s">
        <v>4169</v>
      </c>
      <c r="K1211" s="8" t="s">
        <v>4170</v>
      </c>
      <c r="L1211" s="8"/>
      <c r="M1211" s="8" t="str">
        <f aca="false">IF(K1211="FUERA","Fuera del marco",IF(K1211="N/A","Sin marco",IFERROR(INDEX(Catalogo_TIMSS!$C$5:$C$105,MATCH(K1211,Catalogo_TIMSS!$A$5:$A$105,0)),"Pendiente de clasificar")))</f>
        <v>Sin marco</v>
      </c>
      <c r="N1211" s="8" t="str">
        <f aca="false">IF(K1211="FUERA","Fuera del marco",IF(K1211="N/A","Sin marco",IFERROR(INDEX(Catalogo_TIMSS!$F$5:$F$105,MATCH(K1211,Catalogo_TIMSS!$A$5:$A$105,0)),"Pendiente de clasificar")))</f>
        <v>Sin marco</v>
      </c>
      <c r="O1211" s="8" t="str">
        <f aca="false">IF(L1211="","",IFERROR(INDEX(Catalogo_TIMSS!$C$5:$C$105,MATCH(L1211,Catalogo_TIMSS!$A$5:$A$105,0)),"?"))</f>
        <v/>
      </c>
      <c r="P1211" s="8" t="s">
        <v>4170</v>
      </c>
      <c r="Q1211" s="27" t="s">
        <v>4171</v>
      </c>
      <c r="R1211" s="27" t="s">
        <v>5317</v>
      </c>
      <c r="S1211" s="28" t="n">
        <f aca="false">IFERROR(ISNUMBER(SEARCH("Conocer",$R1211))/(ISNUMBER(SEARCH("Conocer",$R1211))+ISNUMBER(SEARCH("Aplicar",$R1211))+ISNUMBER(SEARCH("Razonar",$R1211))),0)</f>
        <v>0</v>
      </c>
      <c r="T1211" s="28" t="n">
        <f aca="false">IFERROR(ISNUMBER(SEARCH("Aplicar",$R1211))/(ISNUMBER(SEARCH("Conocer",$R1211))+ISNUMBER(SEARCH("Aplicar",$R1211))+ISNUMBER(SEARCH("Razonar",$R1211))),0)</f>
        <v>0.5</v>
      </c>
      <c r="U1211" s="28" t="n">
        <f aca="false">IFERROR(ISNUMBER(SEARCH("Razonar",$R1211))/(ISNUMBER(SEARCH("Conocer",$R1211))+ISNUMBER(SEARCH("Aplicar",$R1211))+ISNUMBER(SEARCH("Razonar",$R1211))),0)</f>
        <v>0.5</v>
      </c>
      <c r="V1211" s="8" t="s">
        <v>387</v>
      </c>
      <c r="W1211" s="8" t="s">
        <v>4934</v>
      </c>
    </row>
    <row r="1212" customFormat="false" ht="15" hidden="false" customHeight="false" outlineLevel="0" collapsed="false">
      <c r="A1212" s="8" t="s">
        <v>5318</v>
      </c>
      <c r="B1212" s="8" t="n">
        <v>11</v>
      </c>
      <c r="C1212" s="8" t="s">
        <v>89</v>
      </c>
      <c r="D1212" s="8" t="s">
        <v>4928</v>
      </c>
      <c r="E1212" s="8" t="s">
        <v>5185</v>
      </c>
      <c r="F1212" s="8" t="n">
        <v>42</v>
      </c>
      <c r="G1212" s="8" t="s">
        <v>5278</v>
      </c>
      <c r="H1212" s="8" t="s">
        <v>5319</v>
      </c>
      <c r="I1212" s="27" t="s">
        <v>5320</v>
      </c>
      <c r="J1212" s="8" t="s">
        <v>4169</v>
      </c>
      <c r="K1212" s="8" t="s">
        <v>4170</v>
      </c>
      <c r="L1212" s="8"/>
      <c r="M1212" s="8" t="str">
        <f aca="false">IF(K1212="FUERA","Fuera del marco",IF(K1212="N/A","Sin marco",IFERROR(INDEX(Catalogo_TIMSS!$C$5:$C$105,MATCH(K1212,Catalogo_TIMSS!$A$5:$A$105,0)),"Pendiente de clasificar")))</f>
        <v>Sin marco</v>
      </c>
      <c r="N1212" s="8" t="str">
        <f aca="false">IF(K1212="FUERA","Fuera del marco",IF(K1212="N/A","Sin marco",IFERROR(INDEX(Catalogo_TIMSS!$F$5:$F$105,MATCH(K1212,Catalogo_TIMSS!$A$5:$A$105,0)),"Pendiente de clasificar")))</f>
        <v>Sin marco</v>
      </c>
      <c r="O1212" s="8" t="str">
        <f aca="false">IF(L1212="","",IFERROR(INDEX(Catalogo_TIMSS!$C$5:$C$105,MATCH(L1212,Catalogo_TIMSS!$A$5:$A$105,0)),"?"))</f>
        <v/>
      </c>
      <c r="P1212" s="8" t="s">
        <v>4170</v>
      </c>
      <c r="Q1212" s="27" t="s">
        <v>4171</v>
      </c>
      <c r="R1212" s="27" t="s">
        <v>5321</v>
      </c>
      <c r="S1212" s="28" t="n">
        <f aca="false">IFERROR(ISNUMBER(SEARCH("Conocer",$R1212))/(ISNUMBER(SEARCH("Conocer",$R1212))+ISNUMBER(SEARCH("Aplicar",$R1212))+ISNUMBER(SEARCH("Razonar",$R1212))),0)</f>
        <v>0.5</v>
      </c>
      <c r="T1212" s="28" t="n">
        <f aca="false">IFERROR(ISNUMBER(SEARCH("Aplicar",$R1212))/(ISNUMBER(SEARCH("Conocer",$R1212))+ISNUMBER(SEARCH("Aplicar",$R1212))+ISNUMBER(SEARCH("Razonar",$R1212))),0)</f>
        <v>0</v>
      </c>
      <c r="U1212" s="28" t="n">
        <f aca="false">IFERROR(ISNUMBER(SEARCH("Razonar",$R1212))/(ISNUMBER(SEARCH("Conocer",$R1212))+ISNUMBER(SEARCH("Aplicar",$R1212))+ISNUMBER(SEARCH("Razonar",$R1212))),0)</f>
        <v>0.5</v>
      </c>
      <c r="V1212" s="8" t="s">
        <v>387</v>
      </c>
      <c r="W1212" s="8" t="s">
        <v>4934</v>
      </c>
    </row>
    <row r="1213" customFormat="false" ht="15" hidden="false" customHeight="false" outlineLevel="0" collapsed="false">
      <c r="A1213" s="8" t="s">
        <v>5322</v>
      </c>
      <c r="B1213" s="8" t="n">
        <v>11</v>
      </c>
      <c r="C1213" s="8" t="s">
        <v>89</v>
      </c>
      <c r="D1213" s="8" t="s">
        <v>4928</v>
      </c>
      <c r="E1213" s="8" t="s">
        <v>5185</v>
      </c>
      <c r="F1213" s="8" t="n">
        <v>43</v>
      </c>
      <c r="G1213" s="8" t="s">
        <v>5278</v>
      </c>
      <c r="H1213" s="8" t="s">
        <v>5319</v>
      </c>
      <c r="I1213" s="27" t="s">
        <v>5323</v>
      </c>
      <c r="J1213" s="8" t="s">
        <v>4169</v>
      </c>
      <c r="K1213" s="8" t="s">
        <v>4170</v>
      </c>
      <c r="L1213" s="8"/>
      <c r="M1213" s="8" t="str">
        <f aca="false">IF(K1213="FUERA","Fuera del marco",IF(K1213="N/A","Sin marco",IFERROR(INDEX(Catalogo_TIMSS!$C$5:$C$105,MATCH(K1213,Catalogo_TIMSS!$A$5:$A$105,0)),"Pendiente de clasificar")))</f>
        <v>Sin marco</v>
      </c>
      <c r="N1213" s="8" t="str">
        <f aca="false">IF(K1213="FUERA","Fuera del marco",IF(K1213="N/A","Sin marco",IFERROR(INDEX(Catalogo_TIMSS!$F$5:$F$105,MATCH(K1213,Catalogo_TIMSS!$A$5:$A$105,0)),"Pendiente de clasificar")))</f>
        <v>Sin marco</v>
      </c>
      <c r="O1213" s="8" t="str">
        <f aca="false">IF(L1213="","",IFERROR(INDEX(Catalogo_TIMSS!$C$5:$C$105,MATCH(L1213,Catalogo_TIMSS!$A$5:$A$105,0)),"?"))</f>
        <v/>
      </c>
      <c r="P1213" s="8" t="s">
        <v>4170</v>
      </c>
      <c r="Q1213" s="27" t="s">
        <v>4171</v>
      </c>
      <c r="R1213" s="27" t="s">
        <v>5324</v>
      </c>
      <c r="S1213" s="28" t="n">
        <f aca="false">IFERROR(ISNUMBER(SEARCH("Conocer",$R1213))/(ISNUMBER(SEARCH("Conocer",$R1213))+ISNUMBER(SEARCH("Aplicar",$R1213))+ISNUMBER(SEARCH("Razonar",$R1213))),0)</f>
        <v>0</v>
      </c>
      <c r="T1213" s="28" t="n">
        <f aca="false">IFERROR(ISNUMBER(SEARCH("Aplicar",$R1213))/(ISNUMBER(SEARCH("Conocer",$R1213))+ISNUMBER(SEARCH("Aplicar",$R1213))+ISNUMBER(SEARCH("Razonar",$R1213))),0)</f>
        <v>0.5</v>
      </c>
      <c r="U1213" s="28" t="n">
        <f aca="false">IFERROR(ISNUMBER(SEARCH("Razonar",$R1213))/(ISNUMBER(SEARCH("Conocer",$R1213))+ISNUMBER(SEARCH("Aplicar",$R1213))+ISNUMBER(SEARCH("Razonar",$R1213))),0)</f>
        <v>0.5</v>
      </c>
      <c r="V1213" s="8" t="s">
        <v>387</v>
      </c>
      <c r="W1213" s="8" t="s">
        <v>4934</v>
      </c>
    </row>
    <row r="1214" customFormat="false" ht="15" hidden="false" customHeight="false" outlineLevel="0" collapsed="false">
      <c r="A1214" s="8" t="s">
        <v>5325</v>
      </c>
      <c r="B1214" s="8" t="n">
        <v>11</v>
      </c>
      <c r="C1214" s="8" t="s">
        <v>89</v>
      </c>
      <c r="D1214" s="8" t="s">
        <v>4928</v>
      </c>
      <c r="E1214" s="8" t="s">
        <v>5185</v>
      </c>
      <c r="F1214" s="8" t="n">
        <v>44</v>
      </c>
      <c r="G1214" s="8" t="s">
        <v>5278</v>
      </c>
      <c r="H1214" s="8" t="s">
        <v>5319</v>
      </c>
      <c r="I1214" s="27" t="s">
        <v>5326</v>
      </c>
      <c r="J1214" s="8" t="s">
        <v>4169</v>
      </c>
      <c r="K1214" s="8" t="s">
        <v>4170</v>
      </c>
      <c r="L1214" s="8"/>
      <c r="M1214" s="8" t="str">
        <f aca="false">IF(K1214="FUERA","Fuera del marco",IF(K1214="N/A","Sin marco",IFERROR(INDEX(Catalogo_TIMSS!$C$5:$C$105,MATCH(K1214,Catalogo_TIMSS!$A$5:$A$105,0)),"Pendiente de clasificar")))</f>
        <v>Sin marco</v>
      </c>
      <c r="N1214" s="8" t="str">
        <f aca="false">IF(K1214="FUERA","Fuera del marco",IF(K1214="N/A","Sin marco",IFERROR(INDEX(Catalogo_TIMSS!$F$5:$F$105,MATCH(K1214,Catalogo_TIMSS!$A$5:$A$105,0)),"Pendiente de clasificar")))</f>
        <v>Sin marco</v>
      </c>
      <c r="O1214" s="8" t="str">
        <f aca="false">IF(L1214="","",IFERROR(INDEX(Catalogo_TIMSS!$C$5:$C$105,MATCH(L1214,Catalogo_TIMSS!$A$5:$A$105,0)),"?"))</f>
        <v/>
      </c>
      <c r="P1214" s="8" t="s">
        <v>4170</v>
      </c>
      <c r="Q1214" s="27" t="s">
        <v>4171</v>
      </c>
      <c r="R1214" s="27" t="s">
        <v>5327</v>
      </c>
      <c r="S1214" s="28" t="n">
        <f aca="false">IFERROR(ISNUMBER(SEARCH("Conocer",$R1214))/(ISNUMBER(SEARCH("Conocer",$R1214))+ISNUMBER(SEARCH("Aplicar",$R1214))+ISNUMBER(SEARCH("Razonar",$R1214))),0)</f>
        <v>0.5</v>
      </c>
      <c r="T1214" s="28" t="n">
        <f aca="false">IFERROR(ISNUMBER(SEARCH("Aplicar",$R1214))/(ISNUMBER(SEARCH("Conocer",$R1214))+ISNUMBER(SEARCH("Aplicar",$R1214))+ISNUMBER(SEARCH("Razonar",$R1214))),0)</f>
        <v>0.5</v>
      </c>
      <c r="U1214" s="28" t="n">
        <f aca="false">IFERROR(ISNUMBER(SEARCH("Razonar",$R1214))/(ISNUMBER(SEARCH("Conocer",$R1214))+ISNUMBER(SEARCH("Aplicar",$R1214))+ISNUMBER(SEARCH("Razonar",$R1214))),0)</f>
        <v>0</v>
      </c>
      <c r="V1214" s="8" t="s">
        <v>387</v>
      </c>
      <c r="W1214" s="8" t="s">
        <v>4934</v>
      </c>
    </row>
    <row r="1215" customFormat="false" ht="15" hidden="false" customHeight="false" outlineLevel="0" collapsed="false">
      <c r="A1215" s="8" t="s">
        <v>5328</v>
      </c>
      <c r="B1215" s="8" t="n">
        <v>11</v>
      </c>
      <c r="C1215" s="8" t="s">
        <v>89</v>
      </c>
      <c r="D1215" s="8" t="s">
        <v>4928</v>
      </c>
      <c r="E1215" s="8" t="s">
        <v>5185</v>
      </c>
      <c r="F1215" s="8" t="n">
        <v>45</v>
      </c>
      <c r="G1215" s="8" t="s">
        <v>5278</v>
      </c>
      <c r="H1215" s="8" t="s">
        <v>5329</v>
      </c>
      <c r="I1215" s="27" t="s">
        <v>5330</v>
      </c>
      <c r="J1215" s="8" t="s">
        <v>4169</v>
      </c>
      <c r="K1215" s="8" t="s">
        <v>4170</v>
      </c>
      <c r="L1215" s="8"/>
      <c r="M1215" s="8" t="str">
        <f aca="false">IF(K1215="FUERA","Fuera del marco",IF(K1215="N/A","Sin marco",IFERROR(INDEX(Catalogo_TIMSS!$C$5:$C$105,MATCH(K1215,Catalogo_TIMSS!$A$5:$A$105,0)),"Pendiente de clasificar")))</f>
        <v>Sin marco</v>
      </c>
      <c r="N1215" s="8" t="str">
        <f aca="false">IF(K1215="FUERA","Fuera del marco",IF(K1215="N/A","Sin marco",IFERROR(INDEX(Catalogo_TIMSS!$F$5:$F$105,MATCH(K1215,Catalogo_TIMSS!$A$5:$A$105,0)),"Pendiente de clasificar")))</f>
        <v>Sin marco</v>
      </c>
      <c r="O1215" s="8" t="str">
        <f aca="false">IF(L1215="","",IFERROR(INDEX(Catalogo_TIMSS!$C$5:$C$105,MATCH(L1215,Catalogo_TIMSS!$A$5:$A$105,0)),"?"))</f>
        <v/>
      </c>
      <c r="P1215" s="8" t="s">
        <v>4170</v>
      </c>
      <c r="Q1215" s="27" t="s">
        <v>4171</v>
      </c>
      <c r="R1215" s="27" t="s">
        <v>5331</v>
      </c>
      <c r="S1215" s="28" t="n">
        <f aca="false">IFERROR(ISNUMBER(SEARCH("Conocer",$R1215))/(ISNUMBER(SEARCH("Conocer",$R1215))+ISNUMBER(SEARCH("Aplicar",$R1215))+ISNUMBER(SEARCH("Razonar",$R1215))),0)</f>
        <v>0.5</v>
      </c>
      <c r="T1215" s="28" t="n">
        <f aca="false">IFERROR(ISNUMBER(SEARCH("Aplicar",$R1215))/(ISNUMBER(SEARCH("Conocer",$R1215))+ISNUMBER(SEARCH("Aplicar",$R1215))+ISNUMBER(SEARCH("Razonar",$R1215))),0)</f>
        <v>0</v>
      </c>
      <c r="U1215" s="28" t="n">
        <f aca="false">IFERROR(ISNUMBER(SEARCH("Razonar",$R1215))/(ISNUMBER(SEARCH("Conocer",$R1215))+ISNUMBER(SEARCH("Aplicar",$R1215))+ISNUMBER(SEARCH("Razonar",$R1215))),0)</f>
        <v>0.5</v>
      </c>
      <c r="V1215" s="8" t="s">
        <v>387</v>
      </c>
      <c r="W1215" s="8" t="s">
        <v>4934</v>
      </c>
    </row>
    <row r="1216" customFormat="false" ht="15" hidden="false" customHeight="false" outlineLevel="0" collapsed="false">
      <c r="A1216" s="8" t="s">
        <v>5332</v>
      </c>
      <c r="B1216" s="8" t="n">
        <v>11</v>
      </c>
      <c r="C1216" s="8" t="s">
        <v>89</v>
      </c>
      <c r="D1216" s="8" t="s">
        <v>4928</v>
      </c>
      <c r="E1216" s="8" t="s">
        <v>5185</v>
      </c>
      <c r="F1216" s="8" t="n">
        <v>46</v>
      </c>
      <c r="G1216" s="8" t="s">
        <v>5278</v>
      </c>
      <c r="H1216" s="8" t="s">
        <v>5329</v>
      </c>
      <c r="I1216" s="27" t="s">
        <v>5333</v>
      </c>
      <c r="J1216" s="8" t="s">
        <v>4169</v>
      </c>
      <c r="K1216" s="8" t="s">
        <v>4170</v>
      </c>
      <c r="L1216" s="8"/>
      <c r="M1216" s="8" t="str">
        <f aca="false">IF(K1216="FUERA","Fuera del marco",IF(K1216="N/A","Sin marco",IFERROR(INDEX(Catalogo_TIMSS!$C$5:$C$105,MATCH(K1216,Catalogo_TIMSS!$A$5:$A$105,0)),"Pendiente de clasificar")))</f>
        <v>Sin marco</v>
      </c>
      <c r="N1216" s="8" t="str">
        <f aca="false">IF(K1216="FUERA","Fuera del marco",IF(K1216="N/A","Sin marco",IFERROR(INDEX(Catalogo_TIMSS!$F$5:$F$105,MATCH(K1216,Catalogo_TIMSS!$A$5:$A$105,0)),"Pendiente de clasificar")))</f>
        <v>Sin marco</v>
      </c>
      <c r="O1216" s="8" t="str">
        <f aca="false">IF(L1216="","",IFERROR(INDEX(Catalogo_TIMSS!$C$5:$C$105,MATCH(L1216,Catalogo_TIMSS!$A$5:$A$105,0)),"?"))</f>
        <v/>
      </c>
      <c r="P1216" s="8" t="s">
        <v>4170</v>
      </c>
      <c r="Q1216" s="27" t="s">
        <v>4171</v>
      </c>
      <c r="R1216" s="27" t="s">
        <v>5334</v>
      </c>
      <c r="S1216" s="28" t="n">
        <f aca="false">IFERROR(ISNUMBER(SEARCH("Conocer",$R1216))/(ISNUMBER(SEARCH("Conocer",$R1216))+ISNUMBER(SEARCH("Aplicar",$R1216))+ISNUMBER(SEARCH("Razonar",$R1216))),0)</f>
        <v>0</v>
      </c>
      <c r="T1216" s="28" t="n">
        <f aca="false">IFERROR(ISNUMBER(SEARCH("Aplicar",$R1216))/(ISNUMBER(SEARCH("Conocer",$R1216))+ISNUMBER(SEARCH("Aplicar",$R1216))+ISNUMBER(SEARCH("Razonar",$R1216))),0)</f>
        <v>0.5</v>
      </c>
      <c r="U1216" s="28" t="n">
        <f aca="false">IFERROR(ISNUMBER(SEARCH("Razonar",$R1216))/(ISNUMBER(SEARCH("Conocer",$R1216))+ISNUMBER(SEARCH("Aplicar",$R1216))+ISNUMBER(SEARCH("Razonar",$R1216))),0)</f>
        <v>0.5</v>
      </c>
      <c r="V1216" s="8" t="s">
        <v>387</v>
      </c>
      <c r="W1216" s="8" t="s">
        <v>4934</v>
      </c>
    </row>
    <row r="1217" customFormat="false" ht="15" hidden="false" customHeight="false" outlineLevel="0" collapsed="false">
      <c r="A1217" s="8" t="s">
        <v>5335</v>
      </c>
      <c r="B1217" s="8" t="n">
        <v>11</v>
      </c>
      <c r="C1217" s="8" t="s">
        <v>89</v>
      </c>
      <c r="D1217" s="8" t="s">
        <v>4928</v>
      </c>
      <c r="E1217" s="8" t="s">
        <v>5185</v>
      </c>
      <c r="F1217" s="8" t="n">
        <v>47</v>
      </c>
      <c r="G1217" s="8" t="s">
        <v>5278</v>
      </c>
      <c r="H1217" s="8" t="s">
        <v>5336</v>
      </c>
      <c r="I1217" s="27" t="s">
        <v>5337</v>
      </c>
      <c r="J1217" s="8" t="s">
        <v>4169</v>
      </c>
      <c r="K1217" s="8" t="s">
        <v>4170</v>
      </c>
      <c r="L1217" s="8"/>
      <c r="M1217" s="8" t="str">
        <f aca="false">IF(K1217="FUERA","Fuera del marco",IF(K1217="N/A","Sin marco",IFERROR(INDEX(Catalogo_TIMSS!$C$5:$C$105,MATCH(K1217,Catalogo_TIMSS!$A$5:$A$105,0)),"Pendiente de clasificar")))</f>
        <v>Sin marco</v>
      </c>
      <c r="N1217" s="8" t="str">
        <f aca="false">IF(K1217="FUERA","Fuera del marco",IF(K1217="N/A","Sin marco",IFERROR(INDEX(Catalogo_TIMSS!$F$5:$F$105,MATCH(K1217,Catalogo_TIMSS!$A$5:$A$105,0)),"Pendiente de clasificar")))</f>
        <v>Sin marco</v>
      </c>
      <c r="O1217" s="8" t="str">
        <f aca="false">IF(L1217="","",IFERROR(INDEX(Catalogo_TIMSS!$C$5:$C$105,MATCH(L1217,Catalogo_TIMSS!$A$5:$A$105,0)),"?"))</f>
        <v/>
      </c>
      <c r="P1217" s="8" t="s">
        <v>4170</v>
      </c>
      <c r="Q1217" s="27" t="s">
        <v>4171</v>
      </c>
      <c r="R1217" s="27" t="s">
        <v>5338</v>
      </c>
      <c r="S1217" s="28" t="n">
        <f aca="false">IFERROR(ISNUMBER(SEARCH("Conocer",$R1217))/(ISNUMBER(SEARCH("Conocer",$R1217))+ISNUMBER(SEARCH("Aplicar",$R1217))+ISNUMBER(SEARCH("Razonar",$R1217))),0)</f>
        <v>0.333333333333333</v>
      </c>
      <c r="T1217" s="28" t="n">
        <f aca="false">IFERROR(ISNUMBER(SEARCH("Aplicar",$R1217))/(ISNUMBER(SEARCH("Conocer",$R1217))+ISNUMBER(SEARCH("Aplicar",$R1217))+ISNUMBER(SEARCH("Razonar",$R1217))),0)</f>
        <v>0.333333333333333</v>
      </c>
      <c r="U1217" s="28" t="n">
        <f aca="false">IFERROR(ISNUMBER(SEARCH("Razonar",$R1217))/(ISNUMBER(SEARCH("Conocer",$R1217))+ISNUMBER(SEARCH("Aplicar",$R1217))+ISNUMBER(SEARCH("Razonar",$R1217))),0)</f>
        <v>0.333333333333333</v>
      </c>
      <c r="V1217" s="8" t="s">
        <v>387</v>
      </c>
      <c r="W1217" s="8" t="s">
        <v>4934</v>
      </c>
    </row>
    <row r="1218" customFormat="false" ht="15" hidden="false" customHeight="false" outlineLevel="0" collapsed="false">
      <c r="A1218" s="8" t="s">
        <v>5339</v>
      </c>
      <c r="B1218" s="8" t="n">
        <v>11</v>
      </c>
      <c r="C1218" s="8" t="s">
        <v>89</v>
      </c>
      <c r="D1218" s="8" t="s">
        <v>4928</v>
      </c>
      <c r="E1218" s="8" t="s">
        <v>5185</v>
      </c>
      <c r="F1218" s="8" t="n">
        <v>48</v>
      </c>
      <c r="G1218" s="8" t="s">
        <v>5340</v>
      </c>
      <c r="H1218" s="8" t="s">
        <v>5341</v>
      </c>
      <c r="I1218" s="27" t="s">
        <v>5342</v>
      </c>
      <c r="J1218" s="8" t="s">
        <v>4169</v>
      </c>
      <c r="K1218" s="8" t="s">
        <v>4170</v>
      </c>
      <c r="L1218" s="8"/>
      <c r="M1218" s="8" t="str">
        <f aca="false">IF(K1218="FUERA","Fuera del marco",IF(K1218="N/A","Sin marco",IFERROR(INDEX(Catalogo_TIMSS!$C$5:$C$105,MATCH(K1218,Catalogo_TIMSS!$A$5:$A$105,0)),"Pendiente de clasificar")))</f>
        <v>Sin marco</v>
      </c>
      <c r="N1218" s="8" t="str">
        <f aca="false">IF(K1218="FUERA","Fuera del marco",IF(K1218="N/A","Sin marco",IFERROR(INDEX(Catalogo_TIMSS!$F$5:$F$105,MATCH(K1218,Catalogo_TIMSS!$A$5:$A$105,0)),"Pendiente de clasificar")))</f>
        <v>Sin marco</v>
      </c>
      <c r="O1218" s="8" t="str">
        <f aca="false">IF(L1218="","",IFERROR(INDEX(Catalogo_TIMSS!$C$5:$C$105,MATCH(L1218,Catalogo_TIMSS!$A$5:$A$105,0)),"?"))</f>
        <v/>
      </c>
      <c r="P1218" s="8" t="s">
        <v>4170</v>
      </c>
      <c r="Q1218" s="27" t="s">
        <v>4171</v>
      </c>
      <c r="R1218" s="27" t="s">
        <v>5343</v>
      </c>
      <c r="S1218" s="28" t="n">
        <f aca="false">IFERROR(ISNUMBER(SEARCH("Conocer",$R1218))/(ISNUMBER(SEARCH("Conocer",$R1218))+ISNUMBER(SEARCH("Aplicar",$R1218))+ISNUMBER(SEARCH("Razonar",$R1218))),0)</f>
        <v>0</v>
      </c>
      <c r="T1218" s="28" t="n">
        <f aca="false">IFERROR(ISNUMBER(SEARCH("Aplicar",$R1218))/(ISNUMBER(SEARCH("Conocer",$R1218))+ISNUMBER(SEARCH("Aplicar",$R1218))+ISNUMBER(SEARCH("Razonar",$R1218))),0)</f>
        <v>0.5</v>
      </c>
      <c r="U1218" s="28" t="n">
        <f aca="false">IFERROR(ISNUMBER(SEARCH("Razonar",$R1218))/(ISNUMBER(SEARCH("Conocer",$R1218))+ISNUMBER(SEARCH("Aplicar",$R1218))+ISNUMBER(SEARCH("Razonar",$R1218))),0)</f>
        <v>0.5</v>
      </c>
      <c r="V1218" s="8" t="s">
        <v>387</v>
      </c>
      <c r="W1218" s="8" t="s">
        <v>4934</v>
      </c>
    </row>
    <row r="1219" customFormat="false" ht="15" hidden="false" customHeight="false" outlineLevel="0" collapsed="false">
      <c r="A1219" s="8" t="s">
        <v>5344</v>
      </c>
      <c r="B1219" s="8" t="n">
        <v>11</v>
      </c>
      <c r="C1219" s="8" t="s">
        <v>89</v>
      </c>
      <c r="D1219" s="8" t="s">
        <v>4928</v>
      </c>
      <c r="E1219" s="8" t="s">
        <v>5185</v>
      </c>
      <c r="F1219" s="8" t="n">
        <v>49</v>
      </c>
      <c r="G1219" s="8" t="s">
        <v>5340</v>
      </c>
      <c r="H1219" s="8" t="s">
        <v>5341</v>
      </c>
      <c r="I1219" s="27" t="s">
        <v>5345</v>
      </c>
      <c r="J1219" s="8" t="s">
        <v>4169</v>
      </c>
      <c r="K1219" s="8" t="s">
        <v>4170</v>
      </c>
      <c r="L1219" s="8"/>
      <c r="M1219" s="8" t="str">
        <f aca="false">IF(K1219="FUERA","Fuera del marco",IF(K1219="N/A","Sin marco",IFERROR(INDEX(Catalogo_TIMSS!$C$5:$C$105,MATCH(K1219,Catalogo_TIMSS!$A$5:$A$105,0)),"Pendiente de clasificar")))</f>
        <v>Sin marco</v>
      </c>
      <c r="N1219" s="8" t="str">
        <f aca="false">IF(K1219="FUERA","Fuera del marco",IF(K1219="N/A","Sin marco",IFERROR(INDEX(Catalogo_TIMSS!$F$5:$F$105,MATCH(K1219,Catalogo_TIMSS!$A$5:$A$105,0)),"Pendiente de clasificar")))</f>
        <v>Sin marco</v>
      </c>
      <c r="O1219" s="8" t="str">
        <f aca="false">IF(L1219="","",IFERROR(INDEX(Catalogo_TIMSS!$C$5:$C$105,MATCH(L1219,Catalogo_TIMSS!$A$5:$A$105,0)),"?"))</f>
        <v/>
      </c>
      <c r="P1219" s="8" t="s">
        <v>4170</v>
      </c>
      <c r="Q1219" s="27" t="s">
        <v>4171</v>
      </c>
      <c r="R1219" s="27" t="s">
        <v>5346</v>
      </c>
      <c r="S1219" s="28" t="n">
        <f aca="false">IFERROR(ISNUMBER(SEARCH("Conocer",$R1219))/(ISNUMBER(SEARCH("Conocer",$R1219))+ISNUMBER(SEARCH("Aplicar",$R1219))+ISNUMBER(SEARCH("Razonar",$R1219))),0)</f>
        <v>0.333333333333333</v>
      </c>
      <c r="T1219" s="28" t="n">
        <f aca="false">IFERROR(ISNUMBER(SEARCH("Aplicar",$R1219))/(ISNUMBER(SEARCH("Conocer",$R1219))+ISNUMBER(SEARCH("Aplicar",$R1219))+ISNUMBER(SEARCH("Razonar",$R1219))),0)</f>
        <v>0.333333333333333</v>
      </c>
      <c r="U1219" s="28" t="n">
        <f aca="false">IFERROR(ISNUMBER(SEARCH("Razonar",$R1219))/(ISNUMBER(SEARCH("Conocer",$R1219))+ISNUMBER(SEARCH("Aplicar",$R1219))+ISNUMBER(SEARCH("Razonar",$R1219))),0)</f>
        <v>0.333333333333333</v>
      </c>
      <c r="V1219" s="8" t="s">
        <v>387</v>
      </c>
      <c r="W1219" s="8" t="s">
        <v>4934</v>
      </c>
    </row>
    <row r="1220" customFormat="false" ht="15" hidden="false" customHeight="false" outlineLevel="0" collapsed="false">
      <c r="A1220" s="8" t="s">
        <v>5347</v>
      </c>
      <c r="B1220" s="8" t="n">
        <v>11</v>
      </c>
      <c r="C1220" s="8" t="s">
        <v>89</v>
      </c>
      <c r="D1220" s="8" t="s">
        <v>4928</v>
      </c>
      <c r="E1220" s="8" t="s">
        <v>5185</v>
      </c>
      <c r="F1220" s="8" t="n">
        <v>50</v>
      </c>
      <c r="G1220" s="8" t="s">
        <v>5340</v>
      </c>
      <c r="H1220" s="8" t="s">
        <v>5341</v>
      </c>
      <c r="I1220" s="27" t="s">
        <v>5348</v>
      </c>
      <c r="J1220" s="8" t="s">
        <v>4169</v>
      </c>
      <c r="K1220" s="8" t="s">
        <v>4170</v>
      </c>
      <c r="L1220" s="8"/>
      <c r="M1220" s="8" t="str">
        <f aca="false">IF(K1220="FUERA","Fuera del marco",IF(K1220="N/A","Sin marco",IFERROR(INDEX(Catalogo_TIMSS!$C$5:$C$105,MATCH(K1220,Catalogo_TIMSS!$A$5:$A$105,0)),"Pendiente de clasificar")))</f>
        <v>Sin marco</v>
      </c>
      <c r="N1220" s="8" t="str">
        <f aca="false">IF(K1220="FUERA","Fuera del marco",IF(K1220="N/A","Sin marco",IFERROR(INDEX(Catalogo_TIMSS!$F$5:$F$105,MATCH(K1220,Catalogo_TIMSS!$A$5:$A$105,0)),"Pendiente de clasificar")))</f>
        <v>Sin marco</v>
      </c>
      <c r="O1220" s="8" t="str">
        <f aca="false">IF(L1220="","",IFERROR(INDEX(Catalogo_TIMSS!$C$5:$C$105,MATCH(L1220,Catalogo_TIMSS!$A$5:$A$105,0)),"?"))</f>
        <v/>
      </c>
      <c r="P1220" s="8" t="s">
        <v>4170</v>
      </c>
      <c r="Q1220" s="27" t="s">
        <v>4171</v>
      </c>
      <c r="R1220" s="27" t="s">
        <v>5349</v>
      </c>
      <c r="S1220" s="28" t="n">
        <f aca="false">IFERROR(ISNUMBER(SEARCH("Conocer",$R1220))/(ISNUMBER(SEARCH("Conocer",$R1220))+ISNUMBER(SEARCH("Aplicar",$R1220))+ISNUMBER(SEARCH("Razonar",$R1220))),0)</f>
        <v>0</v>
      </c>
      <c r="T1220" s="28" t="n">
        <f aca="false">IFERROR(ISNUMBER(SEARCH("Aplicar",$R1220))/(ISNUMBER(SEARCH("Conocer",$R1220))+ISNUMBER(SEARCH("Aplicar",$R1220))+ISNUMBER(SEARCH("Razonar",$R1220))),0)</f>
        <v>0.5</v>
      </c>
      <c r="U1220" s="28" t="n">
        <f aca="false">IFERROR(ISNUMBER(SEARCH("Razonar",$R1220))/(ISNUMBER(SEARCH("Conocer",$R1220))+ISNUMBER(SEARCH("Aplicar",$R1220))+ISNUMBER(SEARCH("Razonar",$R1220))),0)</f>
        <v>0.5</v>
      </c>
      <c r="V1220" s="8" t="s">
        <v>387</v>
      </c>
      <c r="W1220" s="8" t="s">
        <v>4934</v>
      </c>
    </row>
    <row r="1221" customFormat="false" ht="15" hidden="false" customHeight="false" outlineLevel="0" collapsed="false">
      <c r="A1221" s="8" t="s">
        <v>5350</v>
      </c>
      <c r="B1221" s="8" t="n">
        <v>11</v>
      </c>
      <c r="C1221" s="8" t="s">
        <v>89</v>
      </c>
      <c r="D1221" s="8" t="s">
        <v>4928</v>
      </c>
      <c r="E1221" s="8" t="s">
        <v>5185</v>
      </c>
      <c r="F1221" s="8" t="n">
        <v>51</v>
      </c>
      <c r="G1221" s="8" t="s">
        <v>5340</v>
      </c>
      <c r="H1221" s="8" t="s">
        <v>5351</v>
      </c>
      <c r="I1221" s="27" t="s">
        <v>5352</v>
      </c>
      <c r="J1221" s="8" t="s">
        <v>4169</v>
      </c>
      <c r="K1221" s="8" t="s">
        <v>4170</v>
      </c>
      <c r="L1221" s="8"/>
      <c r="M1221" s="8" t="str">
        <f aca="false">IF(K1221="FUERA","Fuera del marco",IF(K1221="N/A","Sin marco",IFERROR(INDEX(Catalogo_TIMSS!$C$5:$C$105,MATCH(K1221,Catalogo_TIMSS!$A$5:$A$105,0)),"Pendiente de clasificar")))</f>
        <v>Sin marco</v>
      </c>
      <c r="N1221" s="8" t="str">
        <f aca="false">IF(K1221="FUERA","Fuera del marco",IF(K1221="N/A","Sin marco",IFERROR(INDEX(Catalogo_TIMSS!$F$5:$F$105,MATCH(K1221,Catalogo_TIMSS!$A$5:$A$105,0)),"Pendiente de clasificar")))</f>
        <v>Sin marco</v>
      </c>
      <c r="O1221" s="8" t="str">
        <f aca="false">IF(L1221="","",IFERROR(INDEX(Catalogo_TIMSS!$C$5:$C$105,MATCH(L1221,Catalogo_TIMSS!$A$5:$A$105,0)),"?"))</f>
        <v/>
      </c>
      <c r="P1221" s="8" t="s">
        <v>4170</v>
      </c>
      <c r="Q1221" s="27" t="s">
        <v>4171</v>
      </c>
      <c r="R1221" s="27" t="s">
        <v>5353</v>
      </c>
      <c r="S1221" s="28" t="n">
        <f aca="false">IFERROR(ISNUMBER(SEARCH("Conocer",$R1221))/(ISNUMBER(SEARCH("Conocer",$R1221))+ISNUMBER(SEARCH("Aplicar",$R1221))+ISNUMBER(SEARCH("Razonar",$R1221))),0)</f>
        <v>0.333333333333333</v>
      </c>
      <c r="T1221" s="28" t="n">
        <f aca="false">IFERROR(ISNUMBER(SEARCH("Aplicar",$R1221))/(ISNUMBER(SEARCH("Conocer",$R1221))+ISNUMBER(SEARCH("Aplicar",$R1221))+ISNUMBER(SEARCH("Razonar",$R1221))),0)</f>
        <v>0.333333333333333</v>
      </c>
      <c r="U1221" s="28" t="n">
        <f aca="false">IFERROR(ISNUMBER(SEARCH("Razonar",$R1221))/(ISNUMBER(SEARCH("Conocer",$R1221))+ISNUMBER(SEARCH("Aplicar",$R1221))+ISNUMBER(SEARCH("Razonar",$R1221))),0)</f>
        <v>0.333333333333333</v>
      </c>
      <c r="V1221" s="8" t="s">
        <v>387</v>
      </c>
      <c r="W1221" s="8" t="s">
        <v>4934</v>
      </c>
    </row>
    <row r="1222" customFormat="false" ht="15" hidden="false" customHeight="false" outlineLevel="0" collapsed="false">
      <c r="A1222" s="8" t="s">
        <v>5354</v>
      </c>
      <c r="B1222" s="8" t="n">
        <v>11</v>
      </c>
      <c r="C1222" s="8" t="s">
        <v>89</v>
      </c>
      <c r="D1222" s="8" t="s">
        <v>4928</v>
      </c>
      <c r="E1222" s="8" t="s">
        <v>5185</v>
      </c>
      <c r="F1222" s="8" t="n">
        <v>52</v>
      </c>
      <c r="G1222" s="8" t="s">
        <v>5340</v>
      </c>
      <c r="H1222" s="8" t="s">
        <v>5351</v>
      </c>
      <c r="I1222" s="27" t="s">
        <v>5355</v>
      </c>
      <c r="J1222" s="8" t="s">
        <v>4169</v>
      </c>
      <c r="K1222" s="8" t="s">
        <v>4170</v>
      </c>
      <c r="L1222" s="8"/>
      <c r="M1222" s="8" t="str">
        <f aca="false">IF(K1222="FUERA","Fuera del marco",IF(K1222="N/A","Sin marco",IFERROR(INDEX(Catalogo_TIMSS!$C$5:$C$105,MATCH(K1222,Catalogo_TIMSS!$A$5:$A$105,0)),"Pendiente de clasificar")))</f>
        <v>Sin marco</v>
      </c>
      <c r="N1222" s="8" t="str">
        <f aca="false">IF(K1222="FUERA","Fuera del marco",IF(K1222="N/A","Sin marco",IFERROR(INDEX(Catalogo_TIMSS!$F$5:$F$105,MATCH(K1222,Catalogo_TIMSS!$A$5:$A$105,0)),"Pendiente de clasificar")))</f>
        <v>Sin marco</v>
      </c>
      <c r="O1222" s="8" t="str">
        <f aca="false">IF(L1222="","",IFERROR(INDEX(Catalogo_TIMSS!$C$5:$C$105,MATCH(L1222,Catalogo_TIMSS!$A$5:$A$105,0)),"?"))</f>
        <v/>
      </c>
      <c r="P1222" s="8" t="s">
        <v>4170</v>
      </c>
      <c r="Q1222" s="27" t="s">
        <v>4171</v>
      </c>
      <c r="R1222" s="27" t="s">
        <v>5356</v>
      </c>
      <c r="S1222" s="28" t="n">
        <f aca="false">IFERROR(ISNUMBER(SEARCH("Conocer",$R1222))/(ISNUMBER(SEARCH("Conocer",$R1222))+ISNUMBER(SEARCH("Aplicar",$R1222))+ISNUMBER(SEARCH("Razonar",$R1222))),0)</f>
        <v>0</v>
      </c>
      <c r="T1222" s="28" t="n">
        <f aca="false">IFERROR(ISNUMBER(SEARCH("Aplicar",$R1222))/(ISNUMBER(SEARCH("Conocer",$R1222))+ISNUMBER(SEARCH("Aplicar",$R1222))+ISNUMBER(SEARCH("Razonar",$R1222))),0)</f>
        <v>0.5</v>
      </c>
      <c r="U1222" s="28" t="n">
        <f aca="false">IFERROR(ISNUMBER(SEARCH("Razonar",$R1222))/(ISNUMBER(SEARCH("Conocer",$R1222))+ISNUMBER(SEARCH("Aplicar",$R1222))+ISNUMBER(SEARCH("Razonar",$R1222))),0)</f>
        <v>0.5</v>
      </c>
      <c r="V1222" s="8" t="s">
        <v>387</v>
      </c>
      <c r="W1222" s="8" t="s">
        <v>4934</v>
      </c>
    </row>
    <row r="1223" customFormat="false" ht="15" hidden="false" customHeight="false" outlineLevel="0" collapsed="false">
      <c r="A1223" s="8" t="s">
        <v>5357</v>
      </c>
      <c r="B1223" s="8" t="n">
        <v>11</v>
      </c>
      <c r="C1223" s="8" t="s">
        <v>89</v>
      </c>
      <c r="D1223" s="8" t="s">
        <v>4928</v>
      </c>
      <c r="E1223" s="8" t="s">
        <v>5185</v>
      </c>
      <c r="F1223" s="8" t="n">
        <v>53</v>
      </c>
      <c r="G1223" s="8" t="s">
        <v>5340</v>
      </c>
      <c r="H1223" s="8" t="s">
        <v>5351</v>
      </c>
      <c r="I1223" s="27" t="s">
        <v>5358</v>
      </c>
      <c r="J1223" s="8" t="s">
        <v>4169</v>
      </c>
      <c r="K1223" s="8" t="s">
        <v>4170</v>
      </c>
      <c r="L1223" s="8"/>
      <c r="M1223" s="8" t="str">
        <f aca="false">IF(K1223="FUERA","Fuera del marco",IF(K1223="N/A","Sin marco",IFERROR(INDEX(Catalogo_TIMSS!$C$5:$C$105,MATCH(K1223,Catalogo_TIMSS!$A$5:$A$105,0)),"Pendiente de clasificar")))</f>
        <v>Sin marco</v>
      </c>
      <c r="N1223" s="8" t="str">
        <f aca="false">IF(K1223="FUERA","Fuera del marco",IF(K1223="N/A","Sin marco",IFERROR(INDEX(Catalogo_TIMSS!$F$5:$F$105,MATCH(K1223,Catalogo_TIMSS!$A$5:$A$105,0)),"Pendiente de clasificar")))</f>
        <v>Sin marco</v>
      </c>
      <c r="O1223" s="8" t="str">
        <f aca="false">IF(L1223="","",IFERROR(INDEX(Catalogo_TIMSS!$C$5:$C$105,MATCH(L1223,Catalogo_TIMSS!$A$5:$A$105,0)),"?"))</f>
        <v/>
      </c>
      <c r="P1223" s="8" t="s">
        <v>4170</v>
      </c>
      <c r="Q1223" s="27" t="s">
        <v>4171</v>
      </c>
      <c r="R1223" s="27" t="s">
        <v>5359</v>
      </c>
      <c r="S1223" s="28" t="n">
        <f aca="false">IFERROR(ISNUMBER(SEARCH("Conocer",$R1223))/(ISNUMBER(SEARCH("Conocer",$R1223))+ISNUMBER(SEARCH("Aplicar",$R1223))+ISNUMBER(SEARCH("Razonar",$R1223))),0)</f>
        <v>0.333333333333333</v>
      </c>
      <c r="T1223" s="28" t="n">
        <f aca="false">IFERROR(ISNUMBER(SEARCH("Aplicar",$R1223))/(ISNUMBER(SEARCH("Conocer",$R1223))+ISNUMBER(SEARCH("Aplicar",$R1223))+ISNUMBER(SEARCH("Razonar",$R1223))),0)</f>
        <v>0.333333333333333</v>
      </c>
      <c r="U1223" s="28" t="n">
        <f aca="false">IFERROR(ISNUMBER(SEARCH("Razonar",$R1223))/(ISNUMBER(SEARCH("Conocer",$R1223))+ISNUMBER(SEARCH("Aplicar",$R1223))+ISNUMBER(SEARCH("Razonar",$R1223))),0)</f>
        <v>0.333333333333333</v>
      </c>
      <c r="V1223" s="8" t="s">
        <v>387</v>
      </c>
      <c r="W1223" s="8" t="s">
        <v>4934</v>
      </c>
    </row>
    <row r="1224" customFormat="false" ht="15" hidden="false" customHeight="false" outlineLevel="0" collapsed="false">
      <c r="A1224" s="8" t="s">
        <v>5360</v>
      </c>
      <c r="B1224" s="8" t="n">
        <v>11</v>
      </c>
      <c r="C1224" s="8" t="s">
        <v>89</v>
      </c>
      <c r="D1224" s="8" t="s">
        <v>4928</v>
      </c>
      <c r="E1224" s="8" t="s">
        <v>5185</v>
      </c>
      <c r="F1224" s="8" t="n">
        <v>54</v>
      </c>
      <c r="G1224" s="8" t="s">
        <v>5340</v>
      </c>
      <c r="H1224" s="8" t="s">
        <v>5361</v>
      </c>
      <c r="I1224" s="27" t="s">
        <v>5362</v>
      </c>
      <c r="J1224" s="8" t="s">
        <v>4169</v>
      </c>
      <c r="K1224" s="8" t="s">
        <v>4170</v>
      </c>
      <c r="L1224" s="8"/>
      <c r="M1224" s="8" t="str">
        <f aca="false">IF(K1224="FUERA","Fuera del marco",IF(K1224="N/A","Sin marco",IFERROR(INDEX(Catalogo_TIMSS!$C$5:$C$105,MATCH(K1224,Catalogo_TIMSS!$A$5:$A$105,0)),"Pendiente de clasificar")))</f>
        <v>Sin marco</v>
      </c>
      <c r="N1224" s="8" t="str">
        <f aca="false">IF(K1224="FUERA","Fuera del marco",IF(K1224="N/A","Sin marco",IFERROR(INDEX(Catalogo_TIMSS!$F$5:$F$105,MATCH(K1224,Catalogo_TIMSS!$A$5:$A$105,0)),"Pendiente de clasificar")))</f>
        <v>Sin marco</v>
      </c>
      <c r="O1224" s="8" t="str">
        <f aca="false">IF(L1224="","",IFERROR(INDEX(Catalogo_TIMSS!$C$5:$C$105,MATCH(L1224,Catalogo_TIMSS!$A$5:$A$105,0)),"?"))</f>
        <v/>
      </c>
      <c r="P1224" s="8" t="s">
        <v>4170</v>
      </c>
      <c r="Q1224" s="27" t="s">
        <v>4171</v>
      </c>
      <c r="R1224" s="27" t="s">
        <v>5363</v>
      </c>
      <c r="S1224" s="28" t="n">
        <f aca="false">IFERROR(ISNUMBER(SEARCH("Conocer",$R1224))/(ISNUMBER(SEARCH("Conocer",$R1224))+ISNUMBER(SEARCH("Aplicar",$R1224))+ISNUMBER(SEARCH("Razonar",$R1224))),0)</f>
        <v>0.333333333333333</v>
      </c>
      <c r="T1224" s="28" t="n">
        <f aca="false">IFERROR(ISNUMBER(SEARCH("Aplicar",$R1224))/(ISNUMBER(SEARCH("Conocer",$R1224))+ISNUMBER(SEARCH("Aplicar",$R1224))+ISNUMBER(SEARCH("Razonar",$R1224))),0)</f>
        <v>0.333333333333333</v>
      </c>
      <c r="U1224" s="28" t="n">
        <f aca="false">IFERROR(ISNUMBER(SEARCH("Razonar",$R1224))/(ISNUMBER(SEARCH("Conocer",$R1224))+ISNUMBER(SEARCH("Aplicar",$R1224))+ISNUMBER(SEARCH("Razonar",$R1224))),0)</f>
        <v>0.333333333333333</v>
      </c>
      <c r="V1224" s="8" t="s">
        <v>387</v>
      </c>
      <c r="W1224" s="8" t="s">
        <v>4934</v>
      </c>
    </row>
    <row r="1225" customFormat="false" ht="15" hidden="false" customHeight="false" outlineLevel="0" collapsed="false">
      <c r="A1225" s="8" t="s">
        <v>5364</v>
      </c>
      <c r="B1225" s="8" t="n">
        <v>11</v>
      </c>
      <c r="C1225" s="8" t="s">
        <v>89</v>
      </c>
      <c r="D1225" s="8" t="s">
        <v>4928</v>
      </c>
      <c r="E1225" s="8" t="s">
        <v>5185</v>
      </c>
      <c r="F1225" s="8" t="n">
        <v>55</v>
      </c>
      <c r="G1225" s="8" t="s">
        <v>5340</v>
      </c>
      <c r="H1225" s="8" t="s">
        <v>5361</v>
      </c>
      <c r="I1225" s="27" t="s">
        <v>5365</v>
      </c>
      <c r="J1225" s="8" t="s">
        <v>4169</v>
      </c>
      <c r="K1225" s="8" t="s">
        <v>4170</v>
      </c>
      <c r="L1225" s="8"/>
      <c r="M1225" s="8" t="str">
        <f aca="false">IF(K1225="FUERA","Fuera del marco",IF(K1225="N/A","Sin marco",IFERROR(INDEX(Catalogo_TIMSS!$C$5:$C$105,MATCH(K1225,Catalogo_TIMSS!$A$5:$A$105,0)),"Pendiente de clasificar")))</f>
        <v>Sin marco</v>
      </c>
      <c r="N1225" s="8" t="str">
        <f aca="false">IF(K1225="FUERA","Fuera del marco",IF(K1225="N/A","Sin marco",IFERROR(INDEX(Catalogo_TIMSS!$F$5:$F$105,MATCH(K1225,Catalogo_TIMSS!$A$5:$A$105,0)),"Pendiente de clasificar")))</f>
        <v>Sin marco</v>
      </c>
      <c r="O1225" s="8" t="str">
        <f aca="false">IF(L1225="","",IFERROR(INDEX(Catalogo_TIMSS!$C$5:$C$105,MATCH(L1225,Catalogo_TIMSS!$A$5:$A$105,0)),"?"))</f>
        <v/>
      </c>
      <c r="P1225" s="8" t="s">
        <v>4170</v>
      </c>
      <c r="Q1225" s="27" t="s">
        <v>4171</v>
      </c>
      <c r="R1225" s="27" t="s">
        <v>5366</v>
      </c>
      <c r="S1225" s="28" t="n">
        <f aca="false">IFERROR(ISNUMBER(SEARCH("Conocer",$R1225))/(ISNUMBER(SEARCH("Conocer",$R1225))+ISNUMBER(SEARCH("Aplicar",$R1225))+ISNUMBER(SEARCH("Razonar",$R1225))),0)</f>
        <v>0</v>
      </c>
      <c r="T1225" s="28" t="n">
        <f aca="false">IFERROR(ISNUMBER(SEARCH("Aplicar",$R1225))/(ISNUMBER(SEARCH("Conocer",$R1225))+ISNUMBER(SEARCH("Aplicar",$R1225))+ISNUMBER(SEARCH("Razonar",$R1225))),0)</f>
        <v>0.5</v>
      </c>
      <c r="U1225" s="28" t="n">
        <f aca="false">IFERROR(ISNUMBER(SEARCH("Razonar",$R1225))/(ISNUMBER(SEARCH("Conocer",$R1225))+ISNUMBER(SEARCH("Aplicar",$R1225))+ISNUMBER(SEARCH("Razonar",$R1225))),0)</f>
        <v>0.5</v>
      </c>
      <c r="V1225" s="8" t="s">
        <v>387</v>
      </c>
      <c r="W1225" s="8" t="s">
        <v>4934</v>
      </c>
    </row>
    <row r="1226" customFormat="false" ht="15" hidden="false" customHeight="false" outlineLevel="0" collapsed="false">
      <c r="A1226" s="8" t="s">
        <v>5367</v>
      </c>
      <c r="B1226" s="8" t="n">
        <v>11</v>
      </c>
      <c r="C1226" s="8" t="s">
        <v>89</v>
      </c>
      <c r="D1226" s="8" t="s">
        <v>4928</v>
      </c>
      <c r="E1226" s="8" t="s">
        <v>5185</v>
      </c>
      <c r="F1226" s="8" t="n">
        <v>56</v>
      </c>
      <c r="G1226" s="8" t="s">
        <v>5340</v>
      </c>
      <c r="H1226" s="8" t="s">
        <v>5361</v>
      </c>
      <c r="I1226" s="27" t="s">
        <v>5368</v>
      </c>
      <c r="J1226" s="8" t="s">
        <v>4169</v>
      </c>
      <c r="K1226" s="8" t="s">
        <v>4170</v>
      </c>
      <c r="L1226" s="8"/>
      <c r="M1226" s="8" t="str">
        <f aca="false">IF(K1226="FUERA","Fuera del marco",IF(K1226="N/A","Sin marco",IFERROR(INDEX(Catalogo_TIMSS!$C$5:$C$105,MATCH(K1226,Catalogo_TIMSS!$A$5:$A$105,0)),"Pendiente de clasificar")))</f>
        <v>Sin marco</v>
      </c>
      <c r="N1226" s="8" t="str">
        <f aca="false">IF(K1226="FUERA","Fuera del marco",IF(K1226="N/A","Sin marco",IFERROR(INDEX(Catalogo_TIMSS!$F$5:$F$105,MATCH(K1226,Catalogo_TIMSS!$A$5:$A$105,0)),"Pendiente de clasificar")))</f>
        <v>Sin marco</v>
      </c>
      <c r="O1226" s="8" t="str">
        <f aca="false">IF(L1226="","",IFERROR(INDEX(Catalogo_TIMSS!$C$5:$C$105,MATCH(L1226,Catalogo_TIMSS!$A$5:$A$105,0)),"?"))</f>
        <v/>
      </c>
      <c r="P1226" s="8" t="s">
        <v>4170</v>
      </c>
      <c r="Q1226" s="27" t="s">
        <v>4171</v>
      </c>
      <c r="R1226" s="27" t="s">
        <v>5369</v>
      </c>
      <c r="S1226" s="28" t="n">
        <f aca="false">IFERROR(ISNUMBER(SEARCH("Conocer",$R1226))/(ISNUMBER(SEARCH("Conocer",$R1226))+ISNUMBER(SEARCH("Aplicar",$R1226))+ISNUMBER(SEARCH("Razonar",$R1226))),0)</f>
        <v>0.5</v>
      </c>
      <c r="T1226" s="28" t="n">
        <f aca="false">IFERROR(ISNUMBER(SEARCH("Aplicar",$R1226))/(ISNUMBER(SEARCH("Conocer",$R1226))+ISNUMBER(SEARCH("Aplicar",$R1226))+ISNUMBER(SEARCH("Razonar",$R1226))),0)</f>
        <v>0</v>
      </c>
      <c r="U1226" s="28" t="n">
        <f aca="false">IFERROR(ISNUMBER(SEARCH("Razonar",$R1226))/(ISNUMBER(SEARCH("Conocer",$R1226))+ISNUMBER(SEARCH("Aplicar",$R1226))+ISNUMBER(SEARCH("Razonar",$R1226))),0)</f>
        <v>0.5</v>
      </c>
      <c r="V1226" s="8" t="s">
        <v>387</v>
      </c>
      <c r="W1226" s="8" t="s">
        <v>4934</v>
      </c>
    </row>
    <row r="1227" customFormat="false" ht="15" hidden="false" customHeight="false" outlineLevel="0" collapsed="false">
      <c r="A1227" s="8" t="s">
        <v>5370</v>
      </c>
      <c r="B1227" s="8" t="n">
        <v>11</v>
      </c>
      <c r="C1227" s="8" t="s">
        <v>89</v>
      </c>
      <c r="D1227" s="8" t="s">
        <v>4928</v>
      </c>
      <c r="E1227" s="8" t="s">
        <v>5185</v>
      </c>
      <c r="F1227" s="8" t="n">
        <v>57</v>
      </c>
      <c r="G1227" s="8" t="s">
        <v>5340</v>
      </c>
      <c r="H1227" s="8" t="s">
        <v>5371</v>
      </c>
      <c r="I1227" s="27" t="s">
        <v>5372</v>
      </c>
      <c r="J1227" s="8" t="s">
        <v>4169</v>
      </c>
      <c r="K1227" s="8" t="s">
        <v>4170</v>
      </c>
      <c r="L1227" s="8"/>
      <c r="M1227" s="8" t="str">
        <f aca="false">IF(K1227="FUERA","Fuera del marco",IF(K1227="N/A","Sin marco",IFERROR(INDEX(Catalogo_TIMSS!$C$5:$C$105,MATCH(K1227,Catalogo_TIMSS!$A$5:$A$105,0)),"Pendiente de clasificar")))</f>
        <v>Sin marco</v>
      </c>
      <c r="N1227" s="8" t="str">
        <f aca="false">IF(K1227="FUERA","Fuera del marco",IF(K1227="N/A","Sin marco",IFERROR(INDEX(Catalogo_TIMSS!$F$5:$F$105,MATCH(K1227,Catalogo_TIMSS!$A$5:$A$105,0)),"Pendiente de clasificar")))</f>
        <v>Sin marco</v>
      </c>
      <c r="O1227" s="8" t="str">
        <f aca="false">IF(L1227="","",IFERROR(INDEX(Catalogo_TIMSS!$C$5:$C$105,MATCH(L1227,Catalogo_TIMSS!$A$5:$A$105,0)),"?"))</f>
        <v/>
      </c>
      <c r="P1227" s="8" t="s">
        <v>4170</v>
      </c>
      <c r="Q1227" s="27" t="s">
        <v>4171</v>
      </c>
      <c r="R1227" s="27" t="s">
        <v>5373</v>
      </c>
      <c r="S1227" s="28" t="n">
        <f aca="false">IFERROR(ISNUMBER(SEARCH("Conocer",$R1227))/(ISNUMBER(SEARCH("Conocer",$R1227))+ISNUMBER(SEARCH("Aplicar",$R1227))+ISNUMBER(SEARCH("Razonar",$R1227))),0)</f>
        <v>0</v>
      </c>
      <c r="T1227" s="28" t="n">
        <f aca="false">IFERROR(ISNUMBER(SEARCH("Aplicar",$R1227))/(ISNUMBER(SEARCH("Conocer",$R1227))+ISNUMBER(SEARCH("Aplicar",$R1227))+ISNUMBER(SEARCH("Razonar",$R1227))),0)</f>
        <v>0.5</v>
      </c>
      <c r="U1227" s="28" t="n">
        <f aca="false">IFERROR(ISNUMBER(SEARCH("Razonar",$R1227))/(ISNUMBER(SEARCH("Conocer",$R1227))+ISNUMBER(SEARCH("Aplicar",$R1227))+ISNUMBER(SEARCH("Razonar",$R1227))),0)</f>
        <v>0.5</v>
      </c>
      <c r="V1227" s="8" t="s">
        <v>387</v>
      </c>
      <c r="W1227" s="8" t="s">
        <v>4934</v>
      </c>
    </row>
    <row r="1228" customFormat="false" ht="15" hidden="false" customHeight="false" outlineLevel="0" collapsed="false">
      <c r="A1228" s="8" t="s">
        <v>5374</v>
      </c>
      <c r="B1228" s="8" t="n">
        <v>11</v>
      </c>
      <c r="C1228" s="8" t="s">
        <v>89</v>
      </c>
      <c r="D1228" s="8" t="s">
        <v>4928</v>
      </c>
      <c r="E1228" s="8" t="s">
        <v>5185</v>
      </c>
      <c r="F1228" s="8" t="n">
        <v>58</v>
      </c>
      <c r="G1228" s="8" t="s">
        <v>5340</v>
      </c>
      <c r="H1228" s="8" t="s">
        <v>5371</v>
      </c>
      <c r="I1228" s="27" t="s">
        <v>5375</v>
      </c>
      <c r="J1228" s="8" t="s">
        <v>4169</v>
      </c>
      <c r="K1228" s="8" t="s">
        <v>4170</v>
      </c>
      <c r="L1228" s="8"/>
      <c r="M1228" s="8" t="str">
        <f aca="false">IF(K1228="FUERA","Fuera del marco",IF(K1228="N/A","Sin marco",IFERROR(INDEX(Catalogo_TIMSS!$C$5:$C$105,MATCH(K1228,Catalogo_TIMSS!$A$5:$A$105,0)),"Pendiente de clasificar")))</f>
        <v>Sin marco</v>
      </c>
      <c r="N1228" s="8" t="str">
        <f aca="false">IF(K1228="FUERA","Fuera del marco",IF(K1228="N/A","Sin marco",IFERROR(INDEX(Catalogo_TIMSS!$F$5:$F$105,MATCH(K1228,Catalogo_TIMSS!$A$5:$A$105,0)),"Pendiente de clasificar")))</f>
        <v>Sin marco</v>
      </c>
      <c r="O1228" s="8" t="str">
        <f aca="false">IF(L1228="","",IFERROR(INDEX(Catalogo_TIMSS!$C$5:$C$105,MATCH(L1228,Catalogo_TIMSS!$A$5:$A$105,0)),"?"))</f>
        <v/>
      </c>
      <c r="P1228" s="8" t="s">
        <v>4170</v>
      </c>
      <c r="Q1228" s="27" t="s">
        <v>4171</v>
      </c>
      <c r="R1228" s="27" t="s">
        <v>5376</v>
      </c>
      <c r="S1228" s="28" t="n">
        <f aca="false">IFERROR(ISNUMBER(SEARCH("Conocer",$R1228))/(ISNUMBER(SEARCH("Conocer",$R1228))+ISNUMBER(SEARCH("Aplicar",$R1228))+ISNUMBER(SEARCH("Razonar",$R1228))),0)</f>
        <v>0.5</v>
      </c>
      <c r="T1228" s="28" t="n">
        <f aca="false">IFERROR(ISNUMBER(SEARCH("Aplicar",$R1228))/(ISNUMBER(SEARCH("Conocer",$R1228))+ISNUMBER(SEARCH("Aplicar",$R1228))+ISNUMBER(SEARCH("Razonar",$R1228))),0)</f>
        <v>0</v>
      </c>
      <c r="U1228" s="28" t="n">
        <f aca="false">IFERROR(ISNUMBER(SEARCH("Razonar",$R1228))/(ISNUMBER(SEARCH("Conocer",$R1228))+ISNUMBER(SEARCH("Aplicar",$R1228))+ISNUMBER(SEARCH("Razonar",$R1228))),0)</f>
        <v>0.5</v>
      </c>
      <c r="V1228" s="8" t="s">
        <v>387</v>
      </c>
      <c r="W1228" s="8" t="s">
        <v>4934</v>
      </c>
    </row>
    <row r="1229" customFormat="false" ht="15" hidden="false" customHeight="false" outlineLevel="0" collapsed="false">
      <c r="A1229" s="8" t="s">
        <v>5377</v>
      </c>
      <c r="B1229" s="8" t="n">
        <v>11</v>
      </c>
      <c r="C1229" s="8" t="s">
        <v>89</v>
      </c>
      <c r="D1229" s="8" t="s">
        <v>4928</v>
      </c>
      <c r="E1229" s="8" t="s">
        <v>5185</v>
      </c>
      <c r="F1229" s="8" t="n">
        <v>59</v>
      </c>
      <c r="G1229" s="8" t="s">
        <v>5340</v>
      </c>
      <c r="H1229" s="8" t="s">
        <v>5371</v>
      </c>
      <c r="I1229" s="27" t="s">
        <v>5378</v>
      </c>
      <c r="J1229" s="8" t="s">
        <v>4169</v>
      </c>
      <c r="K1229" s="8" t="s">
        <v>4170</v>
      </c>
      <c r="L1229" s="8"/>
      <c r="M1229" s="8" t="str">
        <f aca="false">IF(K1229="FUERA","Fuera del marco",IF(K1229="N/A","Sin marco",IFERROR(INDEX(Catalogo_TIMSS!$C$5:$C$105,MATCH(K1229,Catalogo_TIMSS!$A$5:$A$105,0)),"Pendiente de clasificar")))</f>
        <v>Sin marco</v>
      </c>
      <c r="N1229" s="8" t="str">
        <f aca="false">IF(K1229="FUERA","Fuera del marco",IF(K1229="N/A","Sin marco",IFERROR(INDEX(Catalogo_TIMSS!$F$5:$F$105,MATCH(K1229,Catalogo_TIMSS!$A$5:$A$105,0)),"Pendiente de clasificar")))</f>
        <v>Sin marco</v>
      </c>
      <c r="O1229" s="8" t="str">
        <f aca="false">IF(L1229="","",IFERROR(INDEX(Catalogo_TIMSS!$C$5:$C$105,MATCH(L1229,Catalogo_TIMSS!$A$5:$A$105,0)),"?"))</f>
        <v/>
      </c>
      <c r="P1229" s="8" t="s">
        <v>4170</v>
      </c>
      <c r="Q1229" s="27" t="s">
        <v>4171</v>
      </c>
      <c r="R1229" s="27" t="s">
        <v>5379</v>
      </c>
      <c r="S1229" s="28" t="n">
        <f aca="false">IFERROR(ISNUMBER(SEARCH("Conocer",$R1229))/(ISNUMBER(SEARCH("Conocer",$R1229))+ISNUMBER(SEARCH("Aplicar",$R1229))+ISNUMBER(SEARCH("Razonar",$R1229))),0)</f>
        <v>0</v>
      </c>
      <c r="T1229" s="28" t="n">
        <f aca="false">IFERROR(ISNUMBER(SEARCH("Aplicar",$R1229))/(ISNUMBER(SEARCH("Conocer",$R1229))+ISNUMBER(SEARCH("Aplicar",$R1229))+ISNUMBER(SEARCH("Razonar",$R1229))),0)</f>
        <v>0.5</v>
      </c>
      <c r="U1229" s="28" t="n">
        <f aca="false">IFERROR(ISNUMBER(SEARCH("Razonar",$R1229))/(ISNUMBER(SEARCH("Conocer",$R1229))+ISNUMBER(SEARCH("Aplicar",$R1229))+ISNUMBER(SEARCH("Razonar",$R1229))),0)</f>
        <v>0.5</v>
      </c>
      <c r="V1229" s="8" t="s">
        <v>387</v>
      </c>
      <c r="W1229" s="8" t="s">
        <v>4934</v>
      </c>
    </row>
    <row r="1230" customFormat="false" ht="15" hidden="false" customHeight="false" outlineLevel="0" collapsed="false">
      <c r="A1230" s="8" t="s">
        <v>5380</v>
      </c>
      <c r="B1230" s="8" t="n">
        <v>11</v>
      </c>
      <c r="C1230" s="8" t="s">
        <v>89</v>
      </c>
      <c r="D1230" s="8" t="s">
        <v>4928</v>
      </c>
      <c r="E1230" s="8" t="s">
        <v>5185</v>
      </c>
      <c r="F1230" s="8" t="n">
        <v>60</v>
      </c>
      <c r="G1230" s="8" t="s">
        <v>5340</v>
      </c>
      <c r="H1230" s="8" t="s">
        <v>5381</v>
      </c>
      <c r="I1230" s="27" t="s">
        <v>5382</v>
      </c>
      <c r="J1230" s="8" t="s">
        <v>4169</v>
      </c>
      <c r="K1230" s="8" t="s">
        <v>4170</v>
      </c>
      <c r="L1230" s="8"/>
      <c r="M1230" s="8" t="str">
        <f aca="false">IF(K1230="FUERA","Fuera del marco",IF(K1230="N/A","Sin marco",IFERROR(INDEX(Catalogo_TIMSS!$C$5:$C$105,MATCH(K1230,Catalogo_TIMSS!$A$5:$A$105,0)),"Pendiente de clasificar")))</f>
        <v>Sin marco</v>
      </c>
      <c r="N1230" s="8" t="str">
        <f aca="false">IF(K1230="FUERA","Fuera del marco",IF(K1230="N/A","Sin marco",IFERROR(INDEX(Catalogo_TIMSS!$F$5:$F$105,MATCH(K1230,Catalogo_TIMSS!$A$5:$A$105,0)),"Pendiente de clasificar")))</f>
        <v>Sin marco</v>
      </c>
      <c r="O1230" s="8" t="str">
        <f aca="false">IF(L1230="","",IFERROR(INDEX(Catalogo_TIMSS!$C$5:$C$105,MATCH(L1230,Catalogo_TIMSS!$A$5:$A$105,0)),"?"))</f>
        <v/>
      </c>
      <c r="P1230" s="8" t="s">
        <v>4170</v>
      </c>
      <c r="Q1230" s="27" t="s">
        <v>4171</v>
      </c>
      <c r="R1230" s="27" t="s">
        <v>5383</v>
      </c>
      <c r="S1230" s="28" t="n">
        <f aca="false">IFERROR(ISNUMBER(SEARCH("Conocer",$R1230))/(ISNUMBER(SEARCH("Conocer",$R1230))+ISNUMBER(SEARCH("Aplicar",$R1230))+ISNUMBER(SEARCH("Razonar",$R1230))),0)</f>
        <v>0.5</v>
      </c>
      <c r="T1230" s="28" t="n">
        <f aca="false">IFERROR(ISNUMBER(SEARCH("Aplicar",$R1230))/(ISNUMBER(SEARCH("Conocer",$R1230))+ISNUMBER(SEARCH("Aplicar",$R1230))+ISNUMBER(SEARCH("Razonar",$R1230))),0)</f>
        <v>0.5</v>
      </c>
      <c r="U1230" s="28" t="n">
        <f aca="false">IFERROR(ISNUMBER(SEARCH("Razonar",$R1230))/(ISNUMBER(SEARCH("Conocer",$R1230))+ISNUMBER(SEARCH("Aplicar",$R1230))+ISNUMBER(SEARCH("Razonar",$R1230))),0)</f>
        <v>0</v>
      </c>
      <c r="V1230" s="8" t="s">
        <v>387</v>
      </c>
      <c r="W1230" s="8" t="s">
        <v>4934</v>
      </c>
    </row>
    <row r="1231" customFormat="false" ht="15" hidden="false" customHeight="false" outlineLevel="0" collapsed="false">
      <c r="A1231" s="8" t="s">
        <v>5384</v>
      </c>
      <c r="B1231" s="8" t="n">
        <v>11</v>
      </c>
      <c r="C1231" s="8" t="s">
        <v>89</v>
      </c>
      <c r="D1231" s="8" t="s">
        <v>4928</v>
      </c>
      <c r="E1231" s="8" t="s">
        <v>5185</v>
      </c>
      <c r="F1231" s="8" t="n">
        <v>61</v>
      </c>
      <c r="G1231" s="8" t="s">
        <v>5340</v>
      </c>
      <c r="H1231" s="8" t="s">
        <v>5381</v>
      </c>
      <c r="I1231" s="27" t="s">
        <v>5385</v>
      </c>
      <c r="J1231" s="8" t="s">
        <v>4169</v>
      </c>
      <c r="K1231" s="8" t="s">
        <v>4170</v>
      </c>
      <c r="L1231" s="8"/>
      <c r="M1231" s="8" t="str">
        <f aca="false">IF(K1231="FUERA","Fuera del marco",IF(K1231="N/A","Sin marco",IFERROR(INDEX(Catalogo_TIMSS!$C$5:$C$105,MATCH(K1231,Catalogo_TIMSS!$A$5:$A$105,0)),"Pendiente de clasificar")))</f>
        <v>Sin marco</v>
      </c>
      <c r="N1231" s="8" t="str">
        <f aca="false">IF(K1231="FUERA","Fuera del marco",IF(K1231="N/A","Sin marco",IFERROR(INDEX(Catalogo_TIMSS!$F$5:$F$105,MATCH(K1231,Catalogo_TIMSS!$A$5:$A$105,0)),"Pendiente de clasificar")))</f>
        <v>Sin marco</v>
      </c>
      <c r="O1231" s="8" t="str">
        <f aca="false">IF(L1231="","",IFERROR(INDEX(Catalogo_TIMSS!$C$5:$C$105,MATCH(L1231,Catalogo_TIMSS!$A$5:$A$105,0)),"?"))</f>
        <v/>
      </c>
      <c r="P1231" s="8" t="s">
        <v>4170</v>
      </c>
      <c r="Q1231" s="27" t="s">
        <v>4171</v>
      </c>
      <c r="R1231" s="27" t="s">
        <v>5386</v>
      </c>
      <c r="S1231" s="28" t="n">
        <f aca="false">IFERROR(ISNUMBER(SEARCH("Conocer",$R1231))/(ISNUMBER(SEARCH("Conocer",$R1231))+ISNUMBER(SEARCH("Aplicar",$R1231))+ISNUMBER(SEARCH("Razonar",$R1231))),0)</f>
        <v>0</v>
      </c>
      <c r="T1231" s="28" t="n">
        <f aca="false">IFERROR(ISNUMBER(SEARCH("Aplicar",$R1231))/(ISNUMBER(SEARCH("Conocer",$R1231))+ISNUMBER(SEARCH("Aplicar",$R1231))+ISNUMBER(SEARCH("Razonar",$R1231))),0)</f>
        <v>0.5</v>
      </c>
      <c r="U1231" s="28" t="n">
        <f aca="false">IFERROR(ISNUMBER(SEARCH("Razonar",$R1231))/(ISNUMBER(SEARCH("Conocer",$R1231))+ISNUMBER(SEARCH("Aplicar",$R1231))+ISNUMBER(SEARCH("Razonar",$R1231))),0)</f>
        <v>0.5</v>
      </c>
      <c r="V1231" s="8" t="s">
        <v>387</v>
      </c>
      <c r="W1231" s="8" t="s">
        <v>4934</v>
      </c>
    </row>
    <row r="1232" customFormat="false" ht="15" hidden="false" customHeight="false" outlineLevel="0" collapsed="false">
      <c r="A1232" s="8" t="s">
        <v>5387</v>
      </c>
      <c r="B1232" s="8" t="n">
        <v>11</v>
      </c>
      <c r="C1232" s="8" t="s">
        <v>89</v>
      </c>
      <c r="D1232" s="8" t="s">
        <v>4928</v>
      </c>
      <c r="E1232" s="8" t="s">
        <v>5185</v>
      </c>
      <c r="F1232" s="8" t="n">
        <v>62</v>
      </c>
      <c r="G1232" s="8" t="s">
        <v>5340</v>
      </c>
      <c r="H1232" s="8" t="s">
        <v>5381</v>
      </c>
      <c r="I1232" s="27" t="s">
        <v>5388</v>
      </c>
      <c r="J1232" s="8" t="s">
        <v>4169</v>
      </c>
      <c r="K1232" s="8" t="s">
        <v>4170</v>
      </c>
      <c r="L1232" s="8"/>
      <c r="M1232" s="8" t="str">
        <f aca="false">IF(K1232="FUERA","Fuera del marco",IF(K1232="N/A","Sin marco",IFERROR(INDEX(Catalogo_TIMSS!$C$5:$C$105,MATCH(K1232,Catalogo_TIMSS!$A$5:$A$105,0)),"Pendiente de clasificar")))</f>
        <v>Sin marco</v>
      </c>
      <c r="N1232" s="8" t="str">
        <f aca="false">IF(K1232="FUERA","Fuera del marco",IF(K1232="N/A","Sin marco",IFERROR(INDEX(Catalogo_TIMSS!$F$5:$F$105,MATCH(K1232,Catalogo_TIMSS!$A$5:$A$105,0)),"Pendiente de clasificar")))</f>
        <v>Sin marco</v>
      </c>
      <c r="O1232" s="8" t="str">
        <f aca="false">IF(L1232="","",IFERROR(INDEX(Catalogo_TIMSS!$C$5:$C$105,MATCH(L1232,Catalogo_TIMSS!$A$5:$A$105,0)),"?"))</f>
        <v/>
      </c>
      <c r="P1232" s="8" t="s">
        <v>4170</v>
      </c>
      <c r="Q1232" s="27" t="s">
        <v>4171</v>
      </c>
      <c r="R1232" s="27" t="s">
        <v>5389</v>
      </c>
      <c r="S1232" s="28" t="n">
        <f aca="false">IFERROR(ISNUMBER(SEARCH("Conocer",$R1232))/(ISNUMBER(SEARCH("Conocer",$R1232))+ISNUMBER(SEARCH("Aplicar",$R1232))+ISNUMBER(SEARCH("Razonar",$R1232))),0)</f>
        <v>0</v>
      </c>
      <c r="T1232" s="28" t="n">
        <f aca="false">IFERROR(ISNUMBER(SEARCH("Aplicar",$R1232))/(ISNUMBER(SEARCH("Conocer",$R1232))+ISNUMBER(SEARCH("Aplicar",$R1232))+ISNUMBER(SEARCH("Razonar",$R1232))),0)</f>
        <v>0.5</v>
      </c>
      <c r="U1232" s="28" t="n">
        <f aca="false">IFERROR(ISNUMBER(SEARCH("Razonar",$R1232))/(ISNUMBER(SEARCH("Conocer",$R1232))+ISNUMBER(SEARCH("Aplicar",$R1232))+ISNUMBER(SEARCH("Razonar",$R1232))),0)</f>
        <v>0.5</v>
      </c>
      <c r="V1232" s="8" t="s">
        <v>387</v>
      </c>
      <c r="W1232" s="8" t="s">
        <v>4934</v>
      </c>
    </row>
    <row r="1233" customFormat="false" ht="15" hidden="false" customHeight="false" outlineLevel="0" collapsed="false">
      <c r="A1233" s="8" t="s">
        <v>5390</v>
      </c>
      <c r="B1233" s="8" t="n">
        <v>11</v>
      </c>
      <c r="C1233" s="8" t="s">
        <v>89</v>
      </c>
      <c r="D1233" s="8" t="s">
        <v>4928</v>
      </c>
      <c r="E1233" s="8" t="s">
        <v>5185</v>
      </c>
      <c r="F1233" s="8" t="n">
        <v>63</v>
      </c>
      <c r="G1233" s="8" t="s">
        <v>5391</v>
      </c>
      <c r="H1233" s="8" t="s">
        <v>5392</v>
      </c>
      <c r="I1233" s="27" t="s">
        <v>5393</v>
      </c>
      <c r="J1233" s="8" t="s">
        <v>4169</v>
      </c>
      <c r="K1233" s="8" t="s">
        <v>4170</v>
      </c>
      <c r="L1233" s="8"/>
      <c r="M1233" s="8" t="str">
        <f aca="false">IF(K1233="FUERA","Fuera del marco",IF(K1233="N/A","Sin marco",IFERROR(INDEX(Catalogo_TIMSS!$C$5:$C$105,MATCH(K1233,Catalogo_TIMSS!$A$5:$A$105,0)),"Pendiente de clasificar")))</f>
        <v>Sin marco</v>
      </c>
      <c r="N1233" s="8" t="str">
        <f aca="false">IF(K1233="FUERA","Fuera del marco",IF(K1233="N/A","Sin marco",IFERROR(INDEX(Catalogo_TIMSS!$F$5:$F$105,MATCH(K1233,Catalogo_TIMSS!$A$5:$A$105,0)),"Pendiente de clasificar")))</f>
        <v>Sin marco</v>
      </c>
      <c r="O1233" s="8" t="str">
        <f aca="false">IF(L1233="","",IFERROR(INDEX(Catalogo_TIMSS!$C$5:$C$105,MATCH(L1233,Catalogo_TIMSS!$A$5:$A$105,0)),"?"))</f>
        <v/>
      </c>
      <c r="P1233" s="8" t="s">
        <v>4170</v>
      </c>
      <c r="Q1233" s="27" t="s">
        <v>4171</v>
      </c>
      <c r="R1233" s="27" t="s">
        <v>5394</v>
      </c>
      <c r="S1233" s="28" t="n">
        <f aca="false">IFERROR(ISNUMBER(SEARCH("Conocer",$R1233))/(ISNUMBER(SEARCH("Conocer",$R1233))+ISNUMBER(SEARCH("Aplicar",$R1233))+ISNUMBER(SEARCH("Razonar",$R1233))),0)</f>
        <v>0</v>
      </c>
      <c r="T1233" s="28" t="n">
        <f aca="false">IFERROR(ISNUMBER(SEARCH("Aplicar",$R1233))/(ISNUMBER(SEARCH("Conocer",$R1233))+ISNUMBER(SEARCH("Aplicar",$R1233))+ISNUMBER(SEARCH("Razonar",$R1233))),0)</f>
        <v>0.5</v>
      </c>
      <c r="U1233" s="28" t="n">
        <f aca="false">IFERROR(ISNUMBER(SEARCH("Razonar",$R1233))/(ISNUMBER(SEARCH("Conocer",$R1233))+ISNUMBER(SEARCH("Aplicar",$R1233))+ISNUMBER(SEARCH("Razonar",$R1233))),0)</f>
        <v>0.5</v>
      </c>
      <c r="V1233" s="8" t="s">
        <v>387</v>
      </c>
      <c r="W1233" s="8" t="s">
        <v>4934</v>
      </c>
    </row>
    <row r="1234" customFormat="false" ht="15" hidden="false" customHeight="false" outlineLevel="0" collapsed="false">
      <c r="A1234" s="8" t="s">
        <v>5395</v>
      </c>
      <c r="B1234" s="8" t="n">
        <v>11</v>
      </c>
      <c r="C1234" s="8" t="s">
        <v>89</v>
      </c>
      <c r="D1234" s="8" t="s">
        <v>4928</v>
      </c>
      <c r="E1234" s="8" t="s">
        <v>5185</v>
      </c>
      <c r="F1234" s="8" t="n">
        <v>64</v>
      </c>
      <c r="G1234" s="8" t="s">
        <v>5391</v>
      </c>
      <c r="H1234" s="8" t="s">
        <v>5392</v>
      </c>
      <c r="I1234" s="27" t="s">
        <v>5396</v>
      </c>
      <c r="J1234" s="8" t="s">
        <v>4169</v>
      </c>
      <c r="K1234" s="8" t="s">
        <v>4170</v>
      </c>
      <c r="L1234" s="8"/>
      <c r="M1234" s="8" t="str">
        <f aca="false">IF(K1234="FUERA","Fuera del marco",IF(K1234="N/A","Sin marco",IFERROR(INDEX(Catalogo_TIMSS!$C$5:$C$105,MATCH(K1234,Catalogo_TIMSS!$A$5:$A$105,0)),"Pendiente de clasificar")))</f>
        <v>Sin marco</v>
      </c>
      <c r="N1234" s="8" t="str">
        <f aca="false">IF(K1234="FUERA","Fuera del marco",IF(K1234="N/A","Sin marco",IFERROR(INDEX(Catalogo_TIMSS!$F$5:$F$105,MATCH(K1234,Catalogo_TIMSS!$A$5:$A$105,0)),"Pendiente de clasificar")))</f>
        <v>Sin marco</v>
      </c>
      <c r="O1234" s="8" t="str">
        <f aca="false">IF(L1234="","",IFERROR(INDEX(Catalogo_TIMSS!$C$5:$C$105,MATCH(L1234,Catalogo_TIMSS!$A$5:$A$105,0)),"?"))</f>
        <v/>
      </c>
      <c r="P1234" s="8" t="s">
        <v>4170</v>
      </c>
      <c r="Q1234" s="27" t="s">
        <v>4171</v>
      </c>
      <c r="R1234" s="27" t="s">
        <v>5397</v>
      </c>
      <c r="S1234" s="28" t="n">
        <f aca="false">IFERROR(ISNUMBER(SEARCH("Conocer",$R1234))/(ISNUMBER(SEARCH("Conocer",$R1234))+ISNUMBER(SEARCH("Aplicar",$R1234))+ISNUMBER(SEARCH("Razonar",$R1234))),0)</f>
        <v>0</v>
      </c>
      <c r="T1234" s="28" t="n">
        <f aca="false">IFERROR(ISNUMBER(SEARCH("Aplicar",$R1234))/(ISNUMBER(SEARCH("Conocer",$R1234))+ISNUMBER(SEARCH("Aplicar",$R1234))+ISNUMBER(SEARCH("Razonar",$R1234))),0)</f>
        <v>0.5</v>
      </c>
      <c r="U1234" s="28" t="n">
        <f aca="false">IFERROR(ISNUMBER(SEARCH("Razonar",$R1234))/(ISNUMBER(SEARCH("Conocer",$R1234))+ISNUMBER(SEARCH("Aplicar",$R1234))+ISNUMBER(SEARCH("Razonar",$R1234))),0)</f>
        <v>0.5</v>
      </c>
      <c r="V1234" s="8" t="s">
        <v>387</v>
      </c>
      <c r="W1234" s="8" t="s">
        <v>4934</v>
      </c>
    </row>
    <row r="1235" customFormat="false" ht="15" hidden="false" customHeight="false" outlineLevel="0" collapsed="false">
      <c r="A1235" s="8" t="s">
        <v>5398</v>
      </c>
      <c r="B1235" s="8" t="n">
        <v>11</v>
      </c>
      <c r="C1235" s="8" t="s">
        <v>89</v>
      </c>
      <c r="D1235" s="8" t="s">
        <v>4928</v>
      </c>
      <c r="E1235" s="8" t="s">
        <v>5185</v>
      </c>
      <c r="F1235" s="8" t="n">
        <v>65</v>
      </c>
      <c r="G1235" s="8" t="s">
        <v>5391</v>
      </c>
      <c r="H1235" s="8" t="s">
        <v>5392</v>
      </c>
      <c r="I1235" s="27" t="s">
        <v>5399</v>
      </c>
      <c r="J1235" s="8" t="s">
        <v>4169</v>
      </c>
      <c r="K1235" s="8" t="s">
        <v>4170</v>
      </c>
      <c r="L1235" s="8"/>
      <c r="M1235" s="8" t="str">
        <f aca="false">IF(K1235="FUERA","Fuera del marco",IF(K1235="N/A","Sin marco",IFERROR(INDEX(Catalogo_TIMSS!$C$5:$C$105,MATCH(K1235,Catalogo_TIMSS!$A$5:$A$105,0)),"Pendiente de clasificar")))</f>
        <v>Sin marco</v>
      </c>
      <c r="N1235" s="8" t="str">
        <f aca="false">IF(K1235="FUERA","Fuera del marco",IF(K1235="N/A","Sin marco",IFERROR(INDEX(Catalogo_TIMSS!$F$5:$F$105,MATCH(K1235,Catalogo_TIMSS!$A$5:$A$105,0)),"Pendiente de clasificar")))</f>
        <v>Sin marco</v>
      </c>
      <c r="O1235" s="8" t="str">
        <f aca="false">IF(L1235="","",IFERROR(INDEX(Catalogo_TIMSS!$C$5:$C$105,MATCH(L1235,Catalogo_TIMSS!$A$5:$A$105,0)),"?"))</f>
        <v/>
      </c>
      <c r="P1235" s="8" t="s">
        <v>4170</v>
      </c>
      <c r="Q1235" s="27" t="s">
        <v>4171</v>
      </c>
      <c r="R1235" s="27" t="s">
        <v>5400</v>
      </c>
      <c r="S1235" s="28" t="n">
        <f aca="false">IFERROR(ISNUMBER(SEARCH("Conocer",$R1235))/(ISNUMBER(SEARCH("Conocer",$R1235))+ISNUMBER(SEARCH("Aplicar",$R1235))+ISNUMBER(SEARCH("Razonar",$R1235))),0)</f>
        <v>0</v>
      </c>
      <c r="T1235" s="28" t="n">
        <f aca="false">IFERROR(ISNUMBER(SEARCH("Aplicar",$R1235))/(ISNUMBER(SEARCH("Conocer",$R1235))+ISNUMBER(SEARCH("Aplicar",$R1235))+ISNUMBER(SEARCH("Razonar",$R1235))),0)</f>
        <v>0.5</v>
      </c>
      <c r="U1235" s="28" t="n">
        <f aca="false">IFERROR(ISNUMBER(SEARCH("Razonar",$R1235))/(ISNUMBER(SEARCH("Conocer",$R1235))+ISNUMBER(SEARCH("Aplicar",$R1235))+ISNUMBER(SEARCH("Razonar",$R1235))),0)</f>
        <v>0.5</v>
      </c>
      <c r="V1235" s="8" t="s">
        <v>387</v>
      </c>
      <c r="W1235" s="8" t="s">
        <v>4934</v>
      </c>
    </row>
    <row r="1236" customFormat="false" ht="15" hidden="false" customHeight="false" outlineLevel="0" collapsed="false">
      <c r="A1236" s="8" t="s">
        <v>5401</v>
      </c>
      <c r="B1236" s="8" t="n">
        <v>11</v>
      </c>
      <c r="C1236" s="8" t="s">
        <v>89</v>
      </c>
      <c r="D1236" s="8" t="s">
        <v>4928</v>
      </c>
      <c r="E1236" s="8" t="s">
        <v>5185</v>
      </c>
      <c r="F1236" s="8" t="n">
        <v>66</v>
      </c>
      <c r="G1236" s="8" t="s">
        <v>5391</v>
      </c>
      <c r="H1236" s="8" t="s">
        <v>5402</v>
      </c>
      <c r="I1236" s="27" t="s">
        <v>5403</v>
      </c>
      <c r="J1236" s="8" t="s">
        <v>4169</v>
      </c>
      <c r="K1236" s="8" t="s">
        <v>4170</v>
      </c>
      <c r="L1236" s="8"/>
      <c r="M1236" s="8" t="str">
        <f aca="false">IF(K1236="FUERA","Fuera del marco",IF(K1236="N/A","Sin marco",IFERROR(INDEX(Catalogo_TIMSS!$C$5:$C$105,MATCH(K1236,Catalogo_TIMSS!$A$5:$A$105,0)),"Pendiente de clasificar")))</f>
        <v>Sin marco</v>
      </c>
      <c r="N1236" s="8" t="str">
        <f aca="false">IF(K1236="FUERA","Fuera del marco",IF(K1236="N/A","Sin marco",IFERROR(INDEX(Catalogo_TIMSS!$F$5:$F$105,MATCH(K1236,Catalogo_TIMSS!$A$5:$A$105,0)),"Pendiente de clasificar")))</f>
        <v>Sin marco</v>
      </c>
      <c r="O1236" s="8" t="str">
        <f aca="false">IF(L1236="","",IFERROR(INDEX(Catalogo_TIMSS!$C$5:$C$105,MATCH(L1236,Catalogo_TIMSS!$A$5:$A$105,0)),"?"))</f>
        <v/>
      </c>
      <c r="P1236" s="8" t="s">
        <v>4170</v>
      </c>
      <c r="Q1236" s="27" t="s">
        <v>4171</v>
      </c>
      <c r="R1236" s="27" t="s">
        <v>5404</v>
      </c>
      <c r="S1236" s="28" t="n">
        <f aca="false">IFERROR(ISNUMBER(SEARCH("Conocer",$R1236))/(ISNUMBER(SEARCH("Conocer",$R1236))+ISNUMBER(SEARCH("Aplicar",$R1236))+ISNUMBER(SEARCH("Razonar",$R1236))),0)</f>
        <v>0.5</v>
      </c>
      <c r="T1236" s="28" t="n">
        <f aca="false">IFERROR(ISNUMBER(SEARCH("Aplicar",$R1236))/(ISNUMBER(SEARCH("Conocer",$R1236))+ISNUMBER(SEARCH("Aplicar",$R1236))+ISNUMBER(SEARCH("Razonar",$R1236))),0)</f>
        <v>0</v>
      </c>
      <c r="U1236" s="28" t="n">
        <f aca="false">IFERROR(ISNUMBER(SEARCH("Razonar",$R1236))/(ISNUMBER(SEARCH("Conocer",$R1236))+ISNUMBER(SEARCH("Aplicar",$R1236))+ISNUMBER(SEARCH("Razonar",$R1236))),0)</f>
        <v>0.5</v>
      </c>
      <c r="V1236" s="8" t="s">
        <v>387</v>
      </c>
      <c r="W1236" s="8" t="s">
        <v>4934</v>
      </c>
    </row>
    <row r="1237" customFormat="false" ht="15" hidden="false" customHeight="false" outlineLevel="0" collapsed="false">
      <c r="A1237" s="8" t="s">
        <v>5405</v>
      </c>
      <c r="B1237" s="8" t="n">
        <v>11</v>
      </c>
      <c r="C1237" s="8" t="s">
        <v>89</v>
      </c>
      <c r="D1237" s="8" t="s">
        <v>4928</v>
      </c>
      <c r="E1237" s="8" t="s">
        <v>5185</v>
      </c>
      <c r="F1237" s="8" t="n">
        <v>67</v>
      </c>
      <c r="G1237" s="8" t="s">
        <v>5391</v>
      </c>
      <c r="H1237" s="8" t="s">
        <v>5402</v>
      </c>
      <c r="I1237" s="27" t="s">
        <v>5406</v>
      </c>
      <c r="J1237" s="8" t="s">
        <v>4169</v>
      </c>
      <c r="K1237" s="8" t="s">
        <v>4170</v>
      </c>
      <c r="L1237" s="8"/>
      <c r="M1237" s="8" t="str">
        <f aca="false">IF(K1237="FUERA","Fuera del marco",IF(K1237="N/A","Sin marco",IFERROR(INDEX(Catalogo_TIMSS!$C$5:$C$105,MATCH(K1237,Catalogo_TIMSS!$A$5:$A$105,0)),"Pendiente de clasificar")))</f>
        <v>Sin marco</v>
      </c>
      <c r="N1237" s="8" t="str">
        <f aca="false">IF(K1237="FUERA","Fuera del marco",IF(K1237="N/A","Sin marco",IFERROR(INDEX(Catalogo_TIMSS!$F$5:$F$105,MATCH(K1237,Catalogo_TIMSS!$A$5:$A$105,0)),"Pendiente de clasificar")))</f>
        <v>Sin marco</v>
      </c>
      <c r="O1237" s="8" t="str">
        <f aca="false">IF(L1237="","",IFERROR(INDEX(Catalogo_TIMSS!$C$5:$C$105,MATCH(L1237,Catalogo_TIMSS!$A$5:$A$105,0)),"?"))</f>
        <v/>
      </c>
      <c r="P1237" s="8" t="s">
        <v>4170</v>
      </c>
      <c r="Q1237" s="27" t="s">
        <v>4171</v>
      </c>
      <c r="R1237" s="27" t="s">
        <v>5407</v>
      </c>
      <c r="S1237" s="28" t="n">
        <f aca="false">IFERROR(ISNUMBER(SEARCH("Conocer",$R1237))/(ISNUMBER(SEARCH("Conocer",$R1237))+ISNUMBER(SEARCH("Aplicar",$R1237))+ISNUMBER(SEARCH("Razonar",$R1237))),0)</f>
        <v>0.5</v>
      </c>
      <c r="T1237" s="28" t="n">
        <f aca="false">IFERROR(ISNUMBER(SEARCH("Aplicar",$R1237))/(ISNUMBER(SEARCH("Conocer",$R1237))+ISNUMBER(SEARCH("Aplicar",$R1237))+ISNUMBER(SEARCH("Razonar",$R1237))),0)</f>
        <v>0</v>
      </c>
      <c r="U1237" s="28" t="n">
        <f aca="false">IFERROR(ISNUMBER(SEARCH("Razonar",$R1237))/(ISNUMBER(SEARCH("Conocer",$R1237))+ISNUMBER(SEARCH("Aplicar",$R1237))+ISNUMBER(SEARCH("Razonar",$R1237))),0)</f>
        <v>0.5</v>
      </c>
      <c r="V1237" s="8" t="s">
        <v>387</v>
      </c>
      <c r="W1237" s="8" t="s">
        <v>4934</v>
      </c>
    </row>
    <row r="1238" customFormat="false" ht="15" hidden="false" customHeight="false" outlineLevel="0" collapsed="false">
      <c r="A1238" s="8" t="s">
        <v>5408</v>
      </c>
      <c r="B1238" s="8" t="n">
        <v>11</v>
      </c>
      <c r="C1238" s="8" t="s">
        <v>89</v>
      </c>
      <c r="D1238" s="8" t="s">
        <v>4928</v>
      </c>
      <c r="E1238" s="8" t="s">
        <v>5185</v>
      </c>
      <c r="F1238" s="8" t="n">
        <v>68</v>
      </c>
      <c r="G1238" s="8" t="s">
        <v>5391</v>
      </c>
      <c r="H1238" s="8" t="s">
        <v>5402</v>
      </c>
      <c r="I1238" s="27" t="s">
        <v>5409</v>
      </c>
      <c r="J1238" s="8" t="s">
        <v>4169</v>
      </c>
      <c r="K1238" s="8" t="s">
        <v>4170</v>
      </c>
      <c r="L1238" s="8"/>
      <c r="M1238" s="8" t="str">
        <f aca="false">IF(K1238="FUERA","Fuera del marco",IF(K1238="N/A","Sin marco",IFERROR(INDEX(Catalogo_TIMSS!$C$5:$C$105,MATCH(K1238,Catalogo_TIMSS!$A$5:$A$105,0)),"Pendiente de clasificar")))</f>
        <v>Sin marco</v>
      </c>
      <c r="N1238" s="8" t="str">
        <f aca="false">IF(K1238="FUERA","Fuera del marco",IF(K1238="N/A","Sin marco",IFERROR(INDEX(Catalogo_TIMSS!$F$5:$F$105,MATCH(K1238,Catalogo_TIMSS!$A$5:$A$105,0)),"Pendiente de clasificar")))</f>
        <v>Sin marco</v>
      </c>
      <c r="O1238" s="8" t="str">
        <f aca="false">IF(L1238="","",IFERROR(INDEX(Catalogo_TIMSS!$C$5:$C$105,MATCH(L1238,Catalogo_TIMSS!$A$5:$A$105,0)),"?"))</f>
        <v/>
      </c>
      <c r="P1238" s="8" t="s">
        <v>4170</v>
      </c>
      <c r="Q1238" s="27" t="s">
        <v>4171</v>
      </c>
      <c r="R1238" s="27" t="s">
        <v>5410</v>
      </c>
      <c r="S1238" s="28" t="n">
        <f aca="false">IFERROR(ISNUMBER(SEARCH("Conocer",$R1238))/(ISNUMBER(SEARCH("Conocer",$R1238))+ISNUMBER(SEARCH("Aplicar",$R1238))+ISNUMBER(SEARCH("Razonar",$R1238))),0)</f>
        <v>0.333333333333333</v>
      </c>
      <c r="T1238" s="28" t="n">
        <f aca="false">IFERROR(ISNUMBER(SEARCH("Aplicar",$R1238))/(ISNUMBER(SEARCH("Conocer",$R1238))+ISNUMBER(SEARCH("Aplicar",$R1238))+ISNUMBER(SEARCH("Razonar",$R1238))),0)</f>
        <v>0.333333333333333</v>
      </c>
      <c r="U1238" s="28" t="n">
        <f aca="false">IFERROR(ISNUMBER(SEARCH("Razonar",$R1238))/(ISNUMBER(SEARCH("Conocer",$R1238))+ISNUMBER(SEARCH("Aplicar",$R1238))+ISNUMBER(SEARCH("Razonar",$R1238))),0)</f>
        <v>0.333333333333333</v>
      </c>
      <c r="V1238" s="8" t="s">
        <v>387</v>
      </c>
      <c r="W1238" s="8" t="s">
        <v>4934</v>
      </c>
    </row>
    <row r="1239" customFormat="false" ht="15" hidden="false" customHeight="false" outlineLevel="0" collapsed="false">
      <c r="A1239" s="8" t="s">
        <v>5411</v>
      </c>
      <c r="B1239" s="8" t="n">
        <v>11</v>
      </c>
      <c r="C1239" s="8" t="s">
        <v>89</v>
      </c>
      <c r="D1239" s="8" t="s">
        <v>4928</v>
      </c>
      <c r="E1239" s="8" t="s">
        <v>5185</v>
      </c>
      <c r="F1239" s="8" t="n">
        <v>69</v>
      </c>
      <c r="G1239" s="8" t="s">
        <v>5391</v>
      </c>
      <c r="H1239" s="8" t="s">
        <v>5412</v>
      </c>
      <c r="I1239" s="27" t="s">
        <v>5413</v>
      </c>
      <c r="J1239" s="8" t="s">
        <v>4169</v>
      </c>
      <c r="K1239" s="8" t="s">
        <v>4170</v>
      </c>
      <c r="L1239" s="8"/>
      <c r="M1239" s="8" t="str">
        <f aca="false">IF(K1239="FUERA","Fuera del marco",IF(K1239="N/A","Sin marco",IFERROR(INDEX(Catalogo_TIMSS!$C$5:$C$105,MATCH(K1239,Catalogo_TIMSS!$A$5:$A$105,0)),"Pendiente de clasificar")))</f>
        <v>Sin marco</v>
      </c>
      <c r="N1239" s="8" t="str">
        <f aca="false">IF(K1239="FUERA","Fuera del marco",IF(K1239="N/A","Sin marco",IFERROR(INDEX(Catalogo_TIMSS!$F$5:$F$105,MATCH(K1239,Catalogo_TIMSS!$A$5:$A$105,0)),"Pendiente de clasificar")))</f>
        <v>Sin marco</v>
      </c>
      <c r="O1239" s="8" t="str">
        <f aca="false">IF(L1239="","",IFERROR(INDEX(Catalogo_TIMSS!$C$5:$C$105,MATCH(L1239,Catalogo_TIMSS!$A$5:$A$105,0)),"?"))</f>
        <v/>
      </c>
      <c r="P1239" s="8" t="s">
        <v>4170</v>
      </c>
      <c r="Q1239" s="27" t="s">
        <v>4171</v>
      </c>
      <c r="R1239" s="27" t="s">
        <v>5414</v>
      </c>
      <c r="S1239" s="28" t="n">
        <f aca="false">IFERROR(ISNUMBER(SEARCH("Conocer",$R1239))/(ISNUMBER(SEARCH("Conocer",$R1239))+ISNUMBER(SEARCH("Aplicar",$R1239))+ISNUMBER(SEARCH("Razonar",$R1239))),0)</f>
        <v>0</v>
      </c>
      <c r="T1239" s="28" t="n">
        <f aca="false">IFERROR(ISNUMBER(SEARCH("Aplicar",$R1239))/(ISNUMBER(SEARCH("Conocer",$R1239))+ISNUMBER(SEARCH("Aplicar",$R1239))+ISNUMBER(SEARCH("Razonar",$R1239))),0)</f>
        <v>0.5</v>
      </c>
      <c r="U1239" s="28" t="n">
        <f aca="false">IFERROR(ISNUMBER(SEARCH("Razonar",$R1239))/(ISNUMBER(SEARCH("Conocer",$R1239))+ISNUMBER(SEARCH("Aplicar",$R1239))+ISNUMBER(SEARCH("Razonar",$R1239))),0)</f>
        <v>0.5</v>
      </c>
      <c r="V1239" s="8" t="s">
        <v>387</v>
      </c>
      <c r="W1239" s="8" t="s">
        <v>4934</v>
      </c>
    </row>
    <row r="1240" customFormat="false" ht="15" hidden="false" customHeight="false" outlineLevel="0" collapsed="false">
      <c r="A1240" s="8" t="s">
        <v>5415</v>
      </c>
      <c r="B1240" s="8" t="n">
        <v>11</v>
      </c>
      <c r="C1240" s="8" t="s">
        <v>89</v>
      </c>
      <c r="D1240" s="8" t="s">
        <v>4928</v>
      </c>
      <c r="E1240" s="8" t="s">
        <v>5185</v>
      </c>
      <c r="F1240" s="8" t="n">
        <v>70</v>
      </c>
      <c r="G1240" s="8" t="s">
        <v>5391</v>
      </c>
      <c r="H1240" s="8" t="s">
        <v>5412</v>
      </c>
      <c r="I1240" s="27" t="s">
        <v>5416</v>
      </c>
      <c r="J1240" s="8" t="s">
        <v>4169</v>
      </c>
      <c r="K1240" s="8" t="s">
        <v>4170</v>
      </c>
      <c r="L1240" s="8"/>
      <c r="M1240" s="8" t="str">
        <f aca="false">IF(K1240="FUERA","Fuera del marco",IF(K1240="N/A","Sin marco",IFERROR(INDEX(Catalogo_TIMSS!$C$5:$C$105,MATCH(K1240,Catalogo_TIMSS!$A$5:$A$105,0)),"Pendiente de clasificar")))</f>
        <v>Sin marco</v>
      </c>
      <c r="N1240" s="8" t="str">
        <f aca="false">IF(K1240="FUERA","Fuera del marco",IF(K1240="N/A","Sin marco",IFERROR(INDEX(Catalogo_TIMSS!$F$5:$F$105,MATCH(K1240,Catalogo_TIMSS!$A$5:$A$105,0)),"Pendiente de clasificar")))</f>
        <v>Sin marco</v>
      </c>
      <c r="O1240" s="8" t="str">
        <f aca="false">IF(L1240="","",IFERROR(INDEX(Catalogo_TIMSS!$C$5:$C$105,MATCH(L1240,Catalogo_TIMSS!$A$5:$A$105,0)),"?"))</f>
        <v/>
      </c>
      <c r="P1240" s="8" t="s">
        <v>4170</v>
      </c>
      <c r="Q1240" s="27" t="s">
        <v>4171</v>
      </c>
      <c r="R1240" s="27" t="s">
        <v>5417</v>
      </c>
      <c r="S1240" s="28" t="n">
        <f aca="false">IFERROR(ISNUMBER(SEARCH("Conocer",$R1240))/(ISNUMBER(SEARCH("Conocer",$R1240))+ISNUMBER(SEARCH("Aplicar",$R1240))+ISNUMBER(SEARCH("Razonar",$R1240))),0)</f>
        <v>0</v>
      </c>
      <c r="T1240" s="28" t="n">
        <f aca="false">IFERROR(ISNUMBER(SEARCH("Aplicar",$R1240))/(ISNUMBER(SEARCH("Conocer",$R1240))+ISNUMBER(SEARCH("Aplicar",$R1240))+ISNUMBER(SEARCH("Razonar",$R1240))),0)</f>
        <v>0.5</v>
      </c>
      <c r="U1240" s="28" t="n">
        <f aca="false">IFERROR(ISNUMBER(SEARCH("Razonar",$R1240))/(ISNUMBER(SEARCH("Conocer",$R1240))+ISNUMBER(SEARCH("Aplicar",$R1240))+ISNUMBER(SEARCH("Razonar",$R1240))),0)</f>
        <v>0.5</v>
      </c>
      <c r="V1240" s="8" t="s">
        <v>387</v>
      </c>
      <c r="W1240" s="8" t="s">
        <v>4934</v>
      </c>
    </row>
    <row r="1241" customFormat="false" ht="15" hidden="false" customHeight="false" outlineLevel="0" collapsed="false">
      <c r="A1241" s="8" t="s">
        <v>5418</v>
      </c>
      <c r="B1241" s="8" t="n">
        <v>11</v>
      </c>
      <c r="C1241" s="8" t="s">
        <v>89</v>
      </c>
      <c r="D1241" s="8" t="s">
        <v>4928</v>
      </c>
      <c r="E1241" s="8" t="s">
        <v>5185</v>
      </c>
      <c r="F1241" s="8" t="n">
        <v>71</v>
      </c>
      <c r="G1241" s="8" t="s">
        <v>5391</v>
      </c>
      <c r="H1241" s="8" t="s">
        <v>5412</v>
      </c>
      <c r="I1241" s="27" t="s">
        <v>5419</v>
      </c>
      <c r="J1241" s="8" t="s">
        <v>4169</v>
      </c>
      <c r="K1241" s="8" t="s">
        <v>4170</v>
      </c>
      <c r="L1241" s="8"/>
      <c r="M1241" s="8" t="str">
        <f aca="false">IF(K1241="FUERA","Fuera del marco",IF(K1241="N/A","Sin marco",IFERROR(INDEX(Catalogo_TIMSS!$C$5:$C$105,MATCH(K1241,Catalogo_TIMSS!$A$5:$A$105,0)),"Pendiente de clasificar")))</f>
        <v>Sin marco</v>
      </c>
      <c r="N1241" s="8" t="str">
        <f aca="false">IF(K1241="FUERA","Fuera del marco",IF(K1241="N/A","Sin marco",IFERROR(INDEX(Catalogo_TIMSS!$F$5:$F$105,MATCH(K1241,Catalogo_TIMSS!$A$5:$A$105,0)),"Pendiente de clasificar")))</f>
        <v>Sin marco</v>
      </c>
      <c r="O1241" s="8" t="str">
        <f aca="false">IF(L1241="","",IFERROR(INDEX(Catalogo_TIMSS!$C$5:$C$105,MATCH(L1241,Catalogo_TIMSS!$A$5:$A$105,0)),"?"))</f>
        <v/>
      </c>
      <c r="P1241" s="8" t="s">
        <v>4170</v>
      </c>
      <c r="Q1241" s="27" t="s">
        <v>4171</v>
      </c>
      <c r="R1241" s="27" t="s">
        <v>5420</v>
      </c>
      <c r="S1241" s="28" t="n">
        <f aca="false">IFERROR(ISNUMBER(SEARCH("Conocer",$R1241))/(ISNUMBER(SEARCH("Conocer",$R1241))+ISNUMBER(SEARCH("Aplicar",$R1241))+ISNUMBER(SEARCH("Razonar",$R1241))),0)</f>
        <v>0.5</v>
      </c>
      <c r="T1241" s="28" t="n">
        <f aca="false">IFERROR(ISNUMBER(SEARCH("Aplicar",$R1241))/(ISNUMBER(SEARCH("Conocer",$R1241))+ISNUMBER(SEARCH("Aplicar",$R1241))+ISNUMBER(SEARCH("Razonar",$R1241))),0)</f>
        <v>0</v>
      </c>
      <c r="U1241" s="28" t="n">
        <f aca="false">IFERROR(ISNUMBER(SEARCH("Razonar",$R1241))/(ISNUMBER(SEARCH("Conocer",$R1241))+ISNUMBER(SEARCH("Aplicar",$R1241))+ISNUMBER(SEARCH("Razonar",$R1241))),0)</f>
        <v>0.5</v>
      </c>
      <c r="V1241" s="8" t="s">
        <v>387</v>
      </c>
      <c r="W1241" s="8" t="s">
        <v>4934</v>
      </c>
    </row>
    <row r="1242" customFormat="false" ht="15" hidden="false" customHeight="false" outlineLevel="0" collapsed="false">
      <c r="A1242" s="8" t="s">
        <v>5421</v>
      </c>
      <c r="B1242" s="8" t="n">
        <v>11</v>
      </c>
      <c r="C1242" s="8" t="s">
        <v>89</v>
      </c>
      <c r="D1242" s="8" t="s">
        <v>4928</v>
      </c>
      <c r="E1242" s="8" t="s">
        <v>5185</v>
      </c>
      <c r="F1242" s="8" t="n">
        <v>72</v>
      </c>
      <c r="G1242" s="8" t="s">
        <v>5391</v>
      </c>
      <c r="H1242" s="8" t="s">
        <v>5422</v>
      </c>
      <c r="I1242" s="27" t="s">
        <v>5423</v>
      </c>
      <c r="J1242" s="8" t="s">
        <v>4169</v>
      </c>
      <c r="K1242" s="8" t="s">
        <v>4170</v>
      </c>
      <c r="L1242" s="8"/>
      <c r="M1242" s="8" t="str">
        <f aca="false">IF(K1242="FUERA","Fuera del marco",IF(K1242="N/A","Sin marco",IFERROR(INDEX(Catalogo_TIMSS!$C$5:$C$105,MATCH(K1242,Catalogo_TIMSS!$A$5:$A$105,0)),"Pendiente de clasificar")))</f>
        <v>Sin marco</v>
      </c>
      <c r="N1242" s="8" t="str">
        <f aca="false">IF(K1242="FUERA","Fuera del marco",IF(K1242="N/A","Sin marco",IFERROR(INDEX(Catalogo_TIMSS!$F$5:$F$105,MATCH(K1242,Catalogo_TIMSS!$A$5:$A$105,0)),"Pendiente de clasificar")))</f>
        <v>Sin marco</v>
      </c>
      <c r="O1242" s="8" t="str">
        <f aca="false">IF(L1242="","",IFERROR(INDEX(Catalogo_TIMSS!$C$5:$C$105,MATCH(L1242,Catalogo_TIMSS!$A$5:$A$105,0)),"?"))</f>
        <v/>
      </c>
      <c r="P1242" s="8" t="s">
        <v>4170</v>
      </c>
      <c r="Q1242" s="27" t="s">
        <v>4171</v>
      </c>
      <c r="R1242" s="27" t="s">
        <v>5424</v>
      </c>
      <c r="S1242" s="28" t="n">
        <f aca="false">IFERROR(ISNUMBER(SEARCH("Conocer",$R1242))/(ISNUMBER(SEARCH("Conocer",$R1242))+ISNUMBER(SEARCH("Aplicar",$R1242))+ISNUMBER(SEARCH("Razonar",$R1242))),0)</f>
        <v>0</v>
      </c>
      <c r="T1242" s="28" t="n">
        <f aca="false">IFERROR(ISNUMBER(SEARCH("Aplicar",$R1242))/(ISNUMBER(SEARCH("Conocer",$R1242))+ISNUMBER(SEARCH("Aplicar",$R1242))+ISNUMBER(SEARCH("Razonar",$R1242))),0)</f>
        <v>0.5</v>
      </c>
      <c r="U1242" s="28" t="n">
        <f aca="false">IFERROR(ISNUMBER(SEARCH("Razonar",$R1242))/(ISNUMBER(SEARCH("Conocer",$R1242))+ISNUMBER(SEARCH("Aplicar",$R1242))+ISNUMBER(SEARCH("Razonar",$R1242))),0)</f>
        <v>0.5</v>
      </c>
      <c r="V1242" s="8" t="s">
        <v>387</v>
      </c>
      <c r="W1242" s="8" t="s">
        <v>4934</v>
      </c>
    </row>
    <row r="1243" customFormat="false" ht="15" hidden="false" customHeight="false" outlineLevel="0" collapsed="false">
      <c r="A1243" s="8" t="s">
        <v>5425</v>
      </c>
      <c r="B1243" s="8" t="n">
        <v>11</v>
      </c>
      <c r="C1243" s="8" t="s">
        <v>89</v>
      </c>
      <c r="D1243" s="8" t="s">
        <v>4928</v>
      </c>
      <c r="E1243" s="8" t="s">
        <v>5185</v>
      </c>
      <c r="F1243" s="8" t="n">
        <v>73</v>
      </c>
      <c r="G1243" s="8" t="s">
        <v>5391</v>
      </c>
      <c r="H1243" s="8" t="s">
        <v>5422</v>
      </c>
      <c r="I1243" s="27" t="s">
        <v>5426</v>
      </c>
      <c r="J1243" s="8" t="s">
        <v>4169</v>
      </c>
      <c r="K1243" s="8" t="s">
        <v>4170</v>
      </c>
      <c r="L1243" s="8"/>
      <c r="M1243" s="8" t="str">
        <f aca="false">IF(K1243="FUERA","Fuera del marco",IF(K1243="N/A","Sin marco",IFERROR(INDEX(Catalogo_TIMSS!$C$5:$C$105,MATCH(K1243,Catalogo_TIMSS!$A$5:$A$105,0)),"Pendiente de clasificar")))</f>
        <v>Sin marco</v>
      </c>
      <c r="N1243" s="8" t="str">
        <f aca="false">IF(K1243="FUERA","Fuera del marco",IF(K1243="N/A","Sin marco",IFERROR(INDEX(Catalogo_TIMSS!$F$5:$F$105,MATCH(K1243,Catalogo_TIMSS!$A$5:$A$105,0)),"Pendiente de clasificar")))</f>
        <v>Sin marco</v>
      </c>
      <c r="O1243" s="8" t="str">
        <f aca="false">IF(L1243="","",IFERROR(INDEX(Catalogo_TIMSS!$C$5:$C$105,MATCH(L1243,Catalogo_TIMSS!$A$5:$A$105,0)),"?"))</f>
        <v/>
      </c>
      <c r="P1243" s="8" t="s">
        <v>4170</v>
      </c>
      <c r="Q1243" s="27" t="s">
        <v>4171</v>
      </c>
      <c r="R1243" s="27" t="s">
        <v>5427</v>
      </c>
      <c r="S1243" s="28" t="n">
        <f aca="false">IFERROR(ISNUMBER(SEARCH("Conocer",$R1243))/(ISNUMBER(SEARCH("Conocer",$R1243))+ISNUMBER(SEARCH("Aplicar",$R1243))+ISNUMBER(SEARCH("Razonar",$R1243))),0)</f>
        <v>0</v>
      </c>
      <c r="T1243" s="28" t="n">
        <f aca="false">IFERROR(ISNUMBER(SEARCH("Aplicar",$R1243))/(ISNUMBER(SEARCH("Conocer",$R1243))+ISNUMBER(SEARCH("Aplicar",$R1243))+ISNUMBER(SEARCH("Razonar",$R1243))),0)</f>
        <v>0.5</v>
      </c>
      <c r="U1243" s="28" t="n">
        <f aca="false">IFERROR(ISNUMBER(SEARCH("Razonar",$R1243))/(ISNUMBER(SEARCH("Conocer",$R1243))+ISNUMBER(SEARCH("Aplicar",$R1243))+ISNUMBER(SEARCH("Razonar",$R1243))),0)</f>
        <v>0.5</v>
      </c>
      <c r="V1243" s="8" t="s">
        <v>387</v>
      </c>
      <c r="W1243" s="8" t="s">
        <v>4934</v>
      </c>
    </row>
    <row r="1244" customFormat="false" ht="15" hidden="false" customHeight="false" outlineLevel="0" collapsed="false">
      <c r="A1244" s="8" t="s">
        <v>5428</v>
      </c>
      <c r="B1244" s="8" t="n">
        <v>11</v>
      </c>
      <c r="C1244" s="8" t="s">
        <v>89</v>
      </c>
      <c r="D1244" s="8" t="s">
        <v>4928</v>
      </c>
      <c r="E1244" s="8" t="s">
        <v>5185</v>
      </c>
      <c r="F1244" s="8" t="n">
        <v>74</v>
      </c>
      <c r="G1244" s="8" t="s">
        <v>5391</v>
      </c>
      <c r="H1244" s="8" t="s">
        <v>5422</v>
      </c>
      <c r="I1244" s="27" t="s">
        <v>5429</v>
      </c>
      <c r="J1244" s="8" t="s">
        <v>4169</v>
      </c>
      <c r="K1244" s="8" t="s">
        <v>4170</v>
      </c>
      <c r="L1244" s="8"/>
      <c r="M1244" s="8" t="str">
        <f aca="false">IF(K1244="FUERA","Fuera del marco",IF(K1244="N/A","Sin marco",IFERROR(INDEX(Catalogo_TIMSS!$C$5:$C$105,MATCH(K1244,Catalogo_TIMSS!$A$5:$A$105,0)),"Pendiente de clasificar")))</f>
        <v>Sin marco</v>
      </c>
      <c r="N1244" s="8" t="str">
        <f aca="false">IF(K1244="FUERA","Fuera del marco",IF(K1244="N/A","Sin marco",IFERROR(INDEX(Catalogo_TIMSS!$F$5:$F$105,MATCH(K1244,Catalogo_TIMSS!$A$5:$A$105,0)),"Pendiente de clasificar")))</f>
        <v>Sin marco</v>
      </c>
      <c r="O1244" s="8" t="str">
        <f aca="false">IF(L1244="","",IFERROR(INDEX(Catalogo_TIMSS!$C$5:$C$105,MATCH(L1244,Catalogo_TIMSS!$A$5:$A$105,0)),"?"))</f>
        <v/>
      </c>
      <c r="P1244" s="8" t="s">
        <v>4170</v>
      </c>
      <c r="Q1244" s="27" t="s">
        <v>4171</v>
      </c>
      <c r="R1244" s="27" t="s">
        <v>5430</v>
      </c>
      <c r="S1244" s="28" t="n">
        <f aca="false">IFERROR(ISNUMBER(SEARCH("Conocer",$R1244))/(ISNUMBER(SEARCH("Conocer",$R1244))+ISNUMBER(SEARCH("Aplicar",$R1244))+ISNUMBER(SEARCH("Razonar",$R1244))),0)</f>
        <v>0.333333333333333</v>
      </c>
      <c r="T1244" s="28" t="n">
        <f aca="false">IFERROR(ISNUMBER(SEARCH("Aplicar",$R1244))/(ISNUMBER(SEARCH("Conocer",$R1244))+ISNUMBER(SEARCH("Aplicar",$R1244))+ISNUMBER(SEARCH("Razonar",$R1244))),0)</f>
        <v>0.333333333333333</v>
      </c>
      <c r="U1244" s="28" t="n">
        <f aca="false">IFERROR(ISNUMBER(SEARCH("Razonar",$R1244))/(ISNUMBER(SEARCH("Conocer",$R1244))+ISNUMBER(SEARCH("Aplicar",$R1244))+ISNUMBER(SEARCH("Razonar",$R1244))),0)</f>
        <v>0.333333333333333</v>
      </c>
      <c r="V1244" s="8" t="s">
        <v>387</v>
      </c>
      <c r="W1244" s="8" t="s">
        <v>4934</v>
      </c>
    </row>
    <row r="1245" customFormat="false" ht="15" hidden="false" customHeight="false" outlineLevel="0" collapsed="false">
      <c r="A1245" s="8" t="s">
        <v>5431</v>
      </c>
      <c r="B1245" s="8" t="n">
        <v>11</v>
      </c>
      <c r="C1245" s="8" t="s">
        <v>89</v>
      </c>
      <c r="D1245" s="8" t="s">
        <v>4928</v>
      </c>
      <c r="E1245" s="8" t="s">
        <v>5185</v>
      </c>
      <c r="F1245" s="8" t="n">
        <v>75</v>
      </c>
      <c r="G1245" s="8" t="s">
        <v>5432</v>
      </c>
      <c r="H1245" s="8" t="s">
        <v>5433</v>
      </c>
      <c r="I1245" s="27" t="s">
        <v>5434</v>
      </c>
      <c r="J1245" s="8" t="s">
        <v>4169</v>
      </c>
      <c r="K1245" s="8" t="s">
        <v>4170</v>
      </c>
      <c r="L1245" s="8"/>
      <c r="M1245" s="8" t="str">
        <f aca="false">IF(K1245="FUERA","Fuera del marco",IF(K1245="N/A","Sin marco",IFERROR(INDEX(Catalogo_TIMSS!$C$5:$C$105,MATCH(K1245,Catalogo_TIMSS!$A$5:$A$105,0)),"Pendiente de clasificar")))</f>
        <v>Sin marco</v>
      </c>
      <c r="N1245" s="8" t="str">
        <f aca="false">IF(K1245="FUERA","Fuera del marco",IF(K1245="N/A","Sin marco",IFERROR(INDEX(Catalogo_TIMSS!$F$5:$F$105,MATCH(K1245,Catalogo_TIMSS!$A$5:$A$105,0)),"Pendiente de clasificar")))</f>
        <v>Sin marco</v>
      </c>
      <c r="O1245" s="8" t="str">
        <f aca="false">IF(L1245="","",IFERROR(INDEX(Catalogo_TIMSS!$C$5:$C$105,MATCH(L1245,Catalogo_TIMSS!$A$5:$A$105,0)),"?"))</f>
        <v/>
      </c>
      <c r="P1245" s="8" t="s">
        <v>4170</v>
      </c>
      <c r="Q1245" s="27" t="s">
        <v>4171</v>
      </c>
      <c r="R1245" s="27" t="s">
        <v>5435</v>
      </c>
      <c r="S1245" s="28" t="n">
        <f aca="false">IFERROR(ISNUMBER(SEARCH("Conocer",$R1245))/(ISNUMBER(SEARCH("Conocer",$R1245))+ISNUMBER(SEARCH("Aplicar",$R1245))+ISNUMBER(SEARCH("Razonar",$R1245))),0)</f>
        <v>0</v>
      </c>
      <c r="T1245" s="28" t="n">
        <f aca="false">IFERROR(ISNUMBER(SEARCH("Aplicar",$R1245))/(ISNUMBER(SEARCH("Conocer",$R1245))+ISNUMBER(SEARCH("Aplicar",$R1245))+ISNUMBER(SEARCH("Razonar",$R1245))),0)</f>
        <v>0.5</v>
      </c>
      <c r="U1245" s="28" t="n">
        <f aca="false">IFERROR(ISNUMBER(SEARCH("Razonar",$R1245))/(ISNUMBER(SEARCH("Conocer",$R1245))+ISNUMBER(SEARCH("Aplicar",$R1245))+ISNUMBER(SEARCH("Razonar",$R1245))),0)</f>
        <v>0.5</v>
      </c>
      <c r="V1245" s="8" t="s">
        <v>387</v>
      </c>
      <c r="W1245" s="8" t="s">
        <v>4934</v>
      </c>
    </row>
    <row r="1246" customFormat="false" ht="15" hidden="false" customHeight="false" outlineLevel="0" collapsed="false">
      <c r="A1246" s="8" t="s">
        <v>5436</v>
      </c>
      <c r="B1246" s="8" t="n">
        <v>11</v>
      </c>
      <c r="C1246" s="8" t="s">
        <v>89</v>
      </c>
      <c r="D1246" s="8" t="s">
        <v>4928</v>
      </c>
      <c r="E1246" s="8" t="s">
        <v>5185</v>
      </c>
      <c r="F1246" s="8" t="n">
        <v>76</v>
      </c>
      <c r="G1246" s="8" t="s">
        <v>5432</v>
      </c>
      <c r="H1246" s="8" t="s">
        <v>5433</v>
      </c>
      <c r="I1246" s="27" t="s">
        <v>5437</v>
      </c>
      <c r="J1246" s="8" t="s">
        <v>4169</v>
      </c>
      <c r="K1246" s="8" t="s">
        <v>4170</v>
      </c>
      <c r="L1246" s="8"/>
      <c r="M1246" s="8" t="str">
        <f aca="false">IF(K1246="FUERA","Fuera del marco",IF(K1246="N/A","Sin marco",IFERROR(INDEX(Catalogo_TIMSS!$C$5:$C$105,MATCH(K1246,Catalogo_TIMSS!$A$5:$A$105,0)),"Pendiente de clasificar")))</f>
        <v>Sin marco</v>
      </c>
      <c r="N1246" s="8" t="str">
        <f aca="false">IF(K1246="FUERA","Fuera del marco",IF(K1246="N/A","Sin marco",IFERROR(INDEX(Catalogo_TIMSS!$F$5:$F$105,MATCH(K1246,Catalogo_TIMSS!$A$5:$A$105,0)),"Pendiente de clasificar")))</f>
        <v>Sin marco</v>
      </c>
      <c r="O1246" s="8" t="str">
        <f aca="false">IF(L1246="","",IFERROR(INDEX(Catalogo_TIMSS!$C$5:$C$105,MATCH(L1246,Catalogo_TIMSS!$A$5:$A$105,0)),"?"))</f>
        <v/>
      </c>
      <c r="P1246" s="8" t="s">
        <v>4170</v>
      </c>
      <c r="Q1246" s="27" t="s">
        <v>4171</v>
      </c>
      <c r="R1246" s="27" t="s">
        <v>5438</v>
      </c>
      <c r="S1246" s="28" t="n">
        <f aca="false">IFERROR(ISNUMBER(SEARCH("Conocer",$R1246))/(ISNUMBER(SEARCH("Conocer",$R1246))+ISNUMBER(SEARCH("Aplicar",$R1246))+ISNUMBER(SEARCH("Razonar",$R1246))),0)</f>
        <v>0</v>
      </c>
      <c r="T1246" s="28" t="n">
        <f aca="false">IFERROR(ISNUMBER(SEARCH("Aplicar",$R1246))/(ISNUMBER(SEARCH("Conocer",$R1246))+ISNUMBER(SEARCH("Aplicar",$R1246))+ISNUMBER(SEARCH("Razonar",$R1246))),0)</f>
        <v>0.5</v>
      </c>
      <c r="U1246" s="28" t="n">
        <f aca="false">IFERROR(ISNUMBER(SEARCH("Razonar",$R1246))/(ISNUMBER(SEARCH("Conocer",$R1246))+ISNUMBER(SEARCH("Aplicar",$R1246))+ISNUMBER(SEARCH("Razonar",$R1246))),0)</f>
        <v>0.5</v>
      </c>
      <c r="V1246" s="8" t="s">
        <v>387</v>
      </c>
      <c r="W1246" s="8" t="s">
        <v>4934</v>
      </c>
    </row>
    <row r="1247" customFormat="false" ht="15" hidden="false" customHeight="false" outlineLevel="0" collapsed="false">
      <c r="A1247" s="8" t="s">
        <v>5439</v>
      </c>
      <c r="B1247" s="8" t="n">
        <v>11</v>
      </c>
      <c r="C1247" s="8" t="s">
        <v>89</v>
      </c>
      <c r="D1247" s="8" t="s">
        <v>4928</v>
      </c>
      <c r="E1247" s="8" t="s">
        <v>5185</v>
      </c>
      <c r="F1247" s="8" t="n">
        <v>77</v>
      </c>
      <c r="G1247" s="8" t="s">
        <v>5432</v>
      </c>
      <c r="H1247" s="8" t="s">
        <v>5433</v>
      </c>
      <c r="I1247" s="27" t="s">
        <v>5440</v>
      </c>
      <c r="J1247" s="8" t="s">
        <v>4169</v>
      </c>
      <c r="K1247" s="8" t="s">
        <v>4170</v>
      </c>
      <c r="L1247" s="8"/>
      <c r="M1247" s="8" t="str">
        <f aca="false">IF(K1247="FUERA","Fuera del marco",IF(K1247="N/A","Sin marco",IFERROR(INDEX(Catalogo_TIMSS!$C$5:$C$105,MATCH(K1247,Catalogo_TIMSS!$A$5:$A$105,0)),"Pendiente de clasificar")))</f>
        <v>Sin marco</v>
      </c>
      <c r="N1247" s="8" t="str">
        <f aca="false">IF(K1247="FUERA","Fuera del marco",IF(K1247="N/A","Sin marco",IFERROR(INDEX(Catalogo_TIMSS!$F$5:$F$105,MATCH(K1247,Catalogo_TIMSS!$A$5:$A$105,0)),"Pendiente de clasificar")))</f>
        <v>Sin marco</v>
      </c>
      <c r="O1247" s="8" t="str">
        <f aca="false">IF(L1247="","",IFERROR(INDEX(Catalogo_TIMSS!$C$5:$C$105,MATCH(L1247,Catalogo_TIMSS!$A$5:$A$105,0)),"?"))</f>
        <v/>
      </c>
      <c r="P1247" s="8" t="s">
        <v>4170</v>
      </c>
      <c r="Q1247" s="27" t="s">
        <v>4171</v>
      </c>
      <c r="R1247" s="27" t="s">
        <v>5441</v>
      </c>
      <c r="S1247" s="28" t="n">
        <f aca="false">IFERROR(ISNUMBER(SEARCH("Conocer",$R1247))/(ISNUMBER(SEARCH("Conocer",$R1247))+ISNUMBER(SEARCH("Aplicar",$R1247))+ISNUMBER(SEARCH("Razonar",$R1247))),0)</f>
        <v>0</v>
      </c>
      <c r="T1247" s="28" t="n">
        <f aca="false">IFERROR(ISNUMBER(SEARCH("Aplicar",$R1247))/(ISNUMBER(SEARCH("Conocer",$R1247))+ISNUMBER(SEARCH("Aplicar",$R1247))+ISNUMBER(SEARCH("Razonar",$R1247))),0)</f>
        <v>0.5</v>
      </c>
      <c r="U1247" s="28" t="n">
        <f aca="false">IFERROR(ISNUMBER(SEARCH("Razonar",$R1247))/(ISNUMBER(SEARCH("Conocer",$R1247))+ISNUMBER(SEARCH("Aplicar",$R1247))+ISNUMBER(SEARCH("Razonar",$R1247))),0)</f>
        <v>0.5</v>
      </c>
      <c r="V1247" s="8" t="s">
        <v>387</v>
      </c>
      <c r="W1247" s="8" t="s">
        <v>4934</v>
      </c>
    </row>
    <row r="1248" customFormat="false" ht="15" hidden="false" customHeight="false" outlineLevel="0" collapsed="false">
      <c r="A1248" s="8" t="s">
        <v>5442</v>
      </c>
      <c r="B1248" s="8" t="n">
        <v>11</v>
      </c>
      <c r="C1248" s="8" t="s">
        <v>89</v>
      </c>
      <c r="D1248" s="8" t="s">
        <v>4928</v>
      </c>
      <c r="E1248" s="8" t="s">
        <v>5185</v>
      </c>
      <c r="F1248" s="8" t="n">
        <v>78</v>
      </c>
      <c r="G1248" s="8" t="s">
        <v>5432</v>
      </c>
      <c r="H1248" s="8" t="s">
        <v>5443</v>
      </c>
      <c r="I1248" s="27" t="s">
        <v>5444</v>
      </c>
      <c r="J1248" s="8" t="s">
        <v>4169</v>
      </c>
      <c r="K1248" s="8" t="s">
        <v>4170</v>
      </c>
      <c r="L1248" s="8"/>
      <c r="M1248" s="8" t="str">
        <f aca="false">IF(K1248="FUERA","Fuera del marco",IF(K1248="N/A","Sin marco",IFERROR(INDEX(Catalogo_TIMSS!$C$5:$C$105,MATCH(K1248,Catalogo_TIMSS!$A$5:$A$105,0)),"Pendiente de clasificar")))</f>
        <v>Sin marco</v>
      </c>
      <c r="N1248" s="8" t="str">
        <f aca="false">IF(K1248="FUERA","Fuera del marco",IF(K1248="N/A","Sin marco",IFERROR(INDEX(Catalogo_TIMSS!$F$5:$F$105,MATCH(K1248,Catalogo_TIMSS!$A$5:$A$105,0)),"Pendiente de clasificar")))</f>
        <v>Sin marco</v>
      </c>
      <c r="O1248" s="8" t="str">
        <f aca="false">IF(L1248="","",IFERROR(INDEX(Catalogo_TIMSS!$C$5:$C$105,MATCH(L1248,Catalogo_TIMSS!$A$5:$A$105,0)),"?"))</f>
        <v/>
      </c>
      <c r="P1248" s="8" t="s">
        <v>4170</v>
      </c>
      <c r="Q1248" s="27" t="s">
        <v>4171</v>
      </c>
      <c r="R1248" s="27" t="s">
        <v>5445</v>
      </c>
      <c r="S1248" s="28" t="n">
        <f aca="false">IFERROR(ISNUMBER(SEARCH("Conocer",$R1248))/(ISNUMBER(SEARCH("Conocer",$R1248))+ISNUMBER(SEARCH("Aplicar",$R1248))+ISNUMBER(SEARCH("Razonar",$R1248))),0)</f>
        <v>0</v>
      </c>
      <c r="T1248" s="28" t="n">
        <f aca="false">IFERROR(ISNUMBER(SEARCH("Aplicar",$R1248))/(ISNUMBER(SEARCH("Conocer",$R1248))+ISNUMBER(SEARCH("Aplicar",$R1248))+ISNUMBER(SEARCH("Razonar",$R1248))),0)</f>
        <v>0.5</v>
      </c>
      <c r="U1248" s="28" t="n">
        <f aca="false">IFERROR(ISNUMBER(SEARCH("Razonar",$R1248))/(ISNUMBER(SEARCH("Conocer",$R1248))+ISNUMBER(SEARCH("Aplicar",$R1248))+ISNUMBER(SEARCH("Razonar",$R1248))),0)</f>
        <v>0.5</v>
      </c>
      <c r="V1248" s="8" t="s">
        <v>387</v>
      </c>
      <c r="W1248" s="8" t="s">
        <v>4934</v>
      </c>
    </row>
    <row r="1249" customFormat="false" ht="15" hidden="false" customHeight="false" outlineLevel="0" collapsed="false">
      <c r="A1249" s="8" t="s">
        <v>5446</v>
      </c>
      <c r="B1249" s="8" t="n">
        <v>11</v>
      </c>
      <c r="C1249" s="8" t="s">
        <v>89</v>
      </c>
      <c r="D1249" s="8" t="s">
        <v>4928</v>
      </c>
      <c r="E1249" s="8" t="s">
        <v>5185</v>
      </c>
      <c r="F1249" s="8" t="n">
        <v>79</v>
      </c>
      <c r="G1249" s="8" t="s">
        <v>5432</v>
      </c>
      <c r="H1249" s="8" t="s">
        <v>5447</v>
      </c>
      <c r="I1249" s="27" t="s">
        <v>5448</v>
      </c>
      <c r="J1249" s="8" t="s">
        <v>4169</v>
      </c>
      <c r="K1249" s="8" t="s">
        <v>4170</v>
      </c>
      <c r="L1249" s="8"/>
      <c r="M1249" s="8" t="str">
        <f aca="false">IF(K1249="FUERA","Fuera del marco",IF(K1249="N/A","Sin marco",IFERROR(INDEX(Catalogo_TIMSS!$C$5:$C$105,MATCH(K1249,Catalogo_TIMSS!$A$5:$A$105,0)),"Pendiente de clasificar")))</f>
        <v>Sin marco</v>
      </c>
      <c r="N1249" s="8" t="str">
        <f aca="false">IF(K1249="FUERA","Fuera del marco",IF(K1249="N/A","Sin marco",IFERROR(INDEX(Catalogo_TIMSS!$F$5:$F$105,MATCH(K1249,Catalogo_TIMSS!$A$5:$A$105,0)),"Pendiente de clasificar")))</f>
        <v>Sin marco</v>
      </c>
      <c r="O1249" s="8" t="str">
        <f aca="false">IF(L1249="","",IFERROR(INDEX(Catalogo_TIMSS!$C$5:$C$105,MATCH(L1249,Catalogo_TIMSS!$A$5:$A$105,0)),"?"))</f>
        <v/>
      </c>
      <c r="P1249" s="8" t="s">
        <v>4170</v>
      </c>
      <c r="Q1249" s="27" t="s">
        <v>4171</v>
      </c>
      <c r="R1249" s="27" t="s">
        <v>5449</v>
      </c>
      <c r="S1249" s="28" t="n">
        <f aca="false">IFERROR(ISNUMBER(SEARCH("Conocer",$R1249))/(ISNUMBER(SEARCH("Conocer",$R1249))+ISNUMBER(SEARCH("Aplicar",$R1249))+ISNUMBER(SEARCH("Razonar",$R1249))),0)</f>
        <v>0</v>
      </c>
      <c r="T1249" s="28" t="n">
        <f aca="false">IFERROR(ISNUMBER(SEARCH("Aplicar",$R1249))/(ISNUMBER(SEARCH("Conocer",$R1249))+ISNUMBER(SEARCH("Aplicar",$R1249))+ISNUMBER(SEARCH("Razonar",$R1249))),0)</f>
        <v>0.5</v>
      </c>
      <c r="U1249" s="28" t="n">
        <f aca="false">IFERROR(ISNUMBER(SEARCH("Razonar",$R1249))/(ISNUMBER(SEARCH("Conocer",$R1249))+ISNUMBER(SEARCH("Aplicar",$R1249))+ISNUMBER(SEARCH("Razonar",$R1249))),0)</f>
        <v>0.5</v>
      </c>
      <c r="V1249" s="8" t="s">
        <v>387</v>
      </c>
      <c r="W1249" s="8" t="s">
        <v>4934</v>
      </c>
    </row>
    <row r="1250" customFormat="false" ht="15" hidden="false" customHeight="false" outlineLevel="0" collapsed="false">
      <c r="A1250" s="8" t="s">
        <v>5450</v>
      </c>
      <c r="B1250" s="8" t="n">
        <v>11</v>
      </c>
      <c r="C1250" s="8" t="s">
        <v>89</v>
      </c>
      <c r="D1250" s="8" t="s">
        <v>4928</v>
      </c>
      <c r="E1250" s="8" t="s">
        <v>5185</v>
      </c>
      <c r="F1250" s="8" t="n">
        <v>80</v>
      </c>
      <c r="G1250" s="8" t="s">
        <v>5432</v>
      </c>
      <c r="H1250" s="8" t="s">
        <v>5447</v>
      </c>
      <c r="I1250" s="27" t="s">
        <v>5451</v>
      </c>
      <c r="J1250" s="8" t="s">
        <v>4169</v>
      </c>
      <c r="K1250" s="8" t="s">
        <v>4170</v>
      </c>
      <c r="L1250" s="8"/>
      <c r="M1250" s="8" t="str">
        <f aca="false">IF(K1250="FUERA","Fuera del marco",IF(K1250="N/A","Sin marco",IFERROR(INDEX(Catalogo_TIMSS!$C$5:$C$105,MATCH(K1250,Catalogo_TIMSS!$A$5:$A$105,0)),"Pendiente de clasificar")))</f>
        <v>Sin marco</v>
      </c>
      <c r="N1250" s="8" t="str">
        <f aca="false">IF(K1250="FUERA","Fuera del marco",IF(K1250="N/A","Sin marco",IFERROR(INDEX(Catalogo_TIMSS!$F$5:$F$105,MATCH(K1250,Catalogo_TIMSS!$A$5:$A$105,0)),"Pendiente de clasificar")))</f>
        <v>Sin marco</v>
      </c>
      <c r="O1250" s="8" t="str">
        <f aca="false">IF(L1250="","",IFERROR(INDEX(Catalogo_TIMSS!$C$5:$C$105,MATCH(L1250,Catalogo_TIMSS!$A$5:$A$105,0)),"?"))</f>
        <v/>
      </c>
      <c r="P1250" s="8" t="s">
        <v>4170</v>
      </c>
      <c r="Q1250" s="27" t="s">
        <v>4171</v>
      </c>
      <c r="R1250" s="27" t="s">
        <v>5452</v>
      </c>
      <c r="S1250" s="28" t="n">
        <f aca="false">IFERROR(ISNUMBER(SEARCH("Conocer",$R1250))/(ISNUMBER(SEARCH("Conocer",$R1250))+ISNUMBER(SEARCH("Aplicar",$R1250))+ISNUMBER(SEARCH("Razonar",$R1250))),0)</f>
        <v>0</v>
      </c>
      <c r="T1250" s="28" t="n">
        <f aca="false">IFERROR(ISNUMBER(SEARCH("Aplicar",$R1250))/(ISNUMBER(SEARCH("Conocer",$R1250))+ISNUMBER(SEARCH("Aplicar",$R1250))+ISNUMBER(SEARCH("Razonar",$R1250))),0)</f>
        <v>0.5</v>
      </c>
      <c r="U1250" s="28" t="n">
        <f aca="false">IFERROR(ISNUMBER(SEARCH("Razonar",$R1250))/(ISNUMBER(SEARCH("Conocer",$R1250))+ISNUMBER(SEARCH("Aplicar",$R1250))+ISNUMBER(SEARCH("Razonar",$R1250))),0)</f>
        <v>0.5</v>
      </c>
      <c r="V1250" s="8" t="s">
        <v>387</v>
      </c>
      <c r="W1250" s="8" t="s">
        <v>4934</v>
      </c>
    </row>
    <row r="1251" customFormat="false" ht="15" hidden="false" customHeight="false" outlineLevel="0" collapsed="false">
      <c r="A1251" s="8" t="s">
        <v>5453</v>
      </c>
      <c r="B1251" s="8" t="n">
        <v>11</v>
      </c>
      <c r="C1251" s="8" t="s">
        <v>89</v>
      </c>
      <c r="D1251" s="8" t="s">
        <v>4928</v>
      </c>
      <c r="E1251" s="8" t="s">
        <v>5185</v>
      </c>
      <c r="F1251" s="8" t="n">
        <v>81</v>
      </c>
      <c r="G1251" s="8" t="s">
        <v>5454</v>
      </c>
      <c r="H1251" s="8" t="s">
        <v>5455</v>
      </c>
      <c r="I1251" s="27" t="s">
        <v>5456</v>
      </c>
      <c r="J1251" s="8" t="s">
        <v>4169</v>
      </c>
      <c r="K1251" s="8" t="s">
        <v>4170</v>
      </c>
      <c r="L1251" s="8"/>
      <c r="M1251" s="8" t="str">
        <f aca="false">IF(K1251="FUERA","Fuera del marco",IF(K1251="N/A","Sin marco",IFERROR(INDEX(Catalogo_TIMSS!$C$5:$C$105,MATCH(K1251,Catalogo_TIMSS!$A$5:$A$105,0)),"Pendiente de clasificar")))</f>
        <v>Sin marco</v>
      </c>
      <c r="N1251" s="8" t="str">
        <f aca="false">IF(K1251="FUERA","Fuera del marco",IF(K1251="N/A","Sin marco",IFERROR(INDEX(Catalogo_TIMSS!$F$5:$F$105,MATCH(K1251,Catalogo_TIMSS!$A$5:$A$105,0)),"Pendiente de clasificar")))</f>
        <v>Sin marco</v>
      </c>
      <c r="O1251" s="8" t="str">
        <f aca="false">IF(L1251="","",IFERROR(INDEX(Catalogo_TIMSS!$C$5:$C$105,MATCH(L1251,Catalogo_TIMSS!$A$5:$A$105,0)),"?"))</f>
        <v/>
      </c>
      <c r="P1251" s="8" t="s">
        <v>4170</v>
      </c>
      <c r="Q1251" s="27" t="s">
        <v>4171</v>
      </c>
      <c r="R1251" s="27" t="s">
        <v>5457</v>
      </c>
      <c r="S1251" s="28" t="n">
        <f aca="false">IFERROR(ISNUMBER(SEARCH("Conocer",$R1251))/(ISNUMBER(SEARCH("Conocer",$R1251))+ISNUMBER(SEARCH("Aplicar",$R1251))+ISNUMBER(SEARCH("Razonar",$R1251))),0)</f>
        <v>0</v>
      </c>
      <c r="T1251" s="28" t="n">
        <f aca="false">IFERROR(ISNUMBER(SEARCH("Aplicar",$R1251))/(ISNUMBER(SEARCH("Conocer",$R1251))+ISNUMBER(SEARCH("Aplicar",$R1251))+ISNUMBER(SEARCH("Razonar",$R1251))),0)</f>
        <v>0.5</v>
      </c>
      <c r="U1251" s="28" t="n">
        <f aca="false">IFERROR(ISNUMBER(SEARCH("Razonar",$R1251))/(ISNUMBER(SEARCH("Conocer",$R1251))+ISNUMBER(SEARCH("Aplicar",$R1251))+ISNUMBER(SEARCH("Razonar",$R1251))),0)</f>
        <v>0.5</v>
      </c>
      <c r="V1251" s="8" t="s">
        <v>387</v>
      </c>
      <c r="W1251" s="8" t="s">
        <v>4934</v>
      </c>
    </row>
    <row r="1252" customFormat="false" ht="15" hidden="false" customHeight="false" outlineLevel="0" collapsed="false">
      <c r="A1252" s="8" t="s">
        <v>5458</v>
      </c>
      <c r="B1252" s="8" t="n">
        <v>11</v>
      </c>
      <c r="C1252" s="8" t="s">
        <v>89</v>
      </c>
      <c r="D1252" s="8" t="s">
        <v>4928</v>
      </c>
      <c r="E1252" s="8" t="s">
        <v>5185</v>
      </c>
      <c r="F1252" s="8" t="n">
        <v>82</v>
      </c>
      <c r="G1252" s="8" t="s">
        <v>5454</v>
      </c>
      <c r="H1252" s="8" t="s">
        <v>5455</v>
      </c>
      <c r="I1252" s="27" t="s">
        <v>5459</v>
      </c>
      <c r="J1252" s="8" t="s">
        <v>4169</v>
      </c>
      <c r="K1252" s="8" t="s">
        <v>4170</v>
      </c>
      <c r="L1252" s="8"/>
      <c r="M1252" s="8" t="str">
        <f aca="false">IF(K1252="FUERA","Fuera del marco",IF(K1252="N/A","Sin marco",IFERROR(INDEX(Catalogo_TIMSS!$C$5:$C$105,MATCH(K1252,Catalogo_TIMSS!$A$5:$A$105,0)),"Pendiente de clasificar")))</f>
        <v>Sin marco</v>
      </c>
      <c r="N1252" s="8" t="str">
        <f aca="false">IF(K1252="FUERA","Fuera del marco",IF(K1252="N/A","Sin marco",IFERROR(INDEX(Catalogo_TIMSS!$F$5:$F$105,MATCH(K1252,Catalogo_TIMSS!$A$5:$A$105,0)),"Pendiente de clasificar")))</f>
        <v>Sin marco</v>
      </c>
      <c r="O1252" s="8" t="str">
        <f aca="false">IF(L1252="","",IFERROR(INDEX(Catalogo_TIMSS!$C$5:$C$105,MATCH(L1252,Catalogo_TIMSS!$A$5:$A$105,0)),"?"))</f>
        <v/>
      </c>
      <c r="P1252" s="8" t="s">
        <v>4170</v>
      </c>
      <c r="Q1252" s="27" t="s">
        <v>4171</v>
      </c>
      <c r="R1252" s="27" t="s">
        <v>5460</v>
      </c>
      <c r="S1252" s="28" t="n">
        <f aca="false">IFERROR(ISNUMBER(SEARCH("Conocer",$R1252))/(ISNUMBER(SEARCH("Conocer",$R1252))+ISNUMBER(SEARCH("Aplicar",$R1252))+ISNUMBER(SEARCH("Razonar",$R1252))),0)</f>
        <v>0</v>
      </c>
      <c r="T1252" s="28" t="n">
        <f aca="false">IFERROR(ISNUMBER(SEARCH("Aplicar",$R1252))/(ISNUMBER(SEARCH("Conocer",$R1252))+ISNUMBER(SEARCH("Aplicar",$R1252))+ISNUMBER(SEARCH("Razonar",$R1252))),0)</f>
        <v>0.5</v>
      </c>
      <c r="U1252" s="28" t="n">
        <f aca="false">IFERROR(ISNUMBER(SEARCH("Razonar",$R1252))/(ISNUMBER(SEARCH("Conocer",$R1252))+ISNUMBER(SEARCH("Aplicar",$R1252))+ISNUMBER(SEARCH("Razonar",$R1252))),0)</f>
        <v>0.5</v>
      </c>
      <c r="V1252" s="8" t="s">
        <v>387</v>
      </c>
      <c r="W1252" s="8" t="s">
        <v>4934</v>
      </c>
    </row>
    <row r="1253" customFormat="false" ht="15" hidden="false" customHeight="false" outlineLevel="0" collapsed="false">
      <c r="A1253" s="8" t="s">
        <v>5461</v>
      </c>
      <c r="B1253" s="8" t="n">
        <v>11</v>
      </c>
      <c r="C1253" s="8" t="s">
        <v>89</v>
      </c>
      <c r="D1253" s="8" t="s">
        <v>4928</v>
      </c>
      <c r="E1253" s="8" t="s">
        <v>5185</v>
      </c>
      <c r="F1253" s="8" t="n">
        <v>83</v>
      </c>
      <c r="G1253" s="8" t="s">
        <v>5454</v>
      </c>
      <c r="H1253" s="8" t="s">
        <v>5462</v>
      </c>
      <c r="I1253" s="27" t="s">
        <v>5463</v>
      </c>
      <c r="J1253" s="8" t="s">
        <v>4169</v>
      </c>
      <c r="K1253" s="8" t="s">
        <v>4170</v>
      </c>
      <c r="L1253" s="8"/>
      <c r="M1253" s="8" t="str">
        <f aca="false">IF(K1253="FUERA","Fuera del marco",IF(K1253="N/A","Sin marco",IFERROR(INDEX(Catalogo_TIMSS!$C$5:$C$105,MATCH(K1253,Catalogo_TIMSS!$A$5:$A$105,0)),"Pendiente de clasificar")))</f>
        <v>Sin marco</v>
      </c>
      <c r="N1253" s="8" t="str">
        <f aca="false">IF(K1253="FUERA","Fuera del marco",IF(K1253="N/A","Sin marco",IFERROR(INDEX(Catalogo_TIMSS!$F$5:$F$105,MATCH(K1253,Catalogo_TIMSS!$A$5:$A$105,0)),"Pendiente de clasificar")))</f>
        <v>Sin marco</v>
      </c>
      <c r="O1253" s="8" t="str">
        <f aca="false">IF(L1253="","",IFERROR(INDEX(Catalogo_TIMSS!$C$5:$C$105,MATCH(L1253,Catalogo_TIMSS!$A$5:$A$105,0)),"?"))</f>
        <v/>
      </c>
      <c r="P1253" s="8" t="s">
        <v>4170</v>
      </c>
      <c r="Q1253" s="27" t="s">
        <v>4171</v>
      </c>
      <c r="R1253" s="27" t="s">
        <v>5464</v>
      </c>
      <c r="S1253" s="28" t="n">
        <f aca="false">IFERROR(ISNUMBER(SEARCH("Conocer",$R1253))/(ISNUMBER(SEARCH("Conocer",$R1253))+ISNUMBER(SEARCH("Aplicar",$R1253))+ISNUMBER(SEARCH("Razonar",$R1253))),0)</f>
        <v>0</v>
      </c>
      <c r="T1253" s="28" t="n">
        <f aca="false">IFERROR(ISNUMBER(SEARCH("Aplicar",$R1253))/(ISNUMBER(SEARCH("Conocer",$R1253))+ISNUMBER(SEARCH("Aplicar",$R1253))+ISNUMBER(SEARCH("Razonar",$R1253))),0)</f>
        <v>0.5</v>
      </c>
      <c r="U1253" s="28" t="n">
        <f aca="false">IFERROR(ISNUMBER(SEARCH("Razonar",$R1253))/(ISNUMBER(SEARCH("Conocer",$R1253))+ISNUMBER(SEARCH("Aplicar",$R1253))+ISNUMBER(SEARCH("Razonar",$R1253))),0)</f>
        <v>0.5</v>
      </c>
      <c r="V1253" s="8" t="s">
        <v>387</v>
      </c>
      <c r="W1253" s="8" t="s">
        <v>4934</v>
      </c>
    </row>
    <row r="1254" customFormat="false" ht="15" hidden="false" customHeight="false" outlineLevel="0" collapsed="false">
      <c r="A1254" s="8" t="s">
        <v>5465</v>
      </c>
      <c r="B1254" s="8" t="n">
        <v>11</v>
      </c>
      <c r="C1254" s="8" t="s">
        <v>89</v>
      </c>
      <c r="D1254" s="8" t="s">
        <v>4928</v>
      </c>
      <c r="E1254" s="8" t="s">
        <v>5185</v>
      </c>
      <c r="F1254" s="8" t="n">
        <v>84</v>
      </c>
      <c r="G1254" s="8" t="s">
        <v>5454</v>
      </c>
      <c r="H1254" s="8" t="s">
        <v>5462</v>
      </c>
      <c r="I1254" s="27" t="s">
        <v>5466</v>
      </c>
      <c r="J1254" s="8" t="s">
        <v>4169</v>
      </c>
      <c r="K1254" s="8" t="s">
        <v>4170</v>
      </c>
      <c r="L1254" s="8"/>
      <c r="M1254" s="8" t="str">
        <f aca="false">IF(K1254="FUERA","Fuera del marco",IF(K1254="N/A","Sin marco",IFERROR(INDEX(Catalogo_TIMSS!$C$5:$C$105,MATCH(K1254,Catalogo_TIMSS!$A$5:$A$105,0)),"Pendiente de clasificar")))</f>
        <v>Sin marco</v>
      </c>
      <c r="N1254" s="8" t="str">
        <f aca="false">IF(K1254="FUERA","Fuera del marco",IF(K1254="N/A","Sin marco",IFERROR(INDEX(Catalogo_TIMSS!$F$5:$F$105,MATCH(K1254,Catalogo_TIMSS!$A$5:$A$105,0)),"Pendiente de clasificar")))</f>
        <v>Sin marco</v>
      </c>
      <c r="O1254" s="8" t="str">
        <f aca="false">IF(L1254="","",IFERROR(INDEX(Catalogo_TIMSS!$C$5:$C$105,MATCH(L1254,Catalogo_TIMSS!$A$5:$A$105,0)),"?"))</f>
        <v/>
      </c>
      <c r="P1254" s="8" t="s">
        <v>4170</v>
      </c>
      <c r="Q1254" s="27" t="s">
        <v>4171</v>
      </c>
      <c r="R1254" s="27" t="s">
        <v>5467</v>
      </c>
      <c r="S1254" s="28" t="n">
        <f aca="false">IFERROR(ISNUMBER(SEARCH("Conocer",$R1254))/(ISNUMBER(SEARCH("Conocer",$R1254))+ISNUMBER(SEARCH("Aplicar",$R1254))+ISNUMBER(SEARCH("Razonar",$R1254))),0)</f>
        <v>0</v>
      </c>
      <c r="T1254" s="28" t="n">
        <f aca="false">IFERROR(ISNUMBER(SEARCH("Aplicar",$R1254))/(ISNUMBER(SEARCH("Conocer",$R1254))+ISNUMBER(SEARCH("Aplicar",$R1254))+ISNUMBER(SEARCH("Razonar",$R1254))),0)</f>
        <v>0.5</v>
      </c>
      <c r="U1254" s="28" t="n">
        <f aca="false">IFERROR(ISNUMBER(SEARCH("Razonar",$R1254))/(ISNUMBER(SEARCH("Conocer",$R1254))+ISNUMBER(SEARCH("Aplicar",$R1254))+ISNUMBER(SEARCH("Razonar",$R1254))),0)</f>
        <v>0.5</v>
      </c>
      <c r="V1254" s="8" t="s">
        <v>387</v>
      </c>
      <c r="W1254" s="8" t="s">
        <v>4934</v>
      </c>
    </row>
    <row r="1255" customFormat="false" ht="15" hidden="false" customHeight="false" outlineLevel="0" collapsed="false">
      <c r="A1255" s="8" t="s">
        <v>5468</v>
      </c>
      <c r="B1255" s="8" t="n">
        <v>11</v>
      </c>
      <c r="C1255" s="8" t="s">
        <v>89</v>
      </c>
      <c r="D1255" s="8" t="s">
        <v>4928</v>
      </c>
      <c r="E1255" s="8" t="s">
        <v>5185</v>
      </c>
      <c r="F1255" s="8" t="n">
        <v>85</v>
      </c>
      <c r="G1255" s="8" t="s">
        <v>5454</v>
      </c>
      <c r="H1255" s="8" t="s">
        <v>5469</v>
      </c>
      <c r="I1255" s="27" t="s">
        <v>5470</v>
      </c>
      <c r="J1255" s="8" t="s">
        <v>4169</v>
      </c>
      <c r="K1255" s="8" t="s">
        <v>4170</v>
      </c>
      <c r="L1255" s="8"/>
      <c r="M1255" s="8" t="str">
        <f aca="false">IF(K1255="FUERA","Fuera del marco",IF(K1255="N/A","Sin marco",IFERROR(INDEX(Catalogo_TIMSS!$C$5:$C$105,MATCH(K1255,Catalogo_TIMSS!$A$5:$A$105,0)),"Pendiente de clasificar")))</f>
        <v>Sin marco</v>
      </c>
      <c r="N1255" s="8" t="str">
        <f aca="false">IF(K1255="FUERA","Fuera del marco",IF(K1255="N/A","Sin marco",IFERROR(INDEX(Catalogo_TIMSS!$F$5:$F$105,MATCH(K1255,Catalogo_TIMSS!$A$5:$A$105,0)),"Pendiente de clasificar")))</f>
        <v>Sin marco</v>
      </c>
      <c r="O1255" s="8" t="str">
        <f aca="false">IF(L1255="","",IFERROR(INDEX(Catalogo_TIMSS!$C$5:$C$105,MATCH(L1255,Catalogo_TIMSS!$A$5:$A$105,0)),"?"))</f>
        <v/>
      </c>
      <c r="P1255" s="8" t="s">
        <v>4170</v>
      </c>
      <c r="Q1255" s="27" t="s">
        <v>4171</v>
      </c>
      <c r="R1255" s="27" t="s">
        <v>5471</v>
      </c>
      <c r="S1255" s="28" t="n">
        <f aca="false">IFERROR(ISNUMBER(SEARCH("Conocer",$R1255))/(ISNUMBER(SEARCH("Conocer",$R1255))+ISNUMBER(SEARCH("Aplicar",$R1255))+ISNUMBER(SEARCH("Razonar",$R1255))),0)</f>
        <v>0.333333333333333</v>
      </c>
      <c r="T1255" s="28" t="n">
        <f aca="false">IFERROR(ISNUMBER(SEARCH("Aplicar",$R1255))/(ISNUMBER(SEARCH("Conocer",$R1255))+ISNUMBER(SEARCH("Aplicar",$R1255))+ISNUMBER(SEARCH("Razonar",$R1255))),0)</f>
        <v>0.333333333333333</v>
      </c>
      <c r="U1255" s="28" t="n">
        <f aca="false">IFERROR(ISNUMBER(SEARCH("Razonar",$R1255))/(ISNUMBER(SEARCH("Conocer",$R1255))+ISNUMBER(SEARCH("Aplicar",$R1255))+ISNUMBER(SEARCH("Razonar",$R1255))),0)</f>
        <v>0.333333333333333</v>
      </c>
      <c r="V1255" s="8" t="s">
        <v>387</v>
      </c>
      <c r="W1255" s="8" t="s">
        <v>4934</v>
      </c>
    </row>
    <row r="1256" customFormat="false" ht="15" hidden="false" customHeight="false" outlineLevel="0" collapsed="false">
      <c r="A1256" s="8" t="s">
        <v>5472</v>
      </c>
      <c r="B1256" s="8" t="n">
        <v>11</v>
      </c>
      <c r="C1256" s="8" t="s">
        <v>89</v>
      </c>
      <c r="D1256" s="8" t="s">
        <v>4928</v>
      </c>
      <c r="E1256" s="8" t="s">
        <v>5185</v>
      </c>
      <c r="F1256" s="8" t="n">
        <v>86</v>
      </c>
      <c r="G1256" s="8" t="s">
        <v>5454</v>
      </c>
      <c r="H1256" s="8" t="s">
        <v>5469</v>
      </c>
      <c r="I1256" s="27" t="s">
        <v>5473</v>
      </c>
      <c r="J1256" s="8" t="s">
        <v>4169</v>
      </c>
      <c r="K1256" s="8" t="s">
        <v>4170</v>
      </c>
      <c r="L1256" s="8"/>
      <c r="M1256" s="8" t="str">
        <f aca="false">IF(K1256="FUERA","Fuera del marco",IF(K1256="N/A","Sin marco",IFERROR(INDEX(Catalogo_TIMSS!$C$5:$C$105,MATCH(K1256,Catalogo_TIMSS!$A$5:$A$105,0)),"Pendiente de clasificar")))</f>
        <v>Sin marco</v>
      </c>
      <c r="N1256" s="8" t="str">
        <f aca="false">IF(K1256="FUERA","Fuera del marco",IF(K1256="N/A","Sin marco",IFERROR(INDEX(Catalogo_TIMSS!$F$5:$F$105,MATCH(K1256,Catalogo_TIMSS!$A$5:$A$105,0)),"Pendiente de clasificar")))</f>
        <v>Sin marco</v>
      </c>
      <c r="O1256" s="8" t="str">
        <f aca="false">IF(L1256="","",IFERROR(INDEX(Catalogo_TIMSS!$C$5:$C$105,MATCH(L1256,Catalogo_TIMSS!$A$5:$A$105,0)),"?"))</f>
        <v/>
      </c>
      <c r="P1256" s="8" t="s">
        <v>4170</v>
      </c>
      <c r="Q1256" s="27" t="s">
        <v>4171</v>
      </c>
      <c r="R1256" s="27" t="s">
        <v>5474</v>
      </c>
      <c r="S1256" s="28" t="n">
        <f aca="false">IFERROR(ISNUMBER(SEARCH("Conocer",$R1256))/(ISNUMBER(SEARCH("Conocer",$R1256))+ISNUMBER(SEARCH("Aplicar",$R1256))+ISNUMBER(SEARCH("Razonar",$R1256))),0)</f>
        <v>0</v>
      </c>
      <c r="T1256" s="28" t="n">
        <f aca="false">IFERROR(ISNUMBER(SEARCH("Aplicar",$R1256))/(ISNUMBER(SEARCH("Conocer",$R1256))+ISNUMBER(SEARCH("Aplicar",$R1256))+ISNUMBER(SEARCH("Razonar",$R1256))),0)</f>
        <v>0.5</v>
      </c>
      <c r="U1256" s="28" t="n">
        <f aca="false">IFERROR(ISNUMBER(SEARCH("Razonar",$R1256))/(ISNUMBER(SEARCH("Conocer",$R1256))+ISNUMBER(SEARCH("Aplicar",$R1256))+ISNUMBER(SEARCH("Razonar",$R1256))),0)</f>
        <v>0.5</v>
      </c>
      <c r="V1256" s="8" t="s">
        <v>387</v>
      </c>
      <c r="W1256" s="8" t="s">
        <v>4934</v>
      </c>
    </row>
    <row r="1257" customFormat="false" ht="15" hidden="false" customHeight="false" outlineLevel="0" collapsed="false">
      <c r="A1257" s="8" t="s">
        <v>5475</v>
      </c>
      <c r="B1257" s="8" t="n">
        <v>11</v>
      </c>
      <c r="C1257" s="8" t="s">
        <v>89</v>
      </c>
      <c r="D1257" s="8" t="s">
        <v>4928</v>
      </c>
      <c r="E1257" s="8" t="s">
        <v>5185</v>
      </c>
      <c r="F1257" s="8" t="n">
        <v>87</v>
      </c>
      <c r="G1257" s="8" t="s">
        <v>5454</v>
      </c>
      <c r="H1257" s="8" t="s">
        <v>5476</v>
      </c>
      <c r="I1257" s="27" t="s">
        <v>5477</v>
      </c>
      <c r="J1257" s="8" t="s">
        <v>4169</v>
      </c>
      <c r="K1257" s="8" t="s">
        <v>4170</v>
      </c>
      <c r="L1257" s="8"/>
      <c r="M1257" s="8" t="str">
        <f aca="false">IF(K1257="FUERA","Fuera del marco",IF(K1257="N/A","Sin marco",IFERROR(INDEX(Catalogo_TIMSS!$C$5:$C$105,MATCH(K1257,Catalogo_TIMSS!$A$5:$A$105,0)),"Pendiente de clasificar")))</f>
        <v>Sin marco</v>
      </c>
      <c r="N1257" s="8" t="str">
        <f aca="false">IF(K1257="FUERA","Fuera del marco",IF(K1257="N/A","Sin marco",IFERROR(INDEX(Catalogo_TIMSS!$F$5:$F$105,MATCH(K1257,Catalogo_TIMSS!$A$5:$A$105,0)),"Pendiente de clasificar")))</f>
        <v>Sin marco</v>
      </c>
      <c r="O1257" s="8" t="str">
        <f aca="false">IF(L1257="","",IFERROR(INDEX(Catalogo_TIMSS!$C$5:$C$105,MATCH(L1257,Catalogo_TIMSS!$A$5:$A$105,0)),"?"))</f>
        <v/>
      </c>
      <c r="P1257" s="8" t="s">
        <v>4170</v>
      </c>
      <c r="Q1257" s="27" t="s">
        <v>4171</v>
      </c>
      <c r="R1257" s="27" t="s">
        <v>5478</v>
      </c>
      <c r="S1257" s="28" t="n">
        <f aca="false">IFERROR(ISNUMBER(SEARCH("Conocer",$R1257))/(ISNUMBER(SEARCH("Conocer",$R1257))+ISNUMBER(SEARCH("Aplicar",$R1257))+ISNUMBER(SEARCH("Razonar",$R1257))),0)</f>
        <v>0</v>
      </c>
      <c r="T1257" s="28" t="n">
        <f aca="false">IFERROR(ISNUMBER(SEARCH("Aplicar",$R1257))/(ISNUMBER(SEARCH("Conocer",$R1257))+ISNUMBER(SEARCH("Aplicar",$R1257))+ISNUMBER(SEARCH("Razonar",$R1257))),0)</f>
        <v>0.5</v>
      </c>
      <c r="U1257" s="28" t="n">
        <f aca="false">IFERROR(ISNUMBER(SEARCH("Razonar",$R1257))/(ISNUMBER(SEARCH("Conocer",$R1257))+ISNUMBER(SEARCH("Aplicar",$R1257))+ISNUMBER(SEARCH("Razonar",$R1257))),0)</f>
        <v>0.5</v>
      </c>
      <c r="V1257" s="8" t="s">
        <v>387</v>
      </c>
      <c r="W1257" s="8" t="s">
        <v>4934</v>
      </c>
    </row>
    <row r="1258" customFormat="false" ht="15" hidden="false" customHeight="false" outlineLevel="0" collapsed="false">
      <c r="A1258" s="8" t="s">
        <v>5479</v>
      </c>
      <c r="B1258" s="8" t="n">
        <v>11</v>
      </c>
      <c r="C1258" s="8" t="s">
        <v>89</v>
      </c>
      <c r="D1258" s="8" t="s">
        <v>4928</v>
      </c>
      <c r="E1258" s="8" t="s">
        <v>5185</v>
      </c>
      <c r="F1258" s="8" t="n">
        <v>88</v>
      </c>
      <c r="G1258" s="8" t="s">
        <v>5480</v>
      </c>
      <c r="H1258" s="8" t="s">
        <v>5481</v>
      </c>
      <c r="I1258" s="27" t="s">
        <v>5482</v>
      </c>
      <c r="J1258" s="8" t="s">
        <v>4169</v>
      </c>
      <c r="K1258" s="8" t="s">
        <v>4170</v>
      </c>
      <c r="L1258" s="8"/>
      <c r="M1258" s="8" t="str">
        <f aca="false">IF(K1258="FUERA","Fuera del marco",IF(K1258="N/A","Sin marco",IFERROR(INDEX(Catalogo_TIMSS!$C$5:$C$105,MATCH(K1258,Catalogo_TIMSS!$A$5:$A$105,0)),"Pendiente de clasificar")))</f>
        <v>Sin marco</v>
      </c>
      <c r="N1258" s="8" t="str">
        <f aca="false">IF(K1258="FUERA","Fuera del marco",IF(K1258="N/A","Sin marco",IFERROR(INDEX(Catalogo_TIMSS!$F$5:$F$105,MATCH(K1258,Catalogo_TIMSS!$A$5:$A$105,0)),"Pendiente de clasificar")))</f>
        <v>Sin marco</v>
      </c>
      <c r="O1258" s="8" t="str">
        <f aca="false">IF(L1258="","",IFERROR(INDEX(Catalogo_TIMSS!$C$5:$C$105,MATCH(L1258,Catalogo_TIMSS!$A$5:$A$105,0)),"?"))</f>
        <v/>
      </c>
      <c r="P1258" s="8" t="s">
        <v>4170</v>
      </c>
      <c r="Q1258" s="27" t="s">
        <v>4171</v>
      </c>
      <c r="R1258" s="27" t="s">
        <v>5483</v>
      </c>
      <c r="S1258" s="28" t="n">
        <f aca="false">IFERROR(ISNUMBER(SEARCH("Conocer",$R1258))/(ISNUMBER(SEARCH("Conocer",$R1258))+ISNUMBER(SEARCH("Aplicar",$R1258))+ISNUMBER(SEARCH("Razonar",$R1258))),0)</f>
        <v>0</v>
      </c>
      <c r="T1258" s="28" t="n">
        <f aca="false">IFERROR(ISNUMBER(SEARCH("Aplicar",$R1258))/(ISNUMBER(SEARCH("Conocer",$R1258))+ISNUMBER(SEARCH("Aplicar",$R1258))+ISNUMBER(SEARCH("Razonar",$R1258))),0)</f>
        <v>0.5</v>
      </c>
      <c r="U1258" s="28" t="n">
        <f aca="false">IFERROR(ISNUMBER(SEARCH("Razonar",$R1258))/(ISNUMBER(SEARCH("Conocer",$R1258))+ISNUMBER(SEARCH("Aplicar",$R1258))+ISNUMBER(SEARCH("Razonar",$R1258))),0)</f>
        <v>0.5</v>
      </c>
      <c r="V1258" s="8" t="s">
        <v>387</v>
      </c>
      <c r="W1258" s="8" t="s">
        <v>4934</v>
      </c>
    </row>
    <row r="1259" customFormat="false" ht="15" hidden="false" customHeight="false" outlineLevel="0" collapsed="false">
      <c r="A1259" s="8" t="s">
        <v>5484</v>
      </c>
      <c r="B1259" s="8" t="n">
        <v>11</v>
      </c>
      <c r="C1259" s="8" t="s">
        <v>89</v>
      </c>
      <c r="D1259" s="8" t="s">
        <v>4928</v>
      </c>
      <c r="E1259" s="8" t="s">
        <v>5185</v>
      </c>
      <c r="F1259" s="8" t="n">
        <v>89</v>
      </c>
      <c r="G1259" s="8" t="s">
        <v>5480</v>
      </c>
      <c r="H1259" s="8" t="s">
        <v>5485</v>
      </c>
      <c r="I1259" s="27" t="s">
        <v>5486</v>
      </c>
      <c r="J1259" s="8" t="s">
        <v>4169</v>
      </c>
      <c r="K1259" s="8" t="s">
        <v>4170</v>
      </c>
      <c r="L1259" s="8"/>
      <c r="M1259" s="8" t="str">
        <f aca="false">IF(K1259="FUERA","Fuera del marco",IF(K1259="N/A","Sin marco",IFERROR(INDEX(Catalogo_TIMSS!$C$5:$C$105,MATCH(K1259,Catalogo_TIMSS!$A$5:$A$105,0)),"Pendiente de clasificar")))</f>
        <v>Sin marco</v>
      </c>
      <c r="N1259" s="8" t="str">
        <f aca="false">IF(K1259="FUERA","Fuera del marco",IF(K1259="N/A","Sin marco",IFERROR(INDEX(Catalogo_TIMSS!$F$5:$F$105,MATCH(K1259,Catalogo_TIMSS!$A$5:$A$105,0)),"Pendiente de clasificar")))</f>
        <v>Sin marco</v>
      </c>
      <c r="O1259" s="8" t="str">
        <f aca="false">IF(L1259="","",IFERROR(INDEX(Catalogo_TIMSS!$C$5:$C$105,MATCH(L1259,Catalogo_TIMSS!$A$5:$A$105,0)),"?"))</f>
        <v/>
      </c>
      <c r="P1259" s="8" t="s">
        <v>4170</v>
      </c>
      <c r="Q1259" s="27" t="s">
        <v>4171</v>
      </c>
      <c r="R1259" s="27" t="s">
        <v>5487</v>
      </c>
      <c r="S1259" s="28" t="n">
        <f aca="false">IFERROR(ISNUMBER(SEARCH("Conocer",$R1259))/(ISNUMBER(SEARCH("Conocer",$R1259))+ISNUMBER(SEARCH("Aplicar",$R1259))+ISNUMBER(SEARCH("Razonar",$R1259))),0)</f>
        <v>0</v>
      </c>
      <c r="T1259" s="28" t="n">
        <f aca="false">IFERROR(ISNUMBER(SEARCH("Aplicar",$R1259))/(ISNUMBER(SEARCH("Conocer",$R1259))+ISNUMBER(SEARCH("Aplicar",$R1259))+ISNUMBER(SEARCH("Razonar",$R1259))),0)</f>
        <v>0.5</v>
      </c>
      <c r="U1259" s="28" t="n">
        <f aca="false">IFERROR(ISNUMBER(SEARCH("Razonar",$R1259))/(ISNUMBER(SEARCH("Conocer",$R1259))+ISNUMBER(SEARCH("Aplicar",$R1259))+ISNUMBER(SEARCH("Razonar",$R1259))),0)</f>
        <v>0.5</v>
      </c>
      <c r="V1259" s="8" t="s">
        <v>387</v>
      </c>
      <c r="W1259" s="8" t="s">
        <v>4934</v>
      </c>
    </row>
    <row r="1260" customFormat="false" ht="15" hidden="false" customHeight="false" outlineLevel="0" collapsed="false">
      <c r="A1260" s="8" t="s">
        <v>5488</v>
      </c>
      <c r="B1260" s="8" t="n">
        <v>11</v>
      </c>
      <c r="C1260" s="8" t="s">
        <v>89</v>
      </c>
      <c r="D1260" s="8" t="s">
        <v>4928</v>
      </c>
      <c r="E1260" s="8" t="s">
        <v>5185</v>
      </c>
      <c r="F1260" s="8" t="n">
        <v>90</v>
      </c>
      <c r="G1260" s="8" t="s">
        <v>5480</v>
      </c>
      <c r="H1260" s="8" t="s">
        <v>5485</v>
      </c>
      <c r="I1260" s="27" t="s">
        <v>5489</v>
      </c>
      <c r="J1260" s="8" t="s">
        <v>4169</v>
      </c>
      <c r="K1260" s="8" t="s">
        <v>4170</v>
      </c>
      <c r="L1260" s="8"/>
      <c r="M1260" s="8" t="str">
        <f aca="false">IF(K1260="FUERA","Fuera del marco",IF(K1260="N/A","Sin marco",IFERROR(INDEX(Catalogo_TIMSS!$C$5:$C$105,MATCH(K1260,Catalogo_TIMSS!$A$5:$A$105,0)),"Pendiente de clasificar")))</f>
        <v>Sin marco</v>
      </c>
      <c r="N1260" s="8" t="str">
        <f aca="false">IF(K1260="FUERA","Fuera del marco",IF(K1260="N/A","Sin marco",IFERROR(INDEX(Catalogo_TIMSS!$F$5:$F$105,MATCH(K1260,Catalogo_TIMSS!$A$5:$A$105,0)),"Pendiente de clasificar")))</f>
        <v>Sin marco</v>
      </c>
      <c r="O1260" s="8" t="str">
        <f aca="false">IF(L1260="","",IFERROR(INDEX(Catalogo_TIMSS!$C$5:$C$105,MATCH(L1260,Catalogo_TIMSS!$A$5:$A$105,0)),"?"))</f>
        <v/>
      </c>
      <c r="P1260" s="8" t="s">
        <v>4170</v>
      </c>
      <c r="Q1260" s="27" t="s">
        <v>4171</v>
      </c>
      <c r="R1260" s="27" t="s">
        <v>5490</v>
      </c>
      <c r="S1260" s="28" t="n">
        <f aca="false">IFERROR(ISNUMBER(SEARCH("Conocer",$R1260))/(ISNUMBER(SEARCH("Conocer",$R1260))+ISNUMBER(SEARCH("Aplicar",$R1260))+ISNUMBER(SEARCH("Razonar",$R1260))),0)</f>
        <v>0</v>
      </c>
      <c r="T1260" s="28" t="n">
        <f aca="false">IFERROR(ISNUMBER(SEARCH("Aplicar",$R1260))/(ISNUMBER(SEARCH("Conocer",$R1260))+ISNUMBER(SEARCH("Aplicar",$R1260))+ISNUMBER(SEARCH("Razonar",$R1260))),0)</f>
        <v>0.5</v>
      </c>
      <c r="U1260" s="28" t="n">
        <f aca="false">IFERROR(ISNUMBER(SEARCH("Razonar",$R1260))/(ISNUMBER(SEARCH("Conocer",$R1260))+ISNUMBER(SEARCH("Aplicar",$R1260))+ISNUMBER(SEARCH("Razonar",$R1260))),0)</f>
        <v>0.5</v>
      </c>
      <c r="V1260" s="8" t="s">
        <v>387</v>
      </c>
      <c r="W1260" s="8" t="s">
        <v>4934</v>
      </c>
    </row>
    <row r="1261" customFormat="false" ht="15" hidden="false" customHeight="false" outlineLevel="0" collapsed="false">
      <c r="A1261" s="8" t="s">
        <v>5491</v>
      </c>
      <c r="B1261" s="8" t="n">
        <v>11</v>
      </c>
      <c r="C1261" s="8" t="s">
        <v>89</v>
      </c>
      <c r="D1261" s="8" t="s">
        <v>4928</v>
      </c>
      <c r="E1261" s="8" t="s">
        <v>5185</v>
      </c>
      <c r="F1261" s="8" t="n">
        <v>91</v>
      </c>
      <c r="G1261" s="8" t="s">
        <v>5480</v>
      </c>
      <c r="H1261" s="8" t="s">
        <v>5492</v>
      </c>
      <c r="I1261" s="27" t="s">
        <v>5493</v>
      </c>
      <c r="J1261" s="8" t="s">
        <v>4169</v>
      </c>
      <c r="K1261" s="8" t="s">
        <v>4170</v>
      </c>
      <c r="L1261" s="8"/>
      <c r="M1261" s="8" t="str">
        <f aca="false">IF(K1261="FUERA","Fuera del marco",IF(K1261="N/A","Sin marco",IFERROR(INDEX(Catalogo_TIMSS!$C$5:$C$105,MATCH(K1261,Catalogo_TIMSS!$A$5:$A$105,0)),"Pendiente de clasificar")))</f>
        <v>Sin marco</v>
      </c>
      <c r="N1261" s="8" t="str">
        <f aca="false">IF(K1261="FUERA","Fuera del marco",IF(K1261="N/A","Sin marco",IFERROR(INDEX(Catalogo_TIMSS!$F$5:$F$105,MATCH(K1261,Catalogo_TIMSS!$A$5:$A$105,0)),"Pendiente de clasificar")))</f>
        <v>Sin marco</v>
      </c>
      <c r="O1261" s="8" t="str">
        <f aca="false">IF(L1261="","",IFERROR(INDEX(Catalogo_TIMSS!$C$5:$C$105,MATCH(L1261,Catalogo_TIMSS!$A$5:$A$105,0)),"?"))</f>
        <v/>
      </c>
      <c r="P1261" s="8" t="s">
        <v>4170</v>
      </c>
      <c r="Q1261" s="27" t="s">
        <v>4171</v>
      </c>
      <c r="R1261" s="27" t="s">
        <v>5494</v>
      </c>
      <c r="S1261" s="28" t="n">
        <f aca="false">IFERROR(ISNUMBER(SEARCH("Conocer",$R1261))/(ISNUMBER(SEARCH("Conocer",$R1261))+ISNUMBER(SEARCH("Aplicar",$R1261))+ISNUMBER(SEARCH("Razonar",$R1261))),0)</f>
        <v>0</v>
      </c>
      <c r="T1261" s="28" t="n">
        <f aca="false">IFERROR(ISNUMBER(SEARCH("Aplicar",$R1261))/(ISNUMBER(SEARCH("Conocer",$R1261))+ISNUMBER(SEARCH("Aplicar",$R1261))+ISNUMBER(SEARCH("Razonar",$R1261))),0)</f>
        <v>0.5</v>
      </c>
      <c r="U1261" s="28" t="n">
        <f aca="false">IFERROR(ISNUMBER(SEARCH("Razonar",$R1261))/(ISNUMBER(SEARCH("Conocer",$R1261))+ISNUMBER(SEARCH("Aplicar",$R1261))+ISNUMBER(SEARCH("Razonar",$R1261))),0)</f>
        <v>0.5</v>
      </c>
      <c r="V1261" s="8" t="s">
        <v>387</v>
      </c>
      <c r="W1261" s="8" t="s">
        <v>4934</v>
      </c>
    </row>
    <row r="1262" customFormat="false" ht="15" hidden="false" customHeight="false" outlineLevel="0" collapsed="false">
      <c r="A1262" s="8" t="s">
        <v>5495</v>
      </c>
      <c r="B1262" s="8" t="n">
        <v>11</v>
      </c>
      <c r="C1262" s="8" t="s">
        <v>89</v>
      </c>
      <c r="D1262" s="8" t="s">
        <v>4928</v>
      </c>
      <c r="E1262" s="8" t="s">
        <v>5185</v>
      </c>
      <c r="F1262" s="8" t="n">
        <v>92</v>
      </c>
      <c r="G1262" s="8" t="s">
        <v>5480</v>
      </c>
      <c r="H1262" s="8" t="s">
        <v>5492</v>
      </c>
      <c r="I1262" s="27" t="s">
        <v>5496</v>
      </c>
      <c r="J1262" s="8" t="s">
        <v>4169</v>
      </c>
      <c r="K1262" s="8" t="s">
        <v>4170</v>
      </c>
      <c r="L1262" s="8"/>
      <c r="M1262" s="8" t="str">
        <f aca="false">IF(K1262="FUERA","Fuera del marco",IF(K1262="N/A","Sin marco",IFERROR(INDEX(Catalogo_TIMSS!$C$5:$C$105,MATCH(K1262,Catalogo_TIMSS!$A$5:$A$105,0)),"Pendiente de clasificar")))</f>
        <v>Sin marco</v>
      </c>
      <c r="N1262" s="8" t="str">
        <f aca="false">IF(K1262="FUERA","Fuera del marco",IF(K1262="N/A","Sin marco",IFERROR(INDEX(Catalogo_TIMSS!$F$5:$F$105,MATCH(K1262,Catalogo_TIMSS!$A$5:$A$105,0)),"Pendiente de clasificar")))</f>
        <v>Sin marco</v>
      </c>
      <c r="O1262" s="8" t="str">
        <f aca="false">IF(L1262="","",IFERROR(INDEX(Catalogo_TIMSS!$C$5:$C$105,MATCH(L1262,Catalogo_TIMSS!$A$5:$A$105,0)),"?"))</f>
        <v/>
      </c>
      <c r="P1262" s="8" t="s">
        <v>4170</v>
      </c>
      <c r="Q1262" s="27" t="s">
        <v>4171</v>
      </c>
      <c r="R1262" s="27" t="s">
        <v>5497</v>
      </c>
      <c r="S1262" s="28" t="n">
        <f aca="false">IFERROR(ISNUMBER(SEARCH("Conocer",$R1262))/(ISNUMBER(SEARCH("Conocer",$R1262))+ISNUMBER(SEARCH("Aplicar",$R1262))+ISNUMBER(SEARCH("Razonar",$R1262))),0)</f>
        <v>0.5</v>
      </c>
      <c r="T1262" s="28" t="n">
        <f aca="false">IFERROR(ISNUMBER(SEARCH("Aplicar",$R1262))/(ISNUMBER(SEARCH("Conocer",$R1262))+ISNUMBER(SEARCH("Aplicar",$R1262))+ISNUMBER(SEARCH("Razonar",$R1262))),0)</f>
        <v>0</v>
      </c>
      <c r="U1262" s="28" t="n">
        <f aca="false">IFERROR(ISNUMBER(SEARCH("Razonar",$R1262))/(ISNUMBER(SEARCH("Conocer",$R1262))+ISNUMBER(SEARCH("Aplicar",$R1262))+ISNUMBER(SEARCH("Razonar",$R1262))),0)</f>
        <v>0.5</v>
      </c>
      <c r="V1262" s="8" t="s">
        <v>387</v>
      </c>
      <c r="W1262" s="8" t="s">
        <v>4934</v>
      </c>
    </row>
    <row r="1263" customFormat="false" ht="15" hidden="false" customHeight="false" outlineLevel="0" collapsed="false">
      <c r="A1263" s="8" t="s">
        <v>5498</v>
      </c>
      <c r="B1263" s="8" t="n">
        <v>11</v>
      </c>
      <c r="C1263" s="8" t="s">
        <v>89</v>
      </c>
      <c r="D1263" s="8" t="s">
        <v>4928</v>
      </c>
      <c r="E1263" s="8" t="s">
        <v>5185</v>
      </c>
      <c r="F1263" s="8" t="n">
        <v>93</v>
      </c>
      <c r="G1263" s="8" t="s">
        <v>5480</v>
      </c>
      <c r="H1263" s="8" t="s">
        <v>5492</v>
      </c>
      <c r="I1263" s="27" t="s">
        <v>5499</v>
      </c>
      <c r="J1263" s="8" t="s">
        <v>4169</v>
      </c>
      <c r="K1263" s="8" t="s">
        <v>4170</v>
      </c>
      <c r="L1263" s="8"/>
      <c r="M1263" s="8" t="str">
        <f aca="false">IF(K1263="FUERA","Fuera del marco",IF(K1263="N/A","Sin marco",IFERROR(INDEX(Catalogo_TIMSS!$C$5:$C$105,MATCH(K1263,Catalogo_TIMSS!$A$5:$A$105,0)),"Pendiente de clasificar")))</f>
        <v>Sin marco</v>
      </c>
      <c r="N1263" s="8" t="str">
        <f aca="false">IF(K1263="FUERA","Fuera del marco",IF(K1263="N/A","Sin marco",IFERROR(INDEX(Catalogo_TIMSS!$F$5:$F$105,MATCH(K1263,Catalogo_TIMSS!$A$5:$A$105,0)),"Pendiente de clasificar")))</f>
        <v>Sin marco</v>
      </c>
      <c r="O1263" s="8" t="str">
        <f aca="false">IF(L1263="","",IFERROR(INDEX(Catalogo_TIMSS!$C$5:$C$105,MATCH(L1263,Catalogo_TIMSS!$A$5:$A$105,0)),"?"))</f>
        <v/>
      </c>
      <c r="P1263" s="8" t="s">
        <v>4170</v>
      </c>
      <c r="Q1263" s="27" t="s">
        <v>4171</v>
      </c>
      <c r="R1263" s="27" t="s">
        <v>5500</v>
      </c>
      <c r="S1263" s="28" t="n">
        <f aca="false">IFERROR(ISNUMBER(SEARCH("Conocer",$R1263))/(ISNUMBER(SEARCH("Conocer",$R1263))+ISNUMBER(SEARCH("Aplicar",$R1263))+ISNUMBER(SEARCH("Razonar",$R1263))),0)</f>
        <v>0.5</v>
      </c>
      <c r="T1263" s="28" t="n">
        <f aca="false">IFERROR(ISNUMBER(SEARCH("Aplicar",$R1263))/(ISNUMBER(SEARCH("Conocer",$R1263))+ISNUMBER(SEARCH("Aplicar",$R1263))+ISNUMBER(SEARCH("Razonar",$R1263))),0)</f>
        <v>0</v>
      </c>
      <c r="U1263" s="28" t="n">
        <f aca="false">IFERROR(ISNUMBER(SEARCH("Razonar",$R1263))/(ISNUMBER(SEARCH("Conocer",$R1263))+ISNUMBER(SEARCH("Aplicar",$R1263))+ISNUMBER(SEARCH("Razonar",$R1263))),0)</f>
        <v>0.5</v>
      </c>
      <c r="V1263" s="8" t="s">
        <v>387</v>
      </c>
      <c r="W1263" s="8" t="s">
        <v>4934</v>
      </c>
    </row>
    <row r="1264" customFormat="false" ht="15" hidden="false" customHeight="false" outlineLevel="0" collapsed="false">
      <c r="A1264" s="8" t="s">
        <v>5501</v>
      </c>
      <c r="B1264" s="8" t="n">
        <v>11</v>
      </c>
      <c r="C1264" s="8" t="s">
        <v>89</v>
      </c>
      <c r="D1264" s="8" t="s">
        <v>4928</v>
      </c>
      <c r="E1264" s="8" t="s">
        <v>5185</v>
      </c>
      <c r="F1264" s="8" t="n">
        <v>94</v>
      </c>
      <c r="G1264" s="8" t="s">
        <v>5480</v>
      </c>
      <c r="H1264" s="8" t="s">
        <v>5502</v>
      </c>
      <c r="I1264" s="27" t="s">
        <v>5503</v>
      </c>
      <c r="J1264" s="8" t="s">
        <v>4169</v>
      </c>
      <c r="K1264" s="8" t="s">
        <v>4170</v>
      </c>
      <c r="L1264" s="8"/>
      <c r="M1264" s="8" t="str">
        <f aca="false">IF(K1264="FUERA","Fuera del marco",IF(K1264="N/A","Sin marco",IFERROR(INDEX(Catalogo_TIMSS!$C$5:$C$105,MATCH(K1264,Catalogo_TIMSS!$A$5:$A$105,0)),"Pendiente de clasificar")))</f>
        <v>Sin marco</v>
      </c>
      <c r="N1264" s="8" t="str">
        <f aca="false">IF(K1264="FUERA","Fuera del marco",IF(K1264="N/A","Sin marco",IFERROR(INDEX(Catalogo_TIMSS!$F$5:$F$105,MATCH(K1264,Catalogo_TIMSS!$A$5:$A$105,0)),"Pendiente de clasificar")))</f>
        <v>Sin marco</v>
      </c>
      <c r="O1264" s="8" t="str">
        <f aca="false">IF(L1264="","",IFERROR(INDEX(Catalogo_TIMSS!$C$5:$C$105,MATCH(L1264,Catalogo_TIMSS!$A$5:$A$105,0)),"?"))</f>
        <v/>
      </c>
      <c r="P1264" s="8" t="s">
        <v>4170</v>
      </c>
      <c r="Q1264" s="27" t="s">
        <v>4171</v>
      </c>
      <c r="R1264" s="27" t="s">
        <v>5504</v>
      </c>
      <c r="S1264" s="28" t="n">
        <f aca="false">IFERROR(ISNUMBER(SEARCH("Conocer",$R1264))/(ISNUMBER(SEARCH("Conocer",$R1264))+ISNUMBER(SEARCH("Aplicar",$R1264))+ISNUMBER(SEARCH("Razonar",$R1264))),0)</f>
        <v>0</v>
      </c>
      <c r="T1264" s="28" t="n">
        <f aca="false">IFERROR(ISNUMBER(SEARCH("Aplicar",$R1264))/(ISNUMBER(SEARCH("Conocer",$R1264))+ISNUMBER(SEARCH("Aplicar",$R1264))+ISNUMBER(SEARCH("Razonar",$R1264))),0)</f>
        <v>0.5</v>
      </c>
      <c r="U1264" s="28" t="n">
        <f aca="false">IFERROR(ISNUMBER(SEARCH("Razonar",$R1264))/(ISNUMBER(SEARCH("Conocer",$R1264))+ISNUMBER(SEARCH("Aplicar",$R1264))+ISNUMBER(SEARCH("Razonar",$R1264))),0)</f>
        <v>0.5</v>
      </c>
      <c r="V1264" s="8" t="s">
        <v>387</v>
      </c>
      <c r="W1264" s="8" t="s">
        <v>4934</v>
      </c>
    </row>
  </sheetData>
  <autoFilter ref="A4:W1264"/>
  <mergeCells count="1">
    <mergeCell ref="A2:W2"/>
  </mergeCells>
  <conditionalFormatting sqref="P5:P1264">
    <cfRule type="cellIs" priority="2" operator="equal" aboveAverage="0" equalAverage="0" bottom="0" percent="0" rank="0" text="" dxfId="0">
      <formula>"baja"</formula>
    </cfRule>
  </conditionalFormatting>
  <conditionalFormatting sqref="K5:K1264">
    <cfRule type="cellIs" priority="3" operator="equal" aboveAverage="0" equalAverage="0" bottom="0" percent="0" rank="0" text="" dxfId="12">
      <formula>"FUERA"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7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5" t="s">
        <v>5505</v>
      </c>
    </row>
    <row r="2" customFormat="false" ht="30" hidden="false" customHeight="true" outlineLevel="0" collapsed="false">
      <c r="A2" s="6" t="s">
        <v>5506</v>
      </c>
      <c r="B2" s="6"/>
      <c r="C2" s="6"/>
      <c r="D2" s="6"/>
      <c r="E2" s="6"/>
      <c r="F2" s="6"/>
      <c r="G2" s="6"/>
      <c r="H2" s="6"/>
    </row>
    <row r="4" customFormat="false" ht="30" hidden="false" customHeight="true" outlineLevel="0" collapsed="false">
      <c r="A4" s="7" t="s">
        <v>99</v>
      </c>
      <c r="B4" s="7" t="s">
        <v>100</v>
      </c>
      <c r="C4" s="7" t="s">
        <v>73</v>
      </c>
      <c r="D4" s="7" t="s">
        <v>5507</v>
      </c>
      <c r="E4" s="7" t="s">
        <v>5508</v>
      </c>
      <c r="F4" s="7" t="s">
        <v>101</v>
      </c>
      <c r="G4" s="7" t="s">
        <v>5509</v>
      </c>
      <c r="H4" s="7" t="s">
        <v>5510</v>
      </c>
    </row>
    <row r="5" customFormat="false" ht="23.85" hidden="false" customHeight="false" outlineLevel="0" collapsed="false">
      <c r="A5" s="23" t="s">
        <v>108</v>
      </c>
      <c r="B5" s="23" t="s">
        <v>109</v>
      </c>
      <c r="C5" s="23" t="s">
        <v>85</v>
      </c>
      <c r="D5" s="29" t="n">
        <v>0.45</v>
      </c>
      <c r="E5" s="23" t="s">
        <v>5511</v>
      </c>
      <c r="F5" s="23" t="s">
        <v>110</v>
      </c>
      <c r="G5" s="23" t="s">
        <v>111</v>
      </c>
      <c r="H5" s="23" t="s">
        <v>5512</v>
      </c>
    </row>
    <row r="6" customFormat="false" ht="23.85" hidden="false" customHeight="false" outlineLevel="0" collapsed="false">
      <c r="A6" s="23" t="s">
        <v>112</v>
      </c>
      <c r="B6" s="23" t="s">
        <v>109</v>
      </c>
      <c r="C6" s="23" t="s">
        <v>85</v>
      </c>
      <c r="D6" s="29" t="n">
        <v>0.45</v>
      </c>
      <c r="E6" s="23" t="s">
        <v>5511</v>
      </c>
      <c r="F6" s="23" t="s">
        <v>110</v>
      </c>
      <c r="G6" s="23" t="s">
        <v>113</v>
      </c>
      <c r="H6" s="23" t="s">
        <v>5512</v>
      </c>
    </row>
    <row r="7" customFormat="false" ht="23.85" hidden="false" customHeight="false" outlineLevel="0" collapsed="false">
      <c r="A7" s="23" t="s">
        <v>114</v>
      </c>
      <c r="B7" s="23" t="s">
        <v>109</v>
      </c>
      <c r="C7" s="23" t="s">
        <v>85</v>
      </c>
      <c r="D7" s="29" t="n">
        <v>0.45</v>
      </c>
      <c r="E7" s="23" t="s">
        <v>5511</v>
      </c>
      <c r="F7" s="23" t="s">
        <v>110</v>
      </c>
      <c r="G7" s="23" t="s">
        <v>115</v>
      </c>
      <c r="H7" s="23" t="s">
        <v>5512</v>
      </c>
    </row>
    <row r="8" customFormat="false" ht="23.85" hidden="false" customHeight="false" outlineLevel="0" collapsed="false">
      <c r="A8" s="23" t="s">
        <v>116</v>
      </c>
      <c r="B8" s="23" t="s">
        <v>109</v>
      </c>
      <c r="C8" s="23" t="s">
        <v>85</v>
      </c>
      <c r="D8" s="29" t="n">
        <v>0.45</v>
      </c>
      <c r="E8" s="23" t="s">
        <v>5513</v>
      </c>
      <c r="F8" s="23" t="s">
        <v>117</v>
      </c>
      <c r="G8" s="23" t="s">
        <v>118</v>
      </c>
      <c r="H8" s="23" t="s">
        <v>5512</v>
      </c>
    </row>
    <row r="9" customFormat="false" ht="23.85" hidden="false" customHeight="false" outlineLevel="0" collapsed="false">
      <c r="A9" s="23" t="s">
        <v>119</v>
      </c>
      <c r="B9" s="23" t="s">
        <v>109</v>
      </c>
      <c r="C9" s="23" t="s">
        <v>85</v>
      </c>
      <c r="D9" s="29" t="n">
        <v>0.45</v>
      </c>
      <c r="E9" s="23" t="s">
        <v>5513</v>
      </c>
      <c r="F9" s="23" t="s">
        <v>117</v>
      </c>
      <c r="G9" s="23" t="s">
        <v>120</v>
      </c>
      <c r="H9" s="23" t="s">
        <v>5512</v>
      </c>
    </row>
    <row r="10" customFormat="false" ht="23.85" hidden="false" customHeight="false" outlineLevel="0" collapsed="false">
      <c r="A10" s="23" t="s">
        <v>121</v>
      </c>
      <c r="B10" s="23" t="s">
        <v>109</v>
      </c>
      <c r="C10" s="23" t="s">
        <v>85</v>
      </c>
      <c r="D10" s="29" t="n">
        <v>0.45</v>
      </c>
      <c r="E10" s="23" t="s">
        <v>5514</v>
      </c>
      <c r="F10" s="23" t="s">
        <v>122</v>
      </c>
      <c r="G10" s="23" t="s">
        <v>123</v>
      </c>
      <c r="H10" s="23" t="s">
        <v>5512</v>
      </c>
    </row>
    <row r="11" customFormat="false" ht="23.85" hidden="false" customHeight="false" outlineLevel="0" collapsed="false">
      <c r="A11" s="23" t="s">
        <v>124</v>
      </c>
      <c r="B11" s="23" t="s">
        <v>109</v>
      </c>
      <c r="C11" s="23" t="s">
        <v>85</v>
      </c>
      <c r="D11" s="29" t="n">
        <v>0.45</v>
      </c>
      <c r="E11" s="23" t="s">
        <v>5514</v>
      </c>
      <c r="F11" s="23" t="s">
        <v>122</v>
      </c>
      <c r="G11" s="23" t="s">
        <v>125</v>
      </c>
      <c r="H11" s="23" t="s">
        <v>5512</v>
      </c>
    </row>
    <row r="12" customFormat="false" ht="23.85" hidden="false" customHeight="false" outlineLevel="0" collapsed="false">
      <c r="A12" s="23" t="s">
        <v>126</v>
      </c>
      <c r="B12" s="23" t="s">
        <v>109</v>
      </c>
      <c r="C12" s="23" t="s">
        <v>85</v>
      </c>
      <c r="D12" s="29" t="n">
        <v>0.45</v>
      </c>
      <c r="E12" s="23" t="s">
        <v>5514</v>
      </c>
      <c r="F12" s="23" t="s">
        <v>122</v>
      </c>
      <c r="G12" s="23" t="s">
        <v>127</v>
      </c>
      <c r="H12" s="23" t="s">
        <v>5512</v>
      </c>
    </row>
    <row r="13" customFormat="false" ht="23.85" hidden="false" customHeight="false" outlineLevel="0" collapsed="false">
      <c r="A13" s="23" t="s">
        <v>128</v>
      </c>
      <c r="B13" s="23" t="s">
        <v>109</v>
      </c>
      <c r="C13" s="23" t="s">
        <v>85</v>
      </c>
      <c r="D13" s="29" t="n">
        <v>0.45</v>
      </c>
      <c r="E13" s="23" t="s">
        <v>5515</v>
      </c>
      <c r="F13" s="23" t="s">
        <v>129</v>
      </c>
      <c r="G13" s="23" t="s">
        <v>130</v>
      </c>
      <c r="H13" s="23" t="s">
        <v>5512</v>
      </c>
    </row>
    <row r="14" customFormat="false" ht="23.85" hidden="false" customHeight="false" outlineLevel="0" collapsed="false">
      <c r="A14" s="23" t="s">
        <v>131</v>
      </c>
      <c r="B14" s="23" t="s">
        <v>109</v>
      </c>
      <c r="C14" s="23" t="s">
        <v>85</v>
      </c>
      <c r="D14" s="29" t="n">
        <v>0.45</v>
      </c>
      <c r="E14" s="23" t="s">
        <v>5515</v>
      </c>
      <c r="F14" s="23" t="s">
        <v>129</v>
      </c>
      <c r="G14" s="23" t="s">
        <v>132</v>
      </c>
      <c r="H14" s="23" t="s">
        <v>5512</v>
      </c>
    </row>
    <row r="15" customFormat="false" ht="23.85" hidden="false" customHeight="false" outlineLevel="0" collapsed="false">
      <c r="A15" s="23" t="s">
        <v>133</v>
      </c>
      <c r="B15" s="23" t="s">
        <v>109</v>
      </c>
      <c r="C15" s="23" t="s">
        <v>85</v>
      </c>
      <c r="D15" s="29" t="n">
        <v>0.45</v>
      </c>
      <c r="E15" s="23" t="s">
        <v>5515</v>
      </c>
      <c r="F15" s="23" t="s">
        <v>129</v>
      </c>
      <c r="G15" s="23" t="s">
        <v>134</v>
      </c>
      <c r="H15" s="23" t="s">
        <v>5512</v>
      </c>
    </row>
    <row r="16" customFormat="false" ht="23.85" hidden="false" customHeight="false" outlineLevel="0" collapsed="false">
      <c r="A16" s="23" t="s">
        <v>135</v>
      </c>
      <c r="B16" s="23" t="s">
        <v>109</v>
      </c>
      <c r="C16" s="23" t="s">
        <v>85</v>
      </c>
      <c r="D16" s="29" t="n">
        <v>0.45</v>
      </c>
      <c r="E16" s="23" t="s">
        <v>5516</v>
      </c>
      <c r="F16" s="23" t="s">
        <v>136</v>
      </c>
      <c r="G16" s="23" t="s">
        <v>137</v>
      </c>
      <c r="H16" s="23" t="s">
        <v>5512</v>
      </c>
    </row>
    <row r="17" customFormat="false" ht="23.85" hidden="false" customHeight="false" outlineLevel="0" collapsed="false">
      <c r="A17" s="23" t="s">
        <v>138</v>
      </c>
      <c r="B17" s="23" t="s">
        <v>109</v>
      </c>
      <c r="C17" s="23" t="s">
        <v>85</v>
      </c>
      <c r="D17" s="29" t="n">
        <v>0.45</v>
      </c>
      <c r="E17" s="23" t="s">
        <v>5516</v>
      </c>
      <c r="F17" s="23" t="s">
        <v>136</v>
      </c>
      <c r="G17" s="23" t="s">
        <v>139</v>
      </c>
      <c r="H17" s="23" t="s">
        <v>5512</v>
      </c>
    </row>
    <row r="18" customFormat="false" ht="23.85" hidden="false" customHeight="false" outlineLevel="0" collapsed="false">
      <c r="A18" s="23" t="s">
        <v>140</v>
      </c>
      <c r="B18" s="23" t="s">
        <v>109</v>
      </c>
      <c r="C18" s="23" t="s">
        <v>86</v>
      </c>
      <c r="D18" s="29" t="n">
        <v>0.35</v>
      </c>
      <c r="E18" s="23" t="s">
        <v>5517</v>
      </c>
      <c r="F18" s="23" t="s">
        <v>141</v>
      </c>
      <c r="G18" s="23" t="s">
        <v>142</v>
      </c>
      <c r="H18" s="23" t="s">
        <v>5512</v>
      </c>
    </row>
    <row r="19" customFormat="false" ht="23.85" hidden="false" customHeight="false" outlineLevel="0" collapsed="false">
      <c r="A19" s="23" t="s">
        <v>143</v>
      </c>
      <c r="B19" s="23" t="s">
        <v>109</v>
      </c>
      <c r="C19" s="23" t="s">
        <v>86</v>
      </c>
      <c r="D19" s="29" t="n">
        <v>0.35</v>
      </c>
      <c r="E19" s="23" t="s">
        <v>5517</v>
      </c>
      <c r="F19" s="23" t="s">
        <v>141</v>
      </c>
      <c r="G19" s="23" t="s">
        <v>144</v>
      </c>
      <c r="H19" s="23" t="s">
        <v>5512</v>
      </c>
    </row>
    <row r="20" customFormat="false" ht="23.85" hidden="false" customHeight="false" outlineLevel="0" collapsed="false">
      <c r="A20" s="23" t="s">
        <v>145</v>
      </c>
      <c r="B20" s="23" t="s">
        <v>109</v>
      </c>
      <c r="C20" s="23" t="s">
        <v>86</v>
      </c>
      <c r="D20" s="29" t="n">
        <v>0.35</v>
      </c>
      <c r="E20" s="23" t="s">
        <v>5517</v>
      </c>
      <c r="F20" s="23" t="s">
        <v>141</v>
      </c>
      <c r="G20" s="23" t="s">
        <v>146</v>
      </c>
      <c r="H20" s="23" t="s">
        <v>5512</v>
      </c>
    </row>
    <row r="21" customFormat="false" ht="23.85" hidden="false" customHeight="false" outlineLevel="0" collapsed="false">
      <c r="A21" s="23" t="s">
        <v>147</v>
      </c>
      <c r="B21" s="23" t="s">
        <v>109</v>
      </c>
      <c r="C21" s="23" t="s">
        <v>86</v>
      </c>
      <c r="D21" s="29" t="n">
        <v>0.35</v>
      </c>
      <c r="E21" s="23" t="s">
        <v>5517</v>
      </c>
      <c r="F21" s="23" t="s">
        <v>141</v>
      </c>
      <c r="G21" s="23" t="s">
        <v>148</v>
      </c>
      <c r="H21" s="23" t="s">
        <v>5512</v>
      </c>
    </row>
    <row r="22" customFormat="false" ht="23.85" hidden="false" customHeight="false" outlineLevel="0" collapsed="false">
      <c r="A22" s="23" t="s">
        <v>149</v>
      </c>
      <c r="B22" s="23" t="s">
        <v>109</v>
      </c>
      <c r="C22" s="23" t="s">
        <v>86</v>
      </c>
      <c r="D22" s="29" t="n">
        <v>0.35</v>
      </c>
      <c r="E22" s="23" t="s">
        <v>5517</v>
      </c>
      <c r="F22" s="23" t="s">
        <v>141</v>
      </c>
      <c r="G22" s="23" t="s">
        <v>150</v>
      </c>
      <c r="H22" s="23" t="s">
        <v>5512</v>
      </c>
    </row>
    <row r="23" customFormat="false" ht="23.85" hidden="false" customHeight="false" outlineLevel="0" collapsed="false">
      <c r="A23" s="23" t="s">
        <v>151</v>
      </c>
      <c r="B23" s="23" t="s">
        <v>109</v>
      </c>
      <c r="C23" s="23" t="s">
        <v>86</v>
      </c>
      <c r="D23" s="29" t="n">
        <v>0.35</v>
      </c>
      <c r="E23" s="23" t="s">
        <v>5518</v>
      </c>
      <c r="F23" s="23" t="s">
        <v>152</v>
      </c>
      <c r="G23" s="23" t="s">
        <v>153</v>
      </c>
      <c r="H23" s="23" t="s">
        <v>5512</v>
      </c>
    </row>
    <row r="24" customFormat="false" ht="23.85" hidden="false" customHeight="false" outlineLevel="0" collapsed="false">
      <c r="A24" s="23" t="s">
        <v>154</v>
      </c>
      <c r="B24" s="23" t="s">
        <v>109</v>
      </c>
      <c r="C24" s="23" t="s">
        <v>86</v>
      </c>
      <c r="D24" s="29" t="n">
        <v>0.35</v>
      </c>
      <c r="E24" s="23" t="s">
        <v>5518</v>
      </c>
      <c r="F24" s="23" t="s">
        <v>152</v>
      </c>
      <c r="G24" s="23" t="s">
        <v>155</v>
      </c>
      <c r="H24" s="23" t="s">
        <v>5512</v>
      </c>
    </row>
    <row r="25" customFormat="false" ht="23.85" hidden="false" customHeight="false" outlineLevel="0" collapsed="false">
      <c r="A25" s="23" t="s">
        <v>156</v>
      </c>
      <c r="B25" s="23" t="s">
        <v>109</v>
      </c>
      <c r="C25" s="23" t="s">
        <v>86</v>
      </c>
      <c r="D25" s="29" t="n">
        <v>0.35</v>
      </c>
      <c r="E25" s="23" t="s">
        <v>5518</v>
      </c>
      <c r="F25" s="23" t="s">
        <v>152</v>
      </c>
      <c r="G25" s="23" t="s">
        <v>157</v>
      </c>
      <c r="H25" s="23" t="s">
        <v>5512</v>
      </c>
    </row>
    <row r="26" customFormat="false" ht="23.85" hidden="false" customHeight="false" outlineLevel="0" collapsed="false">
      <c r="A26" s="23" t="s">
        <v>158</v>
      </c>
      <c r="B26" s="23" t="s">
        <v>109</v>
      </c>
      <c r="C26" s="23" t="s">
        <v>86</v>
      </c>
      <c r="D26" s="29" t="n">
        <v>0.35</v>
      </c>
      <c r="E26" s="23" t="s">
        <v>5518</v>
      </c>
      <c r="F26" s="23" t="s">
        <v>152</v>
      </c>
      <c r="G26" s="23" t="s">
        <v>159</v>
      </c>
      <c r="H26" s="23" t="s">
        <v>5512</v>
      </c>
    </row>
    <row r="27" customFormat="false" ht="23.85" hidden="false" customHeight="false" outlineLevel="0" collapsed="false">
      <c r="A27" s="23" t="s">
        <v>160</v>
      </c>
      <c r="B27" s="23" t="s">
        <v>109</v>
      </c>
      <c r="C27" s="23" t="s">
        <v>86</v>
      </c>
      <c r="D27" s="29" t="n">
        <v>0.35</v>
      </c>
      <c r="E27" s="23" t="s">
        <v>5519</v>
      </c>
      <c r="F27" s="23" t="s">
        <v>161</v>
      </c>
      <c r="G27" s="23" t="s">
        <v>162</v>
      </c>
      <c r="H27" s="23" t="s">
        <v>5512</v>
      </c>
    </row>
    <row r="28" customFormat="false" ht="23.85" hidden="false" customHeight="false" outlineLevel="0" collapsed="false">
      <c r="A28" s="23" t="s">
        <v>163</v>
      </c>
      <c r="B28" s="23" t="s">
        <v>109</v>
      </c>
      <c r="C28" s="23" t="s">
        <v>86</v>
      </c>
      <c r="D28" s="29" t="n">
        <v>0.35</v>
      </c>
      <c r="E28" s="23" t="s">
        <v>5519</v>
      </c>
      <c r="F28" s="23" t="s">
        <v>161</v>
      </c>
      <c r="G28" s="23" t="s">
        <v>164</v>
      </c>
      <c r="H28" s="23" t="s">
        <v>5512</v>
      </c>
    </row>
    <row r="29" customFormat="false" ht="23.85" hidden="false" customHeight="false" outlineLevel="0" collapsed="false">
      <c r="A29" s="23" t="s">
        <v>165</v>
      </c>
      <c r="B29" s="23" t="s">
        <v>109</v>
      </c>
      <c r="C29" s="23" t="s">
        <v>87</v>
      </c>
      <c r="D29" s="29" t="n">
        <v>0.2</v>
      </c>
      <c r="E29" s="23" t="s">
        <v>5520</v>
      </c>
      <c r="F29" s="23" t="s">
        <v>166</v>
      </c>
      <c r="G29" s="23" t="s">
        <v>167</v>
      </c>
      <c r="H29" s="23" t="s">
        <v>5512</v>
      </c>
    </row>
    <row r="30" customFormat="false" ht="23.85" hidden="false" customHeight="false" outlineLevel="0" collapsed="false">
      <c r="A30" s="23" t="s">
        <v>168</v>
      </c>
      <c r="B30" s="23" t="s">
        <v>109</v>
      </c>
      <c r="C30" s="23" t="s">
        <v>87</v>
      </c>
      <c r="D30" s="29" t="n">
        <v>0.2</v>
      </c>
      <c r="E30" s="23" t="s">
        <v>5520</v>
      </c>
      <c r="F30" s="23" t="s">
        <v>166</v>
      </c>
      <c r="G30" s="23" t="s">
        <v>169</v>
      </c>
      <c r="H30" s="23" t="s">
        <v>5512</v>
      </c>
    </row>
    <row r="31" customFormat="false" ht="23.85" hidden="false" customHeight="false" outlineLevel="0" collapsed="false">
      <c r="A31" s="23" t="s">
        <v>170</v>
      </c>
      <c r="B31" s="23" t="s">
        <v>109</v>
      </c>
      <c r="C31" s="23" t="s">
        <v>87</v>
      </c>
      <c r="D31" s="29" t="n">
        <v>0.2</v>
      </c>
      <c r="E31" s="23" t="s">
        <v>5520</v>
      </c>
      <c r="F31" s="23" t="s">
        <v>166</v>
      </c>
      <c r="G31" s="23" t="s">
        <v>171</v>
      </c>
      <c r="H31" s="23" t="s">
        <v>5512</v>
      </c>
    </row>
    <row r="32" customFormat="false" ht="23.85" hidden="false" customHeight="false" outlineLevel="0" collapsed="false">
      <c r="A32" s="23" t="s">
        <v>172</v>
      </c>
      <c r="B32" s="23" t="s">
        <v>109</v>
      </c>
      <c r="C32" s="23" t="s">
        <v>87</v>
      </c>
      <c r="D32" s="29" t="n">
        <v>0.2</v>
      </c>
      <c r="E32" s="23" t="s">
        <v>5521</v>
      </c>
      <c r="F32" s="23" t="s">
        <v>173</v>
      </c>
      <c r="G32" s="23" t="s">
        <v>174</v>
      </c>
      <c r="H32" s="23" t="s">
        <v>5512</v>
      </c>
    </row>
    <row r="33" customFormat="false" ht="23.85" hidden="false" customHeight="false" outlineLevel="0" collapsed="false">
      <c r="A33" s="23" t="s">
        <v>175</v>
      </c>
      <c r="B33" s="23" t="s">
        <v>109</v>
      </c>
      <c r="C33" s="23" t="s">
        <v>87</v>
      </c>
      <c r="D33" s="29" t="n">
        <v>0.2</v>
      </c>
      <c r="E33" s="23" t="s">
        <v>5521</v>
      </c>
      <c r="F33" s="23" t="s">
        <v>173</v>
      </c>
      <c r="G33" s="23" t="s">
        <v>176</v>
      </c>
      <c r="H33" s="23" t="s">
        <v>5512</v>
      </c>
    </row>
    <row r="34" customFormat="false" ht="23.85" hidden="false" customHeight="false" outlineLevel="0" collapsed="false">
      <c r="A34" s="23" t="s">
        <v>177</v>
      </c>
      <c r="B34" s="23" t="s">
        <v>109</v>
      </c>
      <c r="C34" s="23" t="s">
        <v>87</v>
      </c>
      <c r="D34" s="29" t="n">
        <v>0.2</v>
      </c>
      <c r="E34" s="23" t="s">
        <v>5521</v>
      </c>
      <c r="F34" s="23" t="s">
        <v>173</v>
      </c>
      <c r="G34" s="23" t="s">
        <v>178</v>
      </c>
      <c r="H34" s="23" t="s">
        <v>5512</v>
      </c>
    </row>
    <row r="35" customFormat="false" ht="23.85" hidden="false" customHeight="false" outlineLevel="0" collapsed="false">
      <c r="A35" s="23" t="s">
        <v>179</v>
      </c>
      <c r="B35" s="23" t="s">
        <v>109</v>
      </c>
      <c r="C35" s="23" t="s">
        <v>87</v>
      </c>
      <c r="D35" s="29" t="n">
        <v>0.2</v>
      </c>
      <c r="E35" s="23" t="s">
        <v>5522</v>
      </c>
      <c r="F35" s="23" t="s">
        <v>180</v>
      </c>
      <c r="G35" s="23" t="s">
        <v>181</v>
      </c>
      <c r="H35" s="23" t="s">
        <v>5512</v>
      </c>
    </row>
    <row r="36" customFormat="false" ht="23.85" hidden="false" customHeight="false" outlineLevel="0" collapsed="false">
      <c r="A36" s="23" t="s">
        <v>182</v>
      </c>
      <c r="B36" s="23" t="s">
        <v>109</v>
      </c>
      <c r="C36" s="23" t="s">
        <v>87</v>
      </c>
      <c r="D36" s="29" t="n">
        <v>0.2</v>
      </c>
      <c r="E36" s="23" t="s">
        <v>5522</v>
      </c>
      <c r="F36" s="23" t="s">
        <v>180</v>
      </c>
      <c r="G36" s="23" t="s">
        <v>183</v>
      </c>
      <c r="H36" s="23" t="s">
        <v>5512</v>
      </c>
    </row>
    <row r="37" customFormat="false" ht="23.85" hidden="false" customHeight="false" outlineLevel="0" collapsed="false">
      <c r="A37" s="23" t="s">
        <v>184</v>
      </c>
      <c r="B37" s="23" t="s">
        <v>185</v>
      </c>
      <c r="C37" s="23" t="s">
        <v>89</v>
      </c>
      <c r="D37" s="29" t="n">
        <v>0.35</v>
      </c>
      <c r="E37" s="23" t="s">
        <v>5523</v>
      </c>
      <c r="F37" s="23" t="s">
        <v>110</v>
      </c>
      <c r="G37" s="23" t="s">
        <v>186</v>
      </c>
      <c r="H37" s="23" t="s">
        <v>5524</v>
      </c>
    </row>
    <row r="38" customFormat="false" ht="23.85" hidden="false" customHeight="false" outlineLevel="0" collapsed="false">
      <c r="A38" s="23" t="s">
        <v>187</v>
      </c>
      <c r="B38" s="23" t="s">
        <v>185</v>
      </c>
      <c r="C38" s="23" t="s">
        <v>89</v>
      </c>
      <c r="D38" s="29" t="n">
        <v>0.35</v>
      </c>
      <c r="E38" s="23" t="s">
        <v>5523</v>
      </c>
      <c r="F38" s="23" t="s">
        <v>110</v>
      </c>
      <c r="G38" s="23" t="s">
        <v>188</v>
      </c>
      <c r="H38" s="23" t="s">
        <v>5524</v>
      </c>
    </row>
    <row r="39" customFormat="false" ht="23.85" hidden="false" customHeight="false" outlineLevel="0" collapsed="false">
      <c r="A39" s="23" t="s">
        <v>189</v>
      </c>
      <c r="B39" s="23" t="s">
        <v>185</v>
      </c>
      <c r="C39" s="23" t="s">
        <v>89</v>
      </c>
      <c r="D39" s="29" t="n">
        <v>0.35</v>
      </c>
      <c r="E39" s="23" t="s">
        <v>5523</v>
      </c>
      <c r="F39" s="23" t="s">
        <v>110</v>
      </c>
      <c r="G39" s="23" t="s">
        <v>190</v>
      </c>
      <c r="H39" s="23" t="s">
        <v>5524</v>
      </c>
    </row>
    <row r="40" customFormat="false" ht="23.85" hidden="false" customHeight="false" outlineLevel="0" collapsed="false">
      <c r="A40" s="23" t="s">
        <v>191</v>
      </c>
      <c r="B40" s="23" t="s">
        <v>185</v>
      </c>
      <c r="C40" s="23" t="s">
        <v>89</v>
      </c>
      <c r="D40" s="29" t="n">
        <v>0.35</v>
      </c>
      <c r="E40" s="23" t="s">
        <v>5525</v>
      </c>
      <c r="F40" s="23" t="s">
        <v>192</v>
      </c>
      <c r="G40" s="23" t="s">
        <v>193</v>
      </c>
      <c r="H40" s="23" t="s">
        <v>5524</v>
      </c>
    </row>
    <row r="41" customFormat="false" ht="23.85" hidden="false" customHeight="false" outlineLevel="0" collapsed="false">
      <c r="A41" s="23" t="s">
        <v>194</v>
      </c>
      <c r="B41" s="23" t="s">
        <v>185</v>
      </c>
      <c r="C41" s="23" t="s">
        <v>89</v>
      </c>
      <c r="D41" s="29" t="n">
        <v>0.35</v>
      </c>
      <c r="E41" s="23" t="s">
        <v>5525</v>
      </c>
      <c r="F41" s="23" t="s">
        <v>192</v>
      </c>
      <c r="G41" s="23" t="s">
        <v>195</v>
      </c>
      <c r="H41" s="23" t="s">
        <v>5524</v>
      </c>
    </row>
    <row r="42" customFormat="false" ht="23.85" hidden="false" customHeight="false" outlineLevel="0" collapsed="false">
      <c r="A42" s="23" t="s">
        <v>196</v>
      </c>
      <c r="B42" s="23" t="s">
        <v>185</v>
      </c>
      <c r="C42" s="23" t="s">
        <v>89</v>
      </c>
      <c r="D42" s="29" t="n">
        <v>0.35</v>
      </c>
      <c r="E42" s="23" t="s">
        <v>5526</v>
      </c>
      <c r="F42" s="23" t="s">
        <v>117</v>
      </c>
      <c r="G42" s="23" t="s">
        <v>197</v>
      </c>
      <c r="H42" s="23" t="s">
        <v>5524</v>
      </c>
    </row>
    <row r="43" customFormat="false" ht="23.85" hidden="false" customHeight="false" outlineLevel="0" collapsed="false">
      <c r="A43" s="23" t="s">
        <v>198</v>
      </c>
      <c r="B43" s="23" t="s">
        <v>185</v>
      </c>
      <c r="C43" s="23" t="s">
        <v>89</v>
      </c>
      <c r="D43" s="29" t="n">
        <v>0.35</v>
      </c>
      <c r="E43" s="23" t="s">
        <v>5526</v>
      </c>
      <c r="F43" s="23" t="s">
        <v>117</v>
      </c>
      <c r="G43" s="23" t="s">
        <v>199</v>
      </c>
      <c r="H43" s="23" t="s">
        <v>5524</v>
      </c>
    </row>
    <row r="44" customFormat="false" ht="23.85" hidden="false" customHeight="false" outlineLevel="0" collapsed="false">
      <c r="A44" s="23" t="s">
        <v>200</v>
      </c>
      <c r="B44" s="23" t="s">
        <v>185</v>
      </c>
      <c r="C44" s="23" t="s">
        <v>89</v>
      </c>
      <c r="D44" s="29" t="n">
        <v>0.35</v>
      </c>
      <c r="E44" s="23" t="s">
        <v>5527</v>
      </c>
      <c r="F44" s="23" t="s">
        <v>201</v>
      </c>
      <c r="G44" s="23" t="s">
        <v>202</v>
      </c>
      <c r="H44" s="23" t="s">
        <v>5524</v>
      </c>
    </row>
    <row r="45" customFormat="false" ht="23.85" hidden="false" customHeight="false" outlineLevel="0" collapsed="false">
      <c r="A45" s="23" t="s">
        <v>203</v>
      </c>
      <c r="B45" s="23" t="s">
        <v>185</v>
      </c>
      <c r="C45" s="23" t="s">
        <v>89</v>
      </c>
      <c r="D45" s="29" t="n">
        <v>0.35</v>
      </c>
      <c r="E45" s="23" t="s">
        <v>5527</v>
      </c>
      <c r="F45" s="23" t="s">
        <v>201</v>
      </c>
      <c r="G45" s="23" t="s">
        <v>204</v>
      </c>
      <c r="H45" s="23" t="s">
        <v>5524</v>
      </c>
    </row>
    <row r="46" customFormat="false" ht="23.85" hidden="false" customHeight="false" outlineLevel="0" collapsed="false">
      <c r="A46" s="23" t="s">
        <v>205</v>
      </c>
      <c r="B46" s="23" t="s">
        <v>185</v>
      </c>
      <c r="C46" s="23" t="s">
        <v>89</v>
      </c>
      <c r="D46" s="29" t="n">
        <v>0.35</v>
      </c>
      <c r="E46" s="23" t="s">
        <v>5528</v>
      </c>
      <c r="F46" s="23" t="s">
        <v>129</v>
      </c>
      <c r="G46" s="23" t="s">
        <v>206</v>
      </c>
      <c r="H46" s="23" t="s">
        <v>5524</v>
      </c>
    </row>
    <row r="47" customFormat="false" ht="23.85" hidden="false" customHeight="false" outlineLevel="0" collapsed="false">
      <c r="A47" s="23" t="s">
        <v>207</v>
      </c>
      <c r="B47" s="23" t="s">
        <v>185</v>
      </c>
      <c r="C47" s="23" t="s">
        <v>89</v>
      </c>
      <c r="D47" s="29" t="n">
        <v>0.35</v>
      </c>
      <c r="E47" s="23" t="s">
        <v>5528</v>
      </c>
      <c r="F47" s="23" t="s">
        <v>129</v>
      </c>
      <c r="G47" s="23" t="s">
        <v>208</v>
      </c>
      <c r="H47" s="23" t="s">
        <v>5524</v>
      </c>
    </row>
    <row r="48" customFormat="false" ht="23.85" hidden="false" customHeight="false" outlineLevel="0" collapsed="false">
      <c r="A48" s="23" t="s">
        <v>209</v>
      </c>
      <c r="B48" s="23" t="s">
        <v>185</v>
      </c>
      <c r="C48" s="23" t="s">
        <v>89</v>
      </c>
      <c r="D48" s="29" t="n">
        <v>0.35</v>
      </c>
      <c r="E48" s="23" t="s">
        <v>5528</v>
      </c>
      <c r="F48" s="23" t="s">
        <v>129</v>
      </c>
      <c r="G48" s="23" t="s">
        <v>210</v>
      </c>
      <c r="H48" s="23" t="s">
        <v>5524</v>
      </c>
    </row>
    <row r="49" customFormat="false" ht="23.85" hidden="false" customHeight="false" outlineLevel="0" collapsed="false">
      <c r="A49" s="23" t="s">
        <v>211</v>
      </c>
      <c r="B49" s="23" t="s">
        <v>185</v>
      </c>
      <c r="C49" s="23" t="s">
        <v>89</v>
      </c>
      <c r="D49" s="29" t="n">
        <v>0.35</v>
      </c>
      <c r="E49" s="23" t="s">
        <v>5528</v>
      </c>
      <c r="F49" s="23" t="s">
        <v>129</v>
      </c>
      <c r="G49" s="23" t="s">
        <v>212</v>
      </c>
      <c r="H49" s="23" t="s">
        <v>5524</v>
      </c>
    </row>
    <row r="50" customFormat="false" ht="23.85" hidden="false" customHeight="false" outlineLevel="0" collapsed="false">
      <c r="A50" s="23" t="s">
        <v>213</v>
      </c>
      <c r="B50" s="23" t="s">
        <v>185</v>
      </c>
      <c r="C50" s="23" t="s">
        <v>89</v>
      </c>
      <c r="D50" s="29" t="n">
        <v>0.35</v>
      </c>
      <c r="E50" s="23" t="s">
        <v>5528</v>
      </c>
      <c r="F50" s="23" t="s">
        <v>129</v>
      </c>
      <c r="G50" s="23" t="s">
        <v>214</v>
      </c>
      <c r="H50" s="23" t="s">
        <v>5524</v>
      </c>
    </row>
    <row r="51" customFormat="false" ht="23.85" hidden="false" customHeight="false" outlineLevel="0" collapsed="false">
      <c r="A51" s="23" t="s">
        <v>215</v>
      </c>
      <c r="B51" s="23" t="s">
        <v>185</v>
      </c>
      <c r="C51" s="23" t="s">
        <v>89</v>
      </c>
      <c r="D51" s="29" t="n">
        <v>0.35</v>
      </c>
      <c r="E51" s="23" t="s">
        <v>5529</v>
      </c>
      <c r="F51" s="23" t="s">
        <v>136</v>
      </c>
      <c r="G51" s="23" t="s">
        <v>216</v>
      </c>
      <c r="H51" s="23" t="s">
        <v>5524</v>
      </c>
    </row>
    <row r="52" customFormat="false" ht="23.85" hidden="false" customHeight="false" outlineLevel="0" collapsed="false">
      <c r="A52" s="23" t="s">
        <v>217</v>
      </c>
      <c r="B52" s="23" t="s">
        <v>185</v>
      </c>
      <c r="C52" s="23" t="s">
        <v>89</v>
      </c>
      <c r="D52" s="29" t="n">
        <v>0.35</v>
      </c>
      <c r="E52" s="23" t="s">
        <v>5529</v>
      </c>
      <c r="F52" s="23" t="s">
        <v>136</v>
      </c>
      <c r="G52" s="23" t="s">
        <v>218</v>
      </c>
      <c r="H52" s="23" t="s">
        <v>5524</v>
      </c>
    </row>
    <row r="53" customFormat="false" ht="23.85" hidden="false" customHeight="false" outlineLevel="0" collapsed="false">
      <c r="A53" s="23" t="s">
        <v>219</v>
      </c>
      <c r="B53" s="23" t="s">
        <v>185</v>
      </c>
      <c r="C53" s="23" t="s">
        <v>90</v>
      </c>
      <c r="D53" s="29" t="n">
        <v>0.2</v>
      </c>
      <c r="E53" s="23" t="s">
        <v>5530</v>
      </c>
      <c r="F53" s="23" t="s">
        <v>220</v>
      </c>
      <c r="G53" s="23" t="s">
        <v>221</v>
      </c>
      <c r="H53" s="23" t="s">
        <v>5524</v>
      </c>
    </row>
    <row r="54" customFormat="false" ht="23.85" hidden="false" customHeight="false" outlineLevel="0" collapsed="false">
      <c r="A54" s="23" t="s">
        <v>222</v>
      </c>
      <c r="B54" s="23" t="s">
        <v>185</v>
      </c>
      <c r="C54" s="23" t="s">
        <v>90</v>
      </c>
      <c r="D54" s="29" t="n">
        <v>0.2</v>
      </c>
      <c r="E54" s="23" t="s">
        <v>5530</v>
      </c>
      <c r="F54" s="23" t="s">
        <v>220</v>
      </c>
      <c r="G54" s="23" t="s">
        <v>223</v>
      </c>
      <c r="H54" s="23" t="s">
        <v>5524</v>
      </c>
    </row>
    <row r="55" customFormat="false" ht="23.85" hidden="false" customHeight="false" outlineLevel="0" collapsed="false">
      <c r="A55" s="23" t="s">
        <v>224</v>
      </c>
      <c r="B55" s="23" t="s">
        <v>185</v>
      </c>
      <c r="C55" s="23" t="s">
        <v>90</v>
      </c>
      <c r="D55" s="29" t="n">
        <v>0.2</v>
      </c>
      <c r="E55" s="23" t="s">
        <v>5530</v>
      </c>
      <c r="F55" s="23" t="s">
        <v>220</v>
      </c>
      <c r="G55" s="23" t="s">
        <v>225</v>
      </c>
      <c r="H55" s="23" t="s">
        <v>5524</v>
      </c>
    </row>
    <row r="56" customFormat="false" ht="23.85" hidden="false" customHeight="false" outlineLevel="0" collapsed="false">
      <c r="A56" s="23" t="s">
        <v>226</v>
      </c>
      <c r="B56" s="23" t="s">
        <v>185</v>
      </c>
      <c r="C56" s="23" t="s">
        <v>90</v>
      </c>
      <c r="D56" s="29" t="n">
        <v>0.2</v>
      </c>
      <c r="E56" s="23" t="s">
        <v>5531</v>
      </c>
      <c r="F56" s="23" t="s">
        <v>227</v>
      </c>
      <c r="G56" s="23" t="s">
        <v>228</v>
      </c>
      <c r="H56" s="23" t="s">
        <v>5524</v>
      </c>
    </row>
    <row r="57" customFormat="false" ht="23.85" hidden="false" customHeight="false" outlineLevel="0" collapsed="false">
      <c r="A57" s="23" t="s">
        <v>229</v>
      </c>
      <c r="B57" s="23" t="s">
        <v>185</v>
      </c>
      <c r="C57" s="23" t="s">
        <v>90</v>
      </c>
      <c r="D57" s="29" t="n">
        <v>0.2</v>
      </c>
      <c r="E57" s="23" t="s">
        <v>5531</v>
      </c>
      <c r="F57" s="23" t="s">
        <v>227</v>
      </c>
      <c r="G57" s="23" t="s">
        <v>230</v>
      </c>
      <c r="H57" s="23" t="s">
        <v>5524</v>
      </c>
    </row>
    <row r="58" customFormat="false" ht="23.85" hidden="false" customHeight="false" outlineLevel="0" collapsed="false">
      <c r="A58" s="23" t="s">
        <v>231</v>
      </c>
      <c r="B58" s="23" t="s">
        <v>185</v>
      </c>
      <c r="C58" s="23" t="s">
        <v>90</v>
      </c>
      <c r="D58" s="29" t="n">
        <v>0.2</v>
      </c>
      <c r="E58" s="23" t="s">
        <v>5531</v>
      </c>
      <c r="F58" s="23" t="s">
        <v>227</v>
      </c>
      <c r="G58" s="23" t="s">
        <v>232</v>
      </c>
      <c r="H58" s="23" t="s">
        <v>5524</v>
      </c>
    </row>
    <row r="59" customFormat="false" ht="23.85" hidden="false" customHeight="false" outlineLevel="0" collapsed="false">
      <c r="A59" s="23" t="s">
        <v>233</v>
      </c>
      <c r="B59" s="23" t="s">
        <v>185</v>
      </c>
      <c r="C59" s="23" t="s">
        <v>90</v>
      </c>
      <c r="D59" s="29" t="n">
        <v>0.2</v>
      </c>
      <c r="E59" s="23" t="s">
        <v>5531</v>
      </c>
      <c r="F59" s="23" t="s">
        <v>227</v>
      </c>
      <c r="G59" s="23" t="s">
        <v>234</v>
      </c>
      <c r="H59" s="23" t="s">
        <v>5524</v>
      </c>
    </row>
    <row r="60" customFormat="false" ht="23.85" hidden="false" customHeight="false" outlineLevel="0" collapsed="false">
      <c r="A60" s="23" t="s">
        <v>235</v>
      </c>
      <c r="B60" s="23" t="s">
        <v>185</v>
      </c>
      <c r="C60" s="23" t="s">
        <v>90</v>
      </c>
      <c r="D60" s="29" t="n">
        <v>0.2</v>
      </c>
      <c r="E60" s="23" t="s">
        <v>5532</v>
      </c>
      <c r="F60" s="23" t="s">
        <v>236</v>
      </c>
      <c r="G60" s="23" t="s">
        <v>237</v>
      </c>
      <c r="H60" s="23" t="s">
        <v>5524</v>
      </c>
    </row>
    <row r="61" customFormat="false" ht="23.85" hidden="false" customHeight="false" outlineLevel="0" collapsed="false">
      <c r="A61" s="23" t="s">
        <v>238</v>
      </c>
      <c r="B61" s="23" t="s">
        <v>185</v>
      </c>
      <c r="C61" s="23" t="s">
        <v>90</v>
      </c>
      <c r="D61" s="29" t="n">
        <v>0.2</v>
      </c>
      <c r="E61" s="23" t="s">
        <v>5532</v>
      </c>
      <c r="F61" s="23" t="s">
        <v>236</v>
      </c>
      <c r="G61" s="23" t="s">
        <v>239</v>
      </c>
      <c r="H61" s="23" t="s">
        <v>5524</v>
      </c>
    </row>
    <row r="62" customFormat="false" ht="23.85" hidden="false" customHeight="false" outlineLevel="0" collapsed="false">
      <c r="A62" s="23" t="s">
        <v>240</v>
      </c>
      <c r="B62" s="23" t="s">
        <v>185</v>
      </c>
      <c r="C62" s="23" t="s">
        <v>90</v>
      </c>
      <c r="D62" s="29" t="n">
        <v>0.2</v>
      </c>
      <c r="E62" s="23" t="s">
        <v>5532</v>
      </c>
      <c r="F62" s="23" t="s">
        <v>236</v>
      </c>
      <c r="G62" s="23" t="s">
        <v>241</v>
      </c>
      <c r="H62" s="23" t="s">
        <v>5524</v>
      </c>
    </row>
    <row r="63" customFormat="false" ht="23.85" hidden="false" customHeight="false" outlineLevel="0" collapsed="false">
      <c r="A63" s="23" t="s">
        <v>242</v>
      </c>
      <c r="B63" s="23" t="s">
        <v>185</v>
      </c>
      <c r="C63" s="23" t="s">
        <v>91</v>
      </c>
      <c r="D63" s="29" t="n">
        <v>0.25</v>
      </c>
      <c r="E63" s="23" t="s">
        <v>5533</v>
      </c>
      <c r="F63" s="23" t="s">
        <v>243</v>
      </c>
      <c r="G63" s="23" t="s">
        <v>244</v>
      </c>
      <c r="H63" s="23" t="s">
        <v>5524</v>
      </c>
    </row>
    <row r="64" customFormat="false" ht="23.85" hidden="false" customHeight="false" outlineLevel="0" collapsed="false">
      <c r="A64" s="23" t="s">
        <v>245</v>
      </c>
      <c r="B64" s="23" t="s">
        <v>185</v>
      </c>
      <c r="C64" s="23" t="s">
        <v>91</v>
      </c>
      <c r="D64" s="29" t="n">
        <v>0.25</v>
      </c>
      <c r="E64" s="23" t="s">
        <v>5533</v>
      </c>
      <c r="F64" s="23" t="s">
        <v>243</v>
      </c>
      <c r="G64" s="23" t="s">
        <v>246</v>
      </c>
      <c r="H64" s="23" t="s">
        <v>5524</v>
      </c>
    </row>
    <row r="65" customFormat="false" ht="23.85" hidden="false" customHeight="false" outlineLevel="0" collapsed="false">
      <c r="A65" s="23" t="s">
        <v>247</v>
      </c>
      <c r="B65" s="23" t="s">
        <v>185</v>
      </c>
      <c r="C65" s="23" t="s">
        <v>91</v>
      </c>
      <c r="D65" s="29" t="n">
        <v>0.25</v>
      </c>
      <c r="E65" s="23" t="s">
        <v>5534</v>
      </c>
      <c r="F65" s="23" t="s">
        <v>248</v>
      </c>
      <c r="G65" s="23" t="s">
        <v>249</v>
      </c>
      <c r="H65" s="23" t="s">
        <v>5524</v>
      </c>
    </row>
    <row r="66" customFormat="false" ht="23.85" hidden="false" customHeight="false" outlineLevel="0" collapsed="false">
      <c r="A66" s="23" t="s">
        <v>250</v>
      </c>
      <c r="B66" s="23" t="s">
        <v>185</v>
      </c>
      <c r="C66" s="23" t="s">
        <v>91</v>
      </c>
      <c r="D66" s="29" t="n">
        <v>0.25</v>
      </c>
      <c r="E66" s="23" t="s">
        <v>5534</v>
      </c>
      <c r="F66" s="23" t="s">
        <v>248</v>
      </c>
      <c r="G66" s="23" t="s">
        <v>251</v>
      </c>
      <c r="H66" s="23" t="s">
        <v>5524</v>
      </c>
    </row>
    <row r="67" customFormat="false" ht="23.85" hidden="false" customHeight="false" outlineLevel="0" collapsed="false">
      <c r="A67" s="23" t="s">
        <v>252</v>
      </c>
      <c r="B67" s="23" t="s">
        <v>185</v>
      </c>
      <c r="C67" s="23" t="s">
        <v>91</v>
      </c>
      <c r="D67" s="29" t="n">
        <v>0.25</v>
      </c>
      <c r="E67" s="23" t="s">
        <v>5535</v>
      </c>
      <c r="F67" s="23" t="s">
        <v>253</v>
      </c>
      <c r="G67" s="23" t="s">
        <v>254</v>
      </c>
      <c r="H67" s="23" t="s">
        <v>5524</v>
      </c>
    </row>
    <row r="68" customFormat="false" ht="23.85" hidden="false" customHeight="false" outlineLevel="0" collapsed="false">
      <c r="A68" s="23" t="s">
        <v>255</v>
      </c>
      <c r="B68" s="23" t="s">
        <v>185</v>
      </c>
      <c r="C68" s="23" t="s">
        <v>91</v>
      </c>
      <c r="D68" s="29" t="n">
        <v>0.25</v>
      </c>
      <c r="E68" s="23" t="s">
        <v>5535</v>
      </c>
      <c r="F68" s="23" t="s">
        <v>253</v>
      </c>
      <c r="G68" s="23" t="s">
        <v>256</v>
      </c>
      <c r="H68" s="23" t="s">
        <v>5524</v>
      </c>
    </row>
    <row r="69" customFormat="false" ht="23.85" hidden="false" customHeight="false" outlineLevel="0" collapsed="false">
      <c r="A69" s="23" t="s">
        <v>257</v>
      </c>
      <c r="B69" s="23" t="s">
        <v>185</v>
      </c>
      <c r="C69" s="23" t="s">
        <v>91</v>
      </c>
      <c r="D69" s="29" t="n">
        <v>0.25</v>
      </c>
      <c r="E69" s="23" t="s">
        <v>5536</v>
      </c>
      <c r="F69" s="23" t="s">
        <v>93</v>
      </c>
      <c r="G69" s="23" t="s">
        <v>258</v>
      </c>
      <c r="H69" s="23" t="s">
        <v>5524</v>
      </c>
    </row>
    <row r="70" customFormat="false" ht="23.85" hidden="false" customHeight="false" outlineLevel="0" collapsed="false">
      <c r="A70" s="23" t="s">
        <v>259</v>
      </c>
      <c r="B70" s="23" t="s">
        <v>185</v>
      </c>
      <c r="C70" s="23" t="s">
        <v>91</v>
      </c>
      <c r="D70" s="29" t="n">
        <v>0.25</v>
      </c>
      <c r="E70" s="23" t="s">
        <v>5536</v>
      </c>
      <c r="F70" s="23" t="s">
        <v>93</v>
      </c>
      <c r="G70" s="23" t="s">
        <v>260</v>
      </c>
      <c r="H70" s="23" t="s">
        <v>5524</v>
      </c>
    </row>
    <row r="71" customFormat="false" ht="23.85" hidden="false" customHeight="false" outlineLevel="0" collapsed="false">
      <c r="A71" s="23" t="s">
        <v>261</v>
      </c>
      <c r="B71" s="23" t="s">
        <v>185</v>
      </c>
      <c r="C71" s="23" t="s">
        <v>91</v>
      </c>
      <c r="D71" s="29" t="n">
        <v>0.25</v>
      </c>
      <c r="E71" s="23" t="s">
        <v>5537</v>
      </c>
      <c r="F71" s="23" t="s">
        <v>262</v>
      </c>
      <c r="G71" s="23" t="s">
        <v>263</v>
      </c>
      <c r="H71" s="23" t="s">
        <v>5524</v>
      </c>
    </row>
    <row r="72" customFormat="false" ht="23.85" hidden="false" customHeight="false" outlineLevel="0" collapsed="false">
      <c r="A72" s="23" t="s">
        <v>264</v>
      </c>
      <c r="B72" s="23" t="s">
        <v>185</v>
      </c>
      <c r="C72" s="23" t="s">
        <v>91</v>
      </c>
      <c r="D72" s="29" t="n">
        <v>0.25</v>
      </c>
      <c r="E72" s="23" t="s">
        <v>5537</v>
      </c>
      <c r="F72" s="23" t="s">
        <v>262</v>
      </c>
      <c r="G72" s="23" t="s">
        <v>265</v>
      </c>
      <c r="H72" s="23" t="s">
        <v>5524</v>
      </c>
    </row>
    <row r="73" customFormat="false" ht="23.85" hidden="false" customHeight="false" outlineLevel="0" collapsed="false">
      <c r="A73" s="23" t="s">
        <v>266</v>
      </c>
      <c r="B73" s="23" t="s">
        <v>185</v>
      </c>
      <c r="C73" s="23" t="s">
        <v>91</v>
      </c>
      <c r="D73" s="29" t="n">
        <v>0.25</v>
      </c>
      <c r="E73" s="23" t="s">
        <v>5537</v>
      </c>
      <c r="F73" s="23" t="s">
        <v>262</v>
      </c>
      <c r="G73" s="23" t="s">
        <v>267</v>
      </c>
      <c r="H73" s="23" t="s">
        <v>5524</v>
      </c>
    </row>
    <row r="74" customFormat="false" ht="23.85" hidden="false" customHeight="false" outlineLevel="0" collapsed="false">
      <c r="A74" s="23" t="s">
        <v>268</v>
      </c>
      <c r="B74" s="23" t="s">
        <v>185</v>
      </c>
      <c r="C74" s="23" t="s">
        <v>87</v>
      </c>
      <c r="D74" s="29" t="n">
        <v>0.2</v>
      </c>
      <c r="E74" s="23" t="s">
        <v>5538</v>
      </c>
      <c r="F74" s="23" t="s">
        <v>269</v>
      </c>
      <c r="G74" s="23" t="s">
        <v>270</v>
      </c>
      <c r="H74" s="23" t="s">
        <v>5524</v>
      </c>
    </row>
    <row r="75" customFormat="false" ht="23.85" hidden="false" customHeight="false" outlineLevel="0" collapsed="false">
      <c r="A75" s="23" t="s">
        <v>271</v>
      </c>
      <c r="B75" s="23" t="s">
        <v>185</v>
      </c>
      <c r="C75" s="23" t="s">
        <v>87</v>
      </c>
      <c r="D75" s="29" t="n">
        <v>0.2</v>
      </c>
      <c r="E75" s="23" t="s">
        <v>5538</v>
      </c>
      <c r="F75" s="23" t="s">
        <v>269</v>
      </c>
      <c r="G75" s="23" t="s">
        <v>272</v>
      </c>
      <c r="H75" s="23" t="s">
        <v>5524</v>
      </c>
    </row>
    <row r="76" customFormat="false" ht="23.85" hidden="false" customHeight="false" outlineLevel="0" collapsed="false">
      <c r="A76" s="23" t="s">
        <v>273</v>
      </c>
      <c r="B76" s="23" t="s">
        <v>185</v>
      </c>
      <c r="C76" s="23" t="s">
        <v>87</v>
      </c>
      <c r="D76" s="29" t="n">
        <v>0.2</v>
      </c>
      <c r="E76" s="23" t="s">
        <v>5539</v>
      </c>
      <c r="F76" s="23" t="s">
        <v>274</v>
      </c>
      <c r="G76" s="23" t="s">
        <v>275</v>
      </c>
      <c r="H76" s="23" t="s">
        <v>5524</v>
      </c>
    </row>
    <row r="77" customFormat="false" ht="23.85" hidden="false" customHeight="false" outlineLevel="0" collapsed="false">
      <c r="A77" s="23" t="s">
        <v>276</v>
      </c>
      <c r="B77" s="23" t="s">
        <v>185</v>
      </c>
      <c r="C77" s="23" t="s">
        <v>87</v>
      </c>
      <c r="D77" s="29" t="n">
        <v>0.2</v>
      </c>
      <c r="E77" s="23" t="s">
        <v>5539</v>
      </c>
      <c r="F77" s="23" t="s">
        <v>274</v>
      </c>
      <c r="G77" s="23" t="s">
        <v>277</v>
      </c>
      <c r="H77" s="23" t="s">
        <v>5524</v>
      </c>
    </row>
    <row r="78" customFormat="false" ht="23.85" hidden="false" customHeight="false" outlineLevel="0" collapsed="false">
      <c r="A78" s="23" t="s">
        <v>278</v>
      </c>
      <c r="B78" s="23" t="s">
        <v>185</v>
      </c>
      <c r="C78" s="23" t="s">
        <v>87</v>
      </c>
      <c r="D78" s="29" t="n">
        <v>0.2</v>
      </c>
      <c r="E78" s="23" t="s">
        <v>5539</v>
      </c>
      <c r="F78" s="23" t="s">
        <v>274</v>
      </c>
      <c r="G78" s="23" t="s">
        <v>279</v>
      </c>
      <c r="H78" s="23" t="s">
        <v>5524</v>
      </c>
    </row>
    <row r="79" customFormat="false" ht="23.85" hidden="false" customHeight="false" outlineLevel="0" collapsed="false">
      <c r="A79" s="23" t="s">
        <v>280</v>
      </c>
      <c r="B79" s="23" t="s">
        <v>185</v>
      </c>
      <c r="C79" s="23" t="s">
        <v>87</v>
      </c>
      <c r="D79" s="29" t="n">
        <v>0.2</v>
      </c>
      <c r="E79" s="23" t="s">
        <v>5540</v>
      </c>
      <c r="F79" s="23" t="s">
        <v>281</v>
      </c>
      <c r="G79" s="23" t="s">
        <v>282</v>
      </c>
      <c r="H79" s="23" t="s">
        <v>5524</v>
      </c>
    </row>
    <row r="80" customFormat="false" ht="23.85" hidden="false" customHeight="false" outlineLevel="0" collapsed="false">
      <c r="A80" s="23" t="s">
        <v>283</v>
      </c>
      <c r="B80" s="23" t="s">
        <v>185</v>
      </c>
      <c r="C80" s="23" t="s">
        <v>87</v>
      </c>
      <c r="D80" s="29" t="n">
        <v>0.2</v>
      </c>
      <c r="E80" s="23" t="s">
        <v>5540</v>
      </c>
      <c r="F80" s="23" t="s">
        <v>281</v>
      </c>
      <c r="G80" s="23" t="s">
        <v>284</v>
      </c>
      <c r="H80" s="23" t="s">
        <v>5524</v>
      </c>
    </row>
    <row r="81" customFormat="false" ht="23.85" hidden="false" customHeight="false" outlineLevel="0" collapsed="false">
      <c r="A81" s="23" t="s">
        <v>285</v>
      </c>
      <c r="B81" s="23" t="s">
        <v>185</v>
      </c>
      <c r="C81" s="23" t="s">
        <v>87</v>
      </c>
      <c r="D81" s="29" t="n">
        <v>0.2</v>
      </c>
      <c r="E81" s="23" t="s">
        <v>5541</v>
      </c>
      <c r="F81" s="23" t="s">
        <v>286</v>
      </c>
      <c r="G81" s="23" t="s">
        <v>287</v>
      </c>
      <c r="H81" s="23" t="s">
        <v>5524</v>
      </c>
    </row>
    <row r="82" customFormat="false" ht="23.85" hidden="false" customHeight="false" outlineLevel="0" collapsed="false">
      <c r="A82" s="23" t="s">
        <v>288</v>
      </c>
      <c r="B82" s="23" t="s">
        <v>185</v>
      </c>
      <c r="C82" s="23" t="s">
        <v>87</v>
      </c>
      <c r="D82" s="29" t="n">
        <v>0.2</v>
      </c>
      <c r="E82" s="23" t="s">
        <v>5541</v>
      </c>
      <c r="F82" s="23" t="s">
        <v>286</v>
      </c>
      <c r="G82" s="23" t="s">
        <v>289</v>
      </c>
      <c r="H82" s="23" t="s">
        <v>5524</v>
      </c>
    </row>
    <row r="83" customFormat="false" ht="23.85" hidden="false" customHeight="false" outlineLevel="0" collapsed="false">
      <c r="A83" s="23" t="s">
        <v>290</v>
      </c>
      <c r="B83" s="23" t="s">
        <v>291</v>
      </c>
      <c r="C83" s="23" t="s">
        <v>92</v>
      </c>
      <c r="D83" s="29" t="n">
        <v>0.4</v>
      </c>
      <c r="E83" s="23" t="s">
        <v>5542</v>
      </c>
      <c r="F83" s="23" t="s">
        <v>161</v>
      </c>
      <c r="G83" s="23" t="s">
        <v>292</v>
      </c>
      <c r="H83" s="23" t="s">
        <v>5543</v>
      </c>
    </row>
    <row r="84" customFormat="false" ht="23.85" hidden="false" customHeight="false" outlineLevel="0" collapsed="false">
      <c r="A84" s="23" t="s">
        <v>293</v>
      </c>
      <c r="B84" s="23" t="s">
        <v>291</v>
      </c>
      <c r="C84" s="23" t="s">
        <v>92</v>
      </c>
      <c r="D84" s="29" t="n">
        <v>0.4</v>
      </c>
      <c r="E84" s="23" t="s">
        <v>5542</v>
      </c>
      <c r="F84" s="23" t="s">
        <v>161</v>
      </c>
      <c r="G84" s="23" t="s">
        <v>294</v>
      </c>
      <c r="H84" s="23" t="s">
        <v>5543</v>
      </c>
    </row>
    <row r="85" customFormat="false" ht="23.85" hidden="false" customHeight="false" outlineLevel="0" collapsed="false">
      <c r="A85" s="23" t="s">
        <v>295</v>
      </c>
      <c r="B85" s="23" t="s">
        <v>291</v>
      </c>
      <c r="C85" s="23" t="s">
        <v>92</v>
      </c>
      <c r="D85" s="29" t="n">
        <v>0.4</v>
      </c>
      <c r="E85" s="23" t="s">
        <v>5542</v>
      </c>
      <c r="F85" s="23" t="s">
        <v>161</v>
      </c>
      <c r="G85" s="23" t="s">
        <v>296</v>
      </c>
      <c r="H85" s="23" t="s">
        <v>5543</v>
      </c>
    </row>
    <row r="86" customFormat="false" ht="23.85" hidden="false" customHeight="false" outlineLevel="0" collapsed="false">
      <c r="A86" s="23" t="s">
        <v>297</v>
      </c>
      <c r="B86" s="23" t="s">
        <v>291</v>
      </c>
      <c r="C86" s="23" t="s">
        <v>92</v>
      </c>
      <c r="D86" s="29" t="n">
        <v>0.4</v>
      </c>
      <c r="E86" s="23" t="s">
        <v>5542</v>
      </c>
      <c r="F86" s="23" t="s">
        <v>161</v>
      </c>
      <c r="G86" s="23" t="s">
        <v>298</v>
      </c>
      <c r="H86" s="23" t="s">
        <v>5543</v>
      </c>
    </row>
    <row r="87" customFormat="false" ht="23.85" hidden="false" customHeight="false" outlineLevel="0" collapsed="false">
      <c r="A87" s="23" t="s">
        <v>299</v>
      </c>
      <c r="B87" s="23" t="s">
        <v>291</v>
      </c>
      <c r="C87" s="23" t="s">
        <v>92</v>
      </c>
      <c r="D87" s="29" t="n">
        <v>0.4</v>
      </c>
      <c r="E87" s="23" t="s">
        <v>5544</v>
      </c>
      <c r="F87" s="23" t="s">
        <v>300</v>
      </c>
      <c r="G87" s="23" t="s">
        <v>301</v>
      </c>
      <c r="H87" s="23" t="s">
        <v>5543</v>
      </c>
    </row>
    <row r="88" customFormat="false" ht="23.85" hidden="false" customHeight="false" outlineLevel="0" collapsed="false">
      <c r="A88" s="23" t="s">
        <v>302</v>
      </c>
      <c r="B88" s="23" t="s">
        <v>291</v>
      </c>
      <c r="C88" s="23" t="s">
        <v>92</v>
      </c>
      <c r="D88" s="29" t="n">
        <v>0.4</v>
      </c>
      <c r="E88" s="23" t="s">
        <v>5544</v>
      </c>
      <c r="F88" s="23" t="s">
        <v>300</v>
      </c>
      <c r="G88" s="23" t="s">
        <v>303</v>
      </c>
      <c r="H88" s="23" t="s">
        <v>5543</v>
      </c>
    </row>
    <row r="89" customFormat="false" ht="23.85" hidden="false" customHeight="false" outlineLevel="0" collapsed="false">
      <c r="A89" s="23" t="s">
        <v>304</v>
      </c>
      <c r="B89" s="23" t="s">
        <v>291</v>
      </c>
      <c r="C89" s="23" t="s">
        <v>92</v>
      </c>
      <c r="D89" s="29" t="n">
        <v>0.4</v>
      </c>
      <c r="E89" s="23" t="s">
        <v>5544</v>
      </c>
      <c r="F89" s="23" t="s">
        <v>300</v>
      </c>
      <c r="G89" s="23" t="s">
        <v>305</v>
      </c>
      <c r="H89" s="23" t="s">
        <v>5543</v>
      </c>
    </row>
    <row r="90" customFormat="false" ht="23.85" hidden="false" customHeight="false" outlineLevel="0" collapsed="false">
      <c r="A90" s="23" t="s">
        <v>306</v>
      </c>
      <c r="B90" s="23" t="s">
        <v>291</v>
      </c>
      <c r="C90" s="23" t="s">
        <v>92</v>
      </c>
      <c r="D90" s="29" t="n">
        <v>0.4</v>
      </c>
      <c r="E90" s="23" t="s">
        <v>5545</v>
      </c>
      <c r="F90" s="23" t="s">
        <v>307</v>
      </c>
      <c r="G90" s="23" t="s">
        <v>308</v>
      </c>
      <c r="H90" s="23" t="s">
        <v>5543</v>
      </c>
    </row>
    <row r="91" customFormat="false" ht="23.85" hidden="false" customHeight="false" outlineLevel="0" collapsed="false">
      <c r="A91" s="23" t="s">
        <v>309</v>
      </c>
      <c r="B91" s="23" t="s">
        <v>291</v>
      </c>
      <c r="C91" s="23" t="s">
        <v>92</v>
      </c>
      <c r="D91" s="29" t="n">
        <v>0.4</v>
      </c>
      <c r="E91" s="23" t="s">
        <v>5545</v>
      </c>
      <c r="F91" s="23" t="s">
        <v>307</v>
      </c>
      <c r="G91" s="23" t="s">
        <v>310</v>
      </c>
      <c r="H91" s="23" t="s">
        <v>5543</v>
      </c>
    </row>
    <row r="92" customFormat="false" ht="23.85" hidden="false" customHeight="false" outlineLevel="0" collapsed="false">
      <c r="A92" s="23" t="s">
        <v>311</v>
      </c>
      <c r="B92" s="23" t="s">
        <v>291</v>
      </c>
      <c r="C92" s="23" t="s">
        <v>93</v>
      </c>
      <c r="D92" s="29" t="n">
        <v>0.25</v>
      </c>
      <c r="E92" s="23" t="s">
        <v>5546</v>
      </c>
      <c r="F92" s="23" t="s">
        <v>312</v>
      </c>
      <c r="G92" s="23" t="s">
        <v>313</v>
      </c>
      <c r="H92" s="23" t="s">
        <v>5543</v>
      </c>
    </row>
    <row r="93" customFormat="false" ht="23.85" hidden="false" customHeight="false" outlineLevel="0" collapsed="false">
      <c r="A93" s="23" t="s">
        <v>314</v>
      </c>
      <c r="B93" s="23" t="s">
        <v>291</v>
      </c>
      <c r="C93" s="23" t="s">
        <v>93</v>
      </c>
      <c r="D93" s="29" t="n">
        <v>0.25</v>
      </c>
      <c r="E93" s="23" t="s">
        <v>5546</v>
      </c>
      <c r="F93" s="23" t="s">
        <v>312</v>
      </c>
      <c r="G93" s="23" t="s">
        <v>315</v>
      </c>
      <c r="H93" s="23" t="s">
        <v>5543</v>
      </c>
    </row>
    <row r="94" customFormat="false" ht="23.85" hidden="false" customHeight="false" outlineLevel="0" collapsed="false">
      <c r="A94" s="23" t="s">
        <v>316</v>
      </c>
      <c r="B94" s="23" t="s">
        <v>291</v>
      </c>
      <c r="C94" s="23" t="s">
        <v>93</v>
      </c>
      <c r="D94" s="29" t="n">
        <v>0.25</v>
      </c>
      <c r="E94" s="23" t="s">
        <v>5546</v>
      </c>
      <c r="F94" s="23" t="s">
        <v>312</v>
      </c>
      <c r="G94" s="23" t="s">
        <v>317</v>
      </c>
      <c r="H94" s="23" t="s">
        <v>5543</v>
      </c>
    </row>
    <row r="95" customFormat="false" ht="23.85" hidden="false" customHeight="false" outlineLevel="0" collapsed="false">
      <c r="A95" s="23" t="s">
        <v>318</v>
      </c>
      <c r="B95" s="23" t="s">
        <v>291</v>
      </c>
      <c r="C95" s="23" t="s">
        <v>93</v>
      </c>
      <c r="D95" s="29" t="n">
        <v>0.25</v>
      </c>
      <c r="E95" s="23" t="s">
        <v>5547</v>
      </c>
      <c r="F95" s="23" t="s">
        <v>319</v>
      </c>
      <c r="G95" s="23" t="s">
        <v>320</v>
      </c>
      <c r="H95" s="23" t="s">
        <v>5543</v>
      </c>
    </row>
    <row r="96" customFormat="false" ht="23.85" hidden="false" customHeight="false" outlineLevel="0" collapsed="false">
      <c r="A96" s="23" t="s">
        <v>321</v>
      </c>
      <c r="B96" s="23" t="s">
        <v>291</v>
      </c>
      <c r="C96" s="23" t="s">
        <v>93</v>
      </c>
      <c r="D96" s="29" t="n">
        <v>0.25</v>
      </c>
      <c r="E96" s="23" t="s">
        <v>5547</v>
      </c>
      <c r="F96" s="23" t="s">
        <v>319</v>
      </c>
      <c r="G96" s="23" t="s">
        <v>322</v>
      </c>
      <c r="H96" s="23" t="s">
        <v>5543</v>
      </c>
    </row>
    <row r="97" customFormat="false" ht="23.85" hidden="false" customHeight="false" outlineLevel="0" collapsed="false">
      <c r="A97" s="23" t="s">
        <v>323</v>
      </c>
      <c r="B97" s="23" t="s">
        <v>291</v>
      </c>
      <c r="C97" s="23" t="s">
        <v>93</v>
      </c>
      <c r="D97" s="29" t="n">
        <v>0.25</v>
      </c>
      <c r="E97" s="23" t="s">
        <v>5547</v>
      </c>
      <c r="F97" s="23" t="s">
        <v>319</v>
      </c>
      <c r="G97" s="23" t="s">
        <v>324</v>
      </c>
      <c r="H97" s="23" t="s">
        <v>5543</v>
      </c>
    </row>
    <row r="98" customFormat="false" ht="23.85" hidden="false" customHeight="false" outlineLevel="0" collapsed="false">
      <c r="A98" s="23" t="s">
        <v>325</v>
      </c>
      <c r="B98" s="23" t="s">
        <v>291</v>
      </c>
      <c r="C98" s="23" t="s">
        <v>94</v>
      </c>
      <c r="D98" s="29" t="n">
        <v>0.35</v>
      </c>
      <c r="E98" s="23" t="s">
        <v>5548</v>
      </c>
      <c r="F98" s="23" t="s">
        <v>326</v>
      </c>
      <c r="G98" s="23" t="s">
        <v>327</v>
      </c>
      <c r="H98" s="23" t="s">
        <v>5543</v>
      </c>
    </row>
    <row r="99" customFormat="false" ht="23.85" hidden="false" customHeight="false" outlineLevel="0" collapsed="false">
      <c r="A99" s="23" t="s">
        <v>328</v>
      </c>
      <c r="B99" s="23" t="s">
        <v>291</v>
      </c>
      <c r="C99" s="23" t="s">
        <v>94</v>
      </c>
      <c r="D99" s="29" t="n">
        <v>0.35</v>
      </c>
      <c r="E99" s="23" t="s">
        <v>5548</v>
      </c>
      <c r="F99" s="23" t="s">
        <v>326</v>
      </c>
      <c r="G99" s="23" t="s">
        <v>329</v>
      </c>
      <c r="H99" s="23" t="s">
        <v>5543</v>
      </c>
    </row>
    <row r="100" customFormat="false" ht="23.85" hidden="false" customHeight="false" outlineLevel="0" collapsed="false">
      <c r="A100" s="23" t="s">
        <v>330</v>
      </c>
      <c r="B100" s="23" t="s">
        <v>291</v>
      </c>
      <c r="C100" s="23" t="s">
        <v>94</v>
      </c>
      <c r="D100" s="29" t="n">
        <v>0.35</v>
      </c>
      <c r="E100" s="23" t="s">
        <v>5548</v>
      </c>
      <c r="F100" s="23" t="s">
        <v>326</v>
      </c>
      <c r="G100" s="23" t="s">
        <v>331</v>
      </c>
      <c r="H100" s="23" t="s">
        <v>5543</v>
      </c>
    </row>
    <row r="101" customFormat="false" ht="23.85" hidden="false" customHeight="false" outlineLevel="0" collapsed="false">
      <c r="A101" s="23" t="s">
        <v>332</v>
      </c>
      <c r="B101" s="23" t="s">
        <v>291</v>
      </c>
      <c r="C101" s="23" t="s">
        <v>94</v>
      </c>
      <c r="D101" s="29" t="n">
        <v>0.35</v>
      </c>
      <c r="E101" s="23" t="s">
        <v>5548</v>
      </c>
      <c r="F101" s="23" t="s">
        <v>326</v>
      </c>
      <c r="G101" s="23" t="s">
        <v>333</v>
      </c>
      <c r="H101" s="23" t="s">
        <v>5543</v>
      </c>
    </row>
    <row r="102" customFormat="false" ht="23.85" hidden="false" customHeight="false" outlineLevel="0" collapsed="false">
      <c r="A102" s="23" t="s">
        <v>334</v>
      </c>
      <c r="B102" s="23" t="s">
        <v>291</v>
      </c>
      <c r="C102" s="23" t="s">
        <v>94</v>
      </c>
      <c r="D102" s="29" t="n">
        <v>0.35</v>
      </c>
      <c r="E102" s="23" t="s">
        <v>5549</v>
      </c>
      <c r="F102" s="23" t="s">
        <v>335</v>
      </c>
      <c r="G102" s="23" t="s">
        <v>336</v>
      </c>
      <c r="H102" s="23" t="s">
        <v>5543</v>
      </c>
    </row>
    <row r="103" customFormat="false" ht="23.85" hidden="false" customHeight="false" outlineLevel="0" collapsed="false">
      <c r="A103" s="23" t="s">
        <v>337</v>
      </c>
      <c r="B103" s="23" t="s">
        <v>291</v>
      </c>
      <c r="C103" s="23" t="s">
        <v>94</v>
      </c>
      <c r="D103" s="29" t="n">
        <v>0.35</v>
      </c>
      <c r="E103" s="23" t="s">
        <v>5549</v>
      </c>
      <c r="F103" s="23" t="s">
        <v>335</v>
      </c>
      <c r="G103" s="23" t="s">
        <v>338</v>
      </c>
      <c r="H103" s="23" t="s">
        <v>5543</v>
      </c>
    </row>
    <row r="104" customFormat="false" ht="23.85" hidden="false" customHeight="false" outlineLevel="0" collapsed="false">
      <c r="A104" s="23" t="s">
        <v>339</v>
      </c>
      <c r="B104" s="23" t="s">
        <v>291</v>
      </c>
      <c r="C104" s="23" t="s">
        <v>94</v>
      </c>
      <c r="D104" s="29" t="n">
        <v>0.35</v>
      </c>
      <c r="E104" s="23" t="s">
        <v>5549</v>
      </c>
      <c r="F104" s="23" t="s">
        <v>335</v>
      </c>
      <c r="G104" s="23" t="s">
        <v>340</v>
      </c>
      <c r="H104" s="23" t="s">
        <v>5543</v>
      </c>
    </row>
    <row r="105" customFormat="false" ht="23.85" hidden="false" customHeight="false" outlineLevel="0" collapsed="false">
      <c r="A105" s="23" t="s">
        <v>341</v>
      </c>
      <c r="B105" s="23" t="s">
        <v>291</v>
      </c>
      <c r="C105" s="23" t="s">
        <v>94</v>
      </c>
      <c r="D105" s="29" t="n">
        <v>0.35</v>
      </c>
      <c r="E105" s="23" t="s">
        <v>5549</v>
      </c>
      <c r="F105" s="23" t="s">
        <v>335</v>
      </c>
      <c r="G105" s="23" t="s">
        <v>342</v>
      </c>
      <c r="H105" s="23" t="s">
        <v>5543</v>
      </c>
    </row>
  </sheetData>
  <autoFilter ref="A4:H105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5" t="s">
        <v>5550</v>
      </c>
    </row>
    <row r="3" customFormat="false" ht="30" hidden="false" customHeight="true" outlineLevel="0" collapsed="false">
      <c r="A3" s="7" t="s">
        <v>5551</v>
      </c>
      <c r="B3" s="7" t="s">
        <v>5552</v>
      </c>
      <c r="C3" s="7" t="s">
        <v>5553</v>
      </c>
      <c r="D3" s="7" t="s">
        <v>5554</v>
      </c>
      <c r="E3" s="7" t="s">
        <v>5555</v>
      </c>
    </row>
    <row r="4" customFormat="false" ht="15" hidden="false" customHeight="false" outlineLevel="0" collapsed="false">
      <c r="A4" s="23" t="s">
        <v>412</v>
      </c>
      <c r="B4" s="23" t="s">
        <v>5556</v>
      </c>
      <c r="C4" s="23" t="s">
        <v>5557</v>
      </c>
      <c r="D4" s="23" t="n">
        <f aca="false">COUNTIFS(Temas_TIMSS!$D$5:$D$1264,"Matriz_Ciencias_2do_Grado_U1_U6_3.xlsx")</f>
        <v>70</v>
      </c>
      <c r="E4" s="23"/>
    </row>
    <row r="5" customFormat="false" ht="23.85" hidden="false" customHeight="false" outlineLevel="0" collapsed="false">
      <c r="A5" s="23" t="s">
        <v>5558</v>
      </c>
      <c r="B5" s="23" t="s">
        <v>5559</v>
      </c>
      <c r="C5" s="23" t="s">
        <v>5560</v>
      </c>
      <c r="D5" s="23" t="n">
        <f aca="false">COUNTIFS(Temas_TIMSS!$D$5:$D$1264,"Matriz_Ciencias_3er_Grado_U1_U6.xlsx")</f>
        <v>66</v>
      </c>
      <c r="E5" s="23" t="s">
        <v>5561</v>
      </c>
    </row>
    <row r="6" customFormat="false" ht="15" hidden="false" customHeight="false" outlineLevel="0" collapsed="false">
      <c r="A6" s="23" t="s">
        <v>985</v>
      </c>
      <c r="B6" s="23" t="s">
        <v>5562</v>
      </c>
      <c r="C6" s="23" t="s">
        <v>5560</v>
      </c>
      <c r="D6" s="23" t="n">
        <f aca="false">COUNTIFS(Temas_TIMSS!$D$5:$D$1264,"Matriz_Ciencias_4to_Grado_U1_U6.xlsx")</f>
        <v>72</v>
      </c>
      <c r="E6" s="23"/>
    </row>
    <row r="7" customFormat="false" ht="15" hidden="false" customHeight="false" outlineLevel="0" collapsed="false">
      <c r="A7" s="23" t="s">
        <v>1285</v>
      </c>
      <c r="B7" s="23" t="s">
        <v>5563</v>
      </c>
      <c r="C7" s="23" t="s">
        <v>5557</v>
      </c>
      <c r="D7" s="23" t="n">
        <f aca="false">COUNTIFS(Temas_TIMSS!$D$5:$D$1264,"Matriz_Ciencias_5to_Grado_U1_U6.xlsx")</f>
        <v>72</v>
      </c>
      <c r="E7" s="23"/>
    </row>
    <row r="8" customFormat="false" ht="15" hidden="false" customHeight="false" outlineLevel="0" collapsed="false">
      <c r="A8" s="23" t="s">
        <v>1586</v>
      </c>
      <c r="B8" s="23" t="s">
        <v>5564</v>
      </c>
      <c r="C8" s="23" t="s">
        <v>5557</v>
      </c>
      <c r="D8" s="23" t="n">
        <f aca="false">COUNTIFS(Temas_TIMSS!$D$5:$D$1264,"Matriz_Ciencias_6to_Grado_U1_U6.xlsx")</f>
        <v>68</v>
      </c>
      <c r="E8" s="23"/>
    </row>
    <row r="9" customFormat="false" ht="15" hidden="false" customHeight="false" outlineLevel="0" collapsed="false">
      <c r="A9" s="23" t="s">
        <v>1864</v>
      </c>
      <c r="B9" s="23" t="s">
        <v>5565</v>
      </c>
      <c r="C9" s="23" t="s">
        <v>5557</v>
      </c>
      <c r="D9" s="23" t="n">
        <f aca="false">COUNTIFS(Temas_TIMSS!$D$5:$D$1264,"Matriz_Ciencias_7mo_Grado_U1_U6.xlsx")</f>
        <v>91</v>
      </c>
      <c r="E9" s="23"/>
    </row>
    <row r="10" customFormat="false" ht="15" hidden="false" customHeight="false" outlineLevel="0" collapsed="false">
      <c r="A10" s="23" t="s">
        <v>2218</v>
      </c>
      <c r="B10" s="23" t="s">
        <v>5566</v>
      </c>
      <c r="C10" s="23" t="s">
        <v>5560</v>
      </c>
      <c r="D10" s="23" t="n">
        <f aca="false">COUNTIFS(Temas_TIMSS!$D$5:$D$1264,"Matriz_Ciencias_8vo_Grado_U1_U7.xlsx")</f>
        <v>93</v>
      </c>
      <c r="E10" s="23"/>
    </row>
    <row r="11" customFormat="false" ht="15" hidden="false" customHeight="false" outlineLevel="0" collapsed="false">
      <c r="A11" s="23" t="s">
        <v>2570</v>
      </c>
      <c r="B11" s="23" t="s">
        <v>5567</v>
      </c>
      <c r="C11" s="23" t="s">
        <v>5557</v>
      </c>
      <c r="D11" s="23" t="n">
        <f aca="false">COUNTIFS(Temas_TIMSS!$D$5:$D$1264,"Matriz_Ciencias_9no_Grado_U1_U7.xlsx")</f>
        <v>90</v>
      </c>
      <c r="E11" s="23"/>
    </row>
    <row r="12" customFormat="false" ht="15" hidden="false" customHeight="false" outlineLevel="0" collapsed="false">
      <c r="A12" s="23" t="s">
        <v>2909</v>
      </c>
      <c r="B12" s="23" t="s">
        <v>5568</v>
      </c>
      <c r="C12" s="23" t="s">
        <v>5569</v>
      </c>
      <c r="D12" s="23" t="n">
        <f aca="false">COUNTIFS(Temas_TIMSS!$D$5:$D$1264,"Matriz_Bachillerato_Fisica_10_11.xlsx")</f>
        <v>267</v>
      </c>
      <c r="E12" s="23"/>
    </row>
    <row r="13" customFormat="false" ht="15" hidden="false" customHeight="false" outlineLevel="0" collapsed="false">
      <c r="A13" s="23" t="s">
        <v>4164</v>
      </c>
      <c r="B13" s="23" t="s">
        <v>5570</v>
      </c>
      <c r="C13" s="23" t="s">
        <v>5557</v>
      </c>
      <c r="D13" s="23" t="n">
        <f aca="false">COUNTIFS(Temas_TIMSS!$D$5:$D$1264,"Matriz_Bachillerato_Quimica_10_11.xlsx")</f>
        <v>209</v>
      </c>
      <c r="E13" s="23" t="s">
        <v>5571</v>
      </c>
    </row>
    <row r="14" customFormat="false" ht="15" hidden="false" customHeight="false" outlineLevel="0" collapsed="false">
      <c r="A14" s="23" t="s">
        <v>4928</v>
      </c>
      <c r="B14" s="23" t="s">
        <v>5572</v>
      </c>
      <c r="C14" s="23" t="s">
        <v>5557</v>
      </c>
      <c r="D14" s="23" t="n">
        <f aca="false">COUNTIFS(Temas_TIMSS!$D$5:$D$1264,"Matriz_Bachillerato_Biologia_10_11.xlsx")</f>
        <v>162</v>
      </c>
      <c r="E14" s="23" t="s">
        <v>5571</v>
      </c>
    </row>
    <row r="15" customFormat="false" ht="15" hidden="false" customHeight="false" outlineLevel="0" collapsed="false">
      <c r="C15" s="21" t="s">
        <v>5573</v>
      </c>
      <c r="D15" s="21" t="n">
        <f aca="false">SUM(D4:D14)</f>
        <v>1260</v>
      </c>
    </row>
    <row r="17" customFormat="false" ht="15" hidden="false" customHeight="false" outlineLevel="0" collapsed="false">
      <c r="A17" s="13" t="s">
        <v>5574</v>
      </c>
    </row>
    <row r="18" customFormat="false" ht="15" hidden="false" customHeight="false" outlineLevel="0" collapsed="false">
      <c r="A18" s="30" t="s">
        <v>5575</v>
      </c>
      <c r="B18" s="30"/>
      <c r="C18" s="30"/>
      <c r="D18" s="30"/>
      <c r="E18" s="30"/>
    </row>
    <row r="19" customFormat="false" ht="15" hidden="false" customHeight="false" outlineLevel="0" collapsed="false">
      <c r="A19" s="30" t="s">
        <v>5576</v>
      </c>
      <c r="B19" s="30"/>
      <c r="C19" s="30"/>
      <c r="D19" s="30"/>
      <c r="E19" s="30"/>
    </row>
    <row r="20" customFormat="false" ht="15" hidden="false" customHeight="false" outlineLevel="0" collapsed="false">
      <c r="A20" s="30" t="s">
        <v>5577</v>
      </c>
      <c r="B20" s="30"/>
      <c r="C20" s="30"/>
      <c r="D20" s="30"/>
      <c r="E20" s="30"/>
    </row>
  </sheetData>
  <mergeCells count="3"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2026-10-01T19:37:25Z</dcterms:created>
  <dc:creator>openpyxl</dc:creator>
  <dc:description/>
  <dc:language>en-US</dc:language>
  <cp:lastModifiedBy/>
  <dcterms:modified xsi:type="dcterms:W3CDTF">2026-10-01T19:37:26Z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